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geles\Dropbox\OXDA Inventarios\INVENTARIOS\Inventario almacenes\"/>
    </mc:Choice>
  </mc:AlternateContent>
  <xr:revisionPtr revIDLastSave="0" documentId="13_ncr:1_{1A1F02B7-B031-46E7-8491-C4C16557665D}" xr6:coauthVersionLast="47" xr6:coauthVersionMax="47" xr10:uidLastSave="{00000000-0000-0000-0000-000000000000}"/>
  <bookViews>
    <workbookView xWindow="-120" yWindow="-120" windowWidth="29040" windowHeight="15720" tabRatio="847" activeTab="11" xr2:uid="{4C748791-D621-4157-A824-F6E2A5EA0C27}"/>
  </bookViews>
  <sheets>
    <sheet name="Resumen Inventario" sheetId="2" r:id="rId1"/>
    <sheet name="$$$$$" sheetId="6" state="hidden" r:id="rId2"/>
    <sheet name="Resumen Ventas" sheetId="16" state="hidden" r:id="rId3"/>
    <sheet name="Resumen T.C." sheetId="17" state="hidden" r:id="rId4"/>
    <sheet name="CANCÚN" sheetId="3" r:id="rId5"/>
    <sheet name="RESUMEN CDMX" sheetId="4" r:id="rId6"/>
    <sheet name="FRIGARSA" sheetId="24" r:id="rId7"/>
    <sheet name="FRESCO" sheetId="23" r:id="rId8"/>
    <sheet name="MEXIDELI" sheetId="25" r:id="rId9"/>
    <sheet name="ALFRIMEX" sheetId="19" state="hidden" r:id="rId10"/>
    <sheet name="CANBELT" sheetId="20" r:id="rId11"/>
    <sheet name="FRIJALISCO" sheetId="8" r:id="rId12"/>
    <sheet name="RESUMEN LEÓN" sheetId="9" r:id="rId13"/>
    <sheet name="VULPES PAPAS" sheetId="10" r:id="rId14"/>
    <sheet name="BAJO CERO" sheetId="22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4" i="10" l="1"/>
  <c r="AA18" i="10" l="1"/>
  <c r="I4" i="9"/>
  <c r="AB33" i="22"/>
  <c r="F35" i="9" s="1"/>
  <c r="AI28" i="8"/>
  <c r="Z34" i="22"/>
  <c r="AC5" i="4"/>
  <c r="AO13" i="8"/>
  <c r="AO12" i="8"/>
  <c r="AO11" i="8"/>
  <c r="AO10" i="8"/>
  <c r="AO9" i="8"/>
  <c r="AO8" i="8"/>
  <c r="AO7" i="8"/>
  <c r="AO6" i="8"/>
  <c r="AO5" i="8"/>
  <c r="AA178" i="6"/>
  <c r="AA180" i="6"/>
  <c r="AA181" i="6"/>
  <c r="AA184" i="6"/>
  <c r="AA185" i="6"/>
  <c r="AA186" i="6"/>
  <c r="AA187" i="6"/>
  <c r="AA188" i="6"/>
  <c r="AA189" i="6"/>
  <c r="AA190" i="6"/>
  <c r="AA192" i="6"/>
  <c r="AA193" i="6"/>
  <c r="AA194" i="6"/>
  <c r="AA196" i="6"/>
  <c r="AA197" i="6"/>
  <c r="Z178" i="6"/>
  <c r="Z180" i="6"/>
  <c r="Z181" i="6"/>
  <c r="Z184" i="6"/>
  <c r="Z185" i="6"/>
  <c r="Z186" i="6"/>
  <c r="Z187" i="6"/>
  <c r="Z188" i="6"/>
  <c r="Z189" i="6"/>
  <c r="Z190" i="6"/>
  <c r="Z192" i="6"/>
  <c r="Z193" i="6"/>
  <c r="Z194" i="6"/>
  <c r="Z196" i="6"/>
  <c r="Z197" i="6"/>
  <c r="X167" i="6"/>
  <c r="Z155" i="6"/>
  <c r="AA155" i="6" s="1"/>
  <c r="AA143" i="6"/>
  <c r="AA144" i="6"/>
  <c r="AA146" i="6"/>
  <c r="AA147" i="6"/>
  <c r="AA149" i="6"/>
  <c r="AA150" i="6"/>
  <c r="AA151" i="6"/>
  <c r="AA152" i="6"/>
  <c r="AA153" i="6"/>
  <c r="AA154" i="6"/>
  <c r="Z154" i="6"/>
  <c r="Z153" i="6"/>
  <c r="Z152" i="6"/>
  <c r="Z151" i="6"/>
  <c r="Z150" i="6"/>
  <c r="Z149" i="6"/>
  <c r="Z147" i="6"/>
  <c r="Z146" i="6"/>
  <c r="Z144" i="6"/>
  <c r="Z143" i="6"/>
  <c r="Z129" i="6"/>
  <c r="AA129" i="6" s="1"/>
  <c r="Z132" i="6"/>
  <c r="Z128" i="6"/>
  <c r="AA128" i="6" s="1"/>
  <c r="AA116" i="6"/>
  <c r="AA117" i="6"/>
  <c r="AA120" i="6"/>
  <c r="AA121" i="6"/>
  <c r="AA122" i="6"/>
  <c r="AA123" i="6"/>
  <c r="AA124" i="6"/>
  <c r="AA125" i="6"/>
  <c r="AA126" i="6"/>
  <c r="AA127" i="6"/>
  <c r="AA132" i="6"/>
  <c r="AA137" i="6"/>
  <c r="AA115" i="6"/>
  <c r="Z137" i="6"/>
  <c r="Z135" i="6"/>
  <c r="AA135" i="6" s="1"/>
  <c r="Z127" i="6"/>
  <c r="Z126" i="6"/>
  <c r="Z125" i="6"/>
  <c r="Z124" i="6"/>
  <c r="Z123" i="6"/>
  <c r="Z122" i="6"/>
  <c r="Z121" i="6"/>
  <c r="Z120" i="6"/>
  <c r="Z117" i="6"/>
  <c r="Z116" i="6"/>
  <c r="Z115" i="6"/>
  <c r="AA106" i="6"/>
  <c r="AA107" i="6"/>
  <c r="AA108" i="6"/>
  <c r="Z108" i="6"/>
  <c r="AA74" i="6"/>
  <c r="AA75" i="6"/>
  <c r="AA76" i="6"/>
  <c r="AA77" i="6"/>
  <c r="AA78" i="6"/>
  <c r="AA79" i="6"/>
  <c r="AA80" i="6"/>
  <c r="AA81" i="6"/>
  <c r="AA83" i="6"/>
  <c r="AA84" i="6"/>
  <c r="AA85" i="6"/>
  <c r="AA86" i="6"/>
  <c r="AA87" i="6"/>
  <c r="AA88" i="6"/>
  <c r="AA89" i="6"/>
  <c r="AA90" i="6"/>
  <c r="AA73" i="6"/>
  <c r="Z90" i="6"/>
  <c r="Z89" i="6"/>
  <c r="Z88" i="6"/>
  <c r="Z87" i="6"/>
  <c r="Z86" i="6"/>
  <c r="Z85" i="6"/>
  <c r="Z84" i="6"/>
  <c r="Z83" i="6"/>
  <c r="Z81" i="6"/>
  <c r="Z80" i="6"/>
  <c r="Z79" i="6"/>
  <c r="Z78" i="6"/>
  <c r="Z77" i="6"/>
  <c r="Z76" i="6"/>
  <c r="Z75" i="6"/>
  <c r="Z74" i="6"/>
  <c r="Z73" i="6"/>
  <c r="Z65" i="6"/>
  <c r="AA65" i="6" s="1"/>
  <c r="Z64" i="6"/>
  <c r="AA64" i="6" s="1"/>
  <c r="Z63" i="6"/>
  <c r="AA63" i="6" s="1"/>
  <c r="Z62" i="6"/>
  <c r="AA62" i="6" s="1"/>
  <c r="Z61" i="6"/>
  <c r="Z60" i="6"/>
  <c r="AA51" i="6"/>
  <c r="AA52" i="6"/>
  <c r="AA53" i="6"/>
  <c r="AA54" i="6"/>
  <c r="AA55" i="6"/>
  <c r="AA56" i="6"/>
  <c r="AA57" i="6"/>
  <c r="AA58" i="6"/>
  <c r="AA59" i="6"/>
  <c r="AA61" i="6"/>
  <c r="AA66" i="6"/>
  <c r="AA50" i="6"/>
  <c r="Z53" i="6"/>
  <c r="Z50" i="6"/>
  <c r="AA9" i="6"/>
  <c r="AA10" i="6"/>
  <c r="AA11" i="6"/>
  <c r="AA21" i="6"/>
  <c r="Z7" i="6"/>
  <c r="AA7" i="6" s="1"/>
  <c r="I58" i="2"/>
  <c r="J58" i="2" s="1"/>
  <c r="K58" i="2" s="1"/>
  <c r="D58" i="2"/>
  <c r="E55" i="2"/>
  <c r="H59" i="2"/>
  <c r="CB24" i="3"/>
  <c r="BZ24" i="3"/>
  <c r="AI4" i="8"/>
  <c r="BR20" i="3"/>
  <c r="BR19" i="3"/>
  <c r="BR18" i="3"/>
  <c r="BR17" i="3"/>
  <c r="BR16" i="3"/>
  <c r="BR15" i="3"/>
  <c r="BR13" i="3"/>
  <c r="CC14" i="3"/>
  <c r="AB8" i="4"/>
  <c r="AE5" i="3"/>
  <c r="BO5" i="3" s="1"/>
  <c r="I35" i="9"/>
  <c r="I31" i="9"/>
  <c r="I30" i="9"/>
  <c r="I29" i="9"/>
  <c r="I28" i="9"/>
  <c r="I27" i="9"/>
  <c r="I26" i="9"/>
  <c r="I25" i="9"/>
  <c r="I24" i="9"/>
  <c r="I23" i="9"/>
  <c r="I22" i="9"/>
  <c r="I21" i="9"/>
  <c r="I12" i="9"/>
  <c r="I11" i="9"/>
  <c r="I10" i="9"/>
  <c r="I9" i="9"/>
  <c r="I8" i="9"/>
  <c r="I7" i="9"/>
  <c r="I6" i="9"/>
  <c r="I5" i="9"/>
  <c r="G29" i="9"/>
  <c r="G28" i="9"/>
  <c r="G12" i="9"/>
  <c r="G11" i="9"/>
  <c r="G9" i="9"/>
  <c r="G8" i="9"/>
  <c r="G6" i="9"/>
  <c r="G5" i="9"/>
  <c r="F27" i="9"/>
  <c r="AB26" i="22"/>
  <c r="Z134" i="6" s="1"/>
  <c r="AA134" i="6" s="1"/>
  <c r="AB25" i="22"/>
  <c r="Z133" i="6" s="1"/>
  <c r="AA133" i="6" s="1"/>
  <c r="AB24" i="22"/>
  <c r="AB23" i="22"/>
  <c r="Z136" i="6" s="1"/>
  <c r="AA136" i="6" s="1"/>
  <c r="AB22" i="22"/>
  <c r="Z130" i="6" s="1"/>
  <c r="AA130" i="6" s="1"/>
  <c r="AB21" i="22"/>
  <c r="AB20" i="22"/>
  <c r="AB8" i="22"/>
  <c r="AB7" i="22"/>
  <c r="AB6" i="22"/>
  <c r="AB5" i="22"/>
  <c r="AB4" i="22"/>
  <c r="AB3" i="22"/>
  <c r="AB2" i="22"/>
  <c r="F29" i="9"/>
  <c r="F28" i="9"/>
  <c r="F24" i="9"/>
  <c r="F21" i="9"/>
  <c r="F12" i="9"/>
  <c r="F11" i="9"/>
  <c r="F10" i="9"/>
  <c r="F9" i="9"/>
  <c r="F6" i="9"/>
  <c r="F5" i="9"/>
  <c r="F4" i="9"/>
  <c r="X21" i="4"/>
  <c r="X19" i="4"/>
  <c r="X18" i="4"/>
  <c r="X11" i="4"/>
  <c r="W23" i="4"/>
  <c r="W21" i="4"/>
  <c r="W20" i="4"/>
  <c r="W19" i="4"/>
  <c r="W18" i="4"/>
  <c r="W17" i="4"/>
  <c r="W4" i="4"/>
  <c r="V17" i="4"/>
  <c r="V14" i="4"/>
  <c r="V12" i="4"/>
  <c r="V11" i="4"/>
  <c r="V10" i="4"/>
  <c r="V9" i="4"/>
  <c r="V8" i="4"/>
  <c r="V7" i="4"/>
  <c r="V5" i="4"/>
  <c r="V6" i="4"/>
  <c r="V18" i="4"/>
  <c r="V19" i="4"/>
  <c r="V20" i="4"/>
  <c r="V21" i="4"/>
  <c r="V22" i="4"/>
  <c r="V23" i="4"/>
  <c r="V4" i="4"/>
  <c r="AC23" i="4"/>
  <c r="AC22" i="4"/>
  <c r="AC21" i="4"/>
  <c r="AC20" i="4"/>
  <c r="AC19" i="4"/>
  <c r="AC18" i="4"/>
  <c r="AC17" i="4"/>
  <c r="AC16" i="4"/>
  <c r="AC15" i="4"/>
  <c r="AC14" i="4"/>
  <c r="AC13" i="4"/>
  <c r="AC12" i="4"/>
  <c r="AC11" i="4"/>
  <c r="AC10" i="4"/>
  <c r="AC9" i="4"/>
  <c r="AC8" i="4"/>
  <c r="AC7" i="4"/>
  <c r="AC6" i="4"/>
  <c r="AC4" i="4"/>
  <c r="F25" i="9" l="1"/>
  <c r="F26" i="9"/>
  <c r="F22" i="9"/>
  <c r="F23" i="9"/>
  <c r="Z131" i="6"/>
  <c r="AA131" i="6" s="1"/>
  <c r="Z118" i="6"/>
  <c r="AA118" i="6" s="1"/>
  <c r="Z119" i="6"/>
  <c r="AA119" i="6" s="1"/>
  <c r="AM4" i="8"/>
  <c r="Z70" i="6"/>
  <c r="AA60" i="6"/>
  <c r="AA70" i="6" s="1"/>
  <c r="AB33" i="10"/>
  <c r="G35" i="9" s="1"/>
  <c r="AA31" i="10"/>
  <c r="AA35" i="10" s="1"/>
  <c r="Z31" i="10"/>
  <c r="Z34" i="10" s="1"/>
  <c r="Y31" i="10"/>
  <c r="Y34" i="10" s="1"/>
  <c r="X31" i="10"/>
  <c r="X34" i="10" s="1"/>
  <c r="AB30" i="10"/>
  <c r="AB29" i="10"/>
  <c r="AB28" i="10"/>
  <c r="AB27" i="10"/>
  <c r="AB26" i="10"/>
  <c r="AB25" i="10"/>
  <c r="AB24" i="10"/>
  <c r="AB23" i="10"/>
  <c r="AB22" i="10"/>
  <c r="AB21" i="10"/>
  <c r="AB20" i="10"/>
  <c r="Z18" i="10"/>
  <c r="Y18" i="10"/>
  <c r="X18" i="10"/>
  <c r="AB17" i="10"/>
  <c r="AB16" i="10"/>
  <c r="G31" i="9" s="1"/>
  <c r="AB15" i="10"/>
  <c r="G30" i="9" s="1"/>
  <c r="AB14" i="10"/>
  <c r="AB13" i="10"/>
  <c r="AB12" i="10"/>
  <c r="AB11" i="10"/>
  <c r="AB10" i="10"/>
  <c r="AB9" i="10"/>
  <c r="AB8" i="10"/>
  <c r="AB7" i="10"/>
  <c r="AB6" i="10"/>
  <c r="AB5" i="10"/>
  <c r="AB4" i="10"/>
  <c r="AB3" i="10"/>
  <c r="AB2" i="10"/>
  <c r="AA34" i="22"/>
  <c r="Y34" i="22"/>
  <c r="X34" i="22"/>
  <c r="AA31" i="22"/>
  <c r="Y31" i="22"/>
  <c r="X31" i="22"/>
  <c r="AB29" i="22"/>
  <c r="AB28" i="22"/>
  <c r="AB27" i="22"/>
  <c r="Z31" i="22"/>
  <c r="AA18" i="22"/>
  <c r="Z18" i="22"/>
  <c r="Y18" i="22"/>
  <c r="X18" i="22"/>
  <c r="AB17" i="22"/>
  <c r="AB16" i="22"/>
  <c r="AB15" i="22"/>
  <c r="AB14" i="22"/>
  <c r="AB13" i="22"/>
  <c r="AB12" i="22"/>
  <c r="AB11" i="22"/>
  <c r="AB10" i="22"/>
  <c r="AB9" i="22"/>
  <c r="AD26" i="8"/>
  <c r="AC26" i="8"/>
  <c r="AB26" i="8"/>
  <c r="AA26" i="8"/>
  <c r="AD22" i="8"/>
  <c r="AC22" i="8"/>
  <c r="AC28" i="8" s="1"/>
  <c r="AB22" i="8"/>
  <c r="AA22" i="8"/>
  <c r="AA28" i="8" s="1"/>
  <c r="AE17" i="8"/>
  <c r="AD14" i="8"/>
  <c r="AC14" i="8"/>
  <c r="AB14" i="8"/>
  <c r="AA14" i="8"/>
  <c r="AE13" i="8"/>
  <c r="AF13" i="8" s="1"/>
  <c r="AE11" i="8"/>
  <c r="AF11" i="8" s="1"/>
  <c r="AA8" i="20"/>
  <c r="Z8" i="20"/>
  <c r="Y8" i="20"/>
  <c r="X8" i="20"/>
  <c r="AB7" i="20"/>
  <c r="AB6" i="20"/>
  <c r="AB5" i="20"/>
  <c r="AB4" i="20"/>
  <c r="AB4" i="25"/>
  <c r="AB5" i="25"/>
  <c r="AB6" i="25"/>
  <c r="AB7" i="25"/>
  <c r="AB9" i="25"/>
  <c r="AB10" i="25"/>
  <c r="AB11" i="25"/>
  <c r="AB12" i="25"/>
  <c r="AB13" i="25"/>
  <c r="AB14" i="25"/>
  <c r="AB15" i="25"/>
  <c r="AB16" i="25"/>
  <c r="AB17" i="25"/>
  <c r="AB18" i="25"/>
  <c r="AB19" i="25"/>
  <c r="AB20" i="25"/>
  <c r="AB21" i="25"/>
  <c r="AB22" i="25"/>
  <c r="AB23" i="25"/>
  <c r="AB3" i="25"/>
  <c r="AA24" i="25"/>
  <c r="Z24" i="25"/>
  <c r="Y24" i="25"/>
  <c r="X24" i="25"/>
  <c r="BU5" i="23"/>
  <c r="BU6" i="23"/>
  <c r="BU7" i="23"/>
  <c r="BU8" i="23"/>
  <c r="BU9" i="23"/>
  <c r="BU10" i="23"/>
  <c r="BU11" i="23"/>
  <c r="BU12" i="23"/>
  <c r="BU13" i="23"/>
  <c r="BU14" i="23"/>
  <c r="BU15" i="23"/>
  <c r="BU16" i="23"/>
  <c r="BU17" i="23"/>
  <c r="BU18" i="23"/>
  <c r="BU19" i="23"/>
  <c r="BU20" i="23"/>
  <c r="BU21" i="23"/>
  <c r="BU22" i="23"/>
  <c r="BU23" i="23"/>
  <c r="BU24" i="23"/>
  <c r="BU4" i="23"/>
  <c r="BT25" i="23"/>
  <c r="BS25" i="23"/>
  <c r="BR25" i="23"/>
  <c r="BQ25" i="23"/>
  <c r="AB4" i="24"/>
  <c r="AB5" i="24"/>
  <c r="AB6" i="24"/>
  <c r="AB7" i="24"/>
  <c r="AB8" i="24"/>
  <c r="AB9" i="24"/>
  <c r="AB10" i="24"/>
  <c r="AB11" i="24"/>
  <c r="AB12" i="24"/>
  <c r="AB13" i="24"/>
  <c r="AB14" i="24"/>
  <c r="AB3" i="24"/>
  <c r="AE6" i="3"/>
  <c r="Z26" i="24"/>
  <c r="Y26" i="24"/>
  <c r="X26" i="24"/>
  <c r="AA24" i="24"/>
  <c r="AA26" i="24" s="1"/>
  <c r="AB20" i="24"/>
  <c r="AB19" i="24"/>
  <c r="AB18" i="24"/>
  <c r="AB17" i="24"/>
  <c r="AB16" i="24"/>
  <c r="AB15" i="24"/>
  <c r="U26" i="24"/>
  <c r="T26" i="24"/>
  <c r="S26" i="24"/>
  <c r="G10" i="9" l="1"/>
  <c r="Z148" i="6"/>
  <c r="AA148" i="6" s="1"/>
  <c r="F32" i="9"/>
  <c r="AA35" i="22"/>
  <c r="BO6" i="3"/>
  <c r="Z8" i="6"/>
  <c r="AA8" i="6" s="1"/>
  <c r="Z142" i="6"/>
  <c r="AA142" i="6" s="1"/>
  <c r="G4" i="9"/>
  <c r="Z161" i="6"/>
  <c r="AA161" i="6" s="1"/>
  <c r="G26" i="9"/>
  <c r="G21" i="9"/>
  <c r="Z156" i="6"/>
  <c r="AA156" i="6" s="1"/>
  <c r="G22" i="9"/>
  <c r="Z157" i="6"/>
  <c r="AA157" i="6" s="1"/>
  <c r="Z82" i="6"/>
  <c r="V13" i="4"/>
  <c r="Z191" i="6"/>
  <c r="AA191" i="6" s="1"/>
  <c r="X20" i="4"/>
  <c r="Z145" i="6"/>
  <c r="AA145" i="6" s="1"/>
  <c r="G7" i="9"/>
  <c r="Z158" i="6"/>
  <c r="AA158" i="6" s="1"/>
  <c r="Z163" i="6"/>
  <c r="AA163" i="6" s="1"/>
  <c r="G23" i="9"/>
  <c r="G24" i="9"/>
  <c r="Z159" i="6"/>
  <c r="AA159" i="6" s="1"/>
  <c r="Z164" i="6"/>
  <c r="AA164" i="6" s="1"/>
  <c r="X10" i="4"/>
  <c r="Z183" i="6"/>
  <c r="AA183" i="6" s="1"/>
  <c r="X6" i="4"/>
  <c r="Z179" i="6"/>
  <c r="AA179" i="6" s="1"/>
  <c r="Z177" i="6"/>
  <c r="AA177" i="6" s="1"/>
  <c r="X4" i="4"/>
  <c r="X15" i="4"/>
  <c r="Z195" i="6"/>
  <c r="AB34" i="10"/>
  <c r="Z166" i="6"/>
  <c r="AA166" i="6" s="1"/>
  <c r="G25" i="9"/>
  <c r="Z160" i="6"/>
  <c r="AA160" i="6" s="1"/>
  <c r="Z165" i="6"/>
  <c r="AA165" i="6" s="1"/>
  <c r="G27" i="9"/>
  <c r="Z162" i="6"/>
  <c r="AB28" i="8"/>
  <c r="AB31" i="10"/>
  <c r="AB18" i="10"/>
  <c r="X35" i="10"/>
  <c r="Y35" i="10"/>
  <c r="Z35" i="10"/>
  <c r="X35" i="22"/>
  <c r="Y35" i="22"/>
  <c r="AB18" i="22"/>
  <c r="Z35" i="22"/>
  <c r="AB31" i="22"/>
  <c r="AE22" i="8"/>
  <c r="AD28" i="8"/>
  <c r="E57" i="2" s="1"/>
  <c r="BU25" i="23"/>
  <c r="AB24" i="24"/>
  <c r="AB26" i="24" s="1"/>
  <c r="Z94" i="6" l="1"/>
  <c r="AA82" i="6"/>
  <c r="AA94" i="6" s="1"/>
  <c r="AA195" i="6"/>
  <c r="Z167" i="6"/>
  <c r="C56" i="2" s="1"/>
  <c r="AA162" i="6"/>
  <c r="AA167" i="6" s="1"/>
  <c r="B56" i="2" s="1"/>
  <c r="AB35" i="10"/>
  <c r="AB36" i="10" s="1"/>
  <c r="BY24" i="3"/>
  <c r="D56" i="2" l="1"/>
  <c r="AE26" i="4"/>
  <c r="O35" i="9" l="1"/>
  <c r="X35" i="9"/>
  <c r="P29" i="9"/>
  <c r="P28" i="9"/>
  <c r="BS4" i="3"/>
  <c r="BS14" i="3"/>
  <c r="BS23" i="3"/>
  <c r="BS22" i="3"/>
  <c r="P35" i="9" l="1"/>
  <c r="O31" i="9"/>
  <c r="P31" i="9" s="1"/>
  <c r="O30" i="9"/>
  <c r="P30" i="9" s="1"/>
  <c r="O27" i="9"/>
  <c r="P27" i="9" s="1"/>
  <c r="O26" i="9"/>
  <c r="P26" i="9" s="1"/>
  <c r="O25" i="9"/>
  <c r="P25" i="9" s="1"/>
  <c r="O24" i="9"/>
  <c r="P24" i="9" s="1"/>
  <c r="O23" i="9"/>
  <c r="P23" i="9" s="1"/>
  <c r="O22" i="9"/>
  <c r="P22" i="9" s="1"/>
  <c r="O21" i="9"/>
  <c r="P21" i="9" s="1"/>
  <c r="O10" i="9"/>
  <c r="P10" i="9" s="1"/>
  <c r="O9" i="9"/>
  <c r="P9" i="9" s="1"/>
  <c r="O8" i="9"/>
  <c r="P8" i="9" s="1"/>
  <c r="O7" i="9"/>
  <c r="P7" i="9" s="1"/>
  <c r="O6" i="9"/>
  <c r="P6" i="9" s="1"/>
  <c r="O5" i="9"/>
  <c r="P5" i="9" s="1"/>
  <c r="O4" i="9"/>
  <c r="P4" i="9" s="1"/>
  <c r="AI25" i="8"/>
  <c r="AJ25" i="8" s="1"/>
  <c r="BR3" i="3"/>
  <c r="BS3" i="3" s="1"/>
  <c r="BS10" i="3" s="1"/>
  <c r="AJ20" i="4"/>
  <c r="AJ19" i="4"/>
  <c r="P32" i="9" l="1"/>
  <c r="U20" i="22"/>
  <c r="V24" i="25" l="1"/>
  <c r="I47" i="2" l="1"/>
  <c r="J47" i="2" s="1"/>
  <c r="K47" i="2" s="1"/>
  <c r="D47" i="2"/>
  <c r="C34" i="2"/>
  <c r="B34" i="2"/>
  <c r="D36" i="2"/>
  <c r="C27" i="2"/>
  <c r="C26" i="2"/>
  <c r="B26" i="2"/>
  <c r="E24" i="2"/>
  <c r="C24" i="2"/>
  <c r="B24" i="2"/>
  <c r="X180" i="6"/>
  <c r="X181" i="6"/>
  <c r="X184" i="6"/>
  <c r="X185" i="6"/>
  <c r="X186" i="6"/>
  <c r="X187" i="6"/>
  <c r="X188" i="6"/>
  <c r="X189" i="6"/>
  <c r="X190" i="6"/>
  <c r="X191" i="6"/>
  <c r="X192" i="6"/>
  <c r="X193" i="6"/>
  <c r="X194" i="6"/>
  <c r="W193" i="6"/>
  <c r="W194" i="6"/>
  <c r="V193" i="6"/>
  <c r="V194" i="6"/>
  <c r="V195" i="6"/>
  <c r="V196" i="6"/>
  <c r="V197" i="6"/>
  <c r="T195" i="6"/>
  <c r="V178" i="6"/>
  <c r="V179" i="6"/>
  <c r="V180" i="6"/>
  <c r="V181" i="6"/>
  <c r="V182" i="6"/>
  <c r="V183" i="6"/>
  <c r="V184" i="6"/>
  <c r="V185" i="6"/>
  <c r="W185" i="6" s="1"/>
  <c r="V186" i="6"/>
  <c r="V187" i="6"/>
  <c r="V188" i="6"/>
  <c r="V189" i="6"/>
  <c r="V190" i="6"/>
  <c r="V191" i="6"/>
  <c r="W191" i="6" s="1"/>
  <c r="V192" i="6"/>
  <c r="V177" i="6"/>
  <c r="T178" i="6"/>
  <c r="T179" i="6"/>
  <c r="U179" i="6" s="1"/>
  <c r="T180" i="6"/>
  <c r="U180" i="6" s="1"/>
  <c r="T181" i="6"/>
  <c r="T182" i="6"/>
  <c r="T183" i="6"/>
  <c r="T184" i="6"/>
  <c r="T185" i="6"/>
  <c r="U185" i="6" s="1"/>
  <c r="T186" i="6"/>
  <c r="T187" i="6"/>
  <c r="T188" i="6"/>
  <c r="T189" i="6"/>
  <c r="T190" i="6"/>
  <c r="U190" i="6" s="1"/>
  <c r="T191" i="6"/>
  <c r="T192" i="6"/>
  <c r="T193" i="6"/>
  <c r="T194" i="6"/>
  <c r="T177" i="6"/>
  <c r="D197" i="6"/>
  <c r="E197" i="6" s="1"/>
  <c r="F197" i="6" s="1"/>
  <c r="G197" i="6" s="1"/>
  <c r="H197" i="6" s="1"/>
  <c r="I197" i="6" s="1"/>
  <c r="J197" i="6" s="1"/>
  <c r="K197" i="6" s="1"/>
  <c r="L197" i="6" s="1"/>
  <c r="M197" i="6" s="1"/>
  <c r="N197" i="6" s="1"/>
  <c r="O197" i="6" s="1"/>
  <c r="D196" i="6"/>
  <c r="D195" i="6"/>
  <c r="E195" i="6" s="1"/>
  <c r="F195" i="6" s="1"/>
  <c r="R194" i="6"/>
  <c r="D194" i="6"/>
  <c r="R193" i="6"/>
  <c r="S193" i="6" s="1"/>
  <c r="E193" i="6"/>
  <c r="U193" i="6" s="1"/>
  <c r="D193" i="6"/>
  <c r="R192" i="6"/>
  <c r="S192" i="6" s="1"/>
  <c r="D192" i="6"/>
  <c r="E192" i="6" s="1"/>
  <c r="U191" i="6"/>
  <c r="R191" i="6"/>
  <c r="S191" i="6" s="1"/>
  <c r="G191" i="6"/>
  <c r="D191" i="6"/>
  <c r="R190" i="6"/>
  <c r="S190" i="6" s="1"/>
  <c r="F190" i="6"/>
  <c r="W190" i="6" s="1"/>
  <c r="D190" i="6"/>
  <c r="R189" i="6"/>
  <c r="S189" i="6" s="1"/>
  <c r="D189" i="6"/>
  <c r="E189" i="6" s="1"/>
  <c r="R188" i="6"/>
  <c r="S188" i="6" s="1"/>
  <c r="D188" i="6"/>
  <c r="E188" i="6" s="1"/>
  <c r="F188" i="6" s="1"/>
  <c r="U187" i="6"/>
  <c r="R187" i="6"/>
  <c r="S187" i="6" s="1"/>
  <c r="E187" i="6"/>
  <c r="F187" i="6" s="1"/>
  <c r="U186" i="6"/>
  <c r="R186" i="6"/>
  <c r="S186" i="6" s="1"/>
  <c r="E186" i="6"/>
  <c r="F186" i="6" s="1"/>
  <c r="D186" i="6"/>
  <c r="R185" i="6"/>
  <c r="S185" i="6" s="1"/>
  <c r="F185" i="6"/>
  <c r="G185" i="6" s="1"/>
  <c r="H185" i="6" s="1"/>
  <c r="E185" i="6"/>
  <c r="D185" i="6"/>
  <c r="W184" i="6"/>
  <c r="R184" i="6"/>
  <c r="S184" i="6" s="1"/>
  <c r="G184" i="6"/>
  <c r="H184" i="6" s="1"/>
  <c r="D184" i="6"/>
  <c r="E184" i="6" s="1"/>
  <c r="U183" i="6"/>
  <c r="R183" i="6"/>
  <c r="S183" i="6" s="1"/>
  <c r="G183" i="6"/>
  <c r="H183" i="6" s="1"/>
  <c r="F183" i="6"/>
  <c r="W183" i="6" s="1"/>
  <c r="D183" i="6"/>
  <c r="W182" i="6"/>
  <c r="U182" i="6"/>
  <c r="R182" i="6"/>
  <c r="S182" i="6" s="1"/>
  <c r="G182" i="6"/>
  <c r="H182" i="6" s="1"/>
  <c r="D182" i="6"/>
  <c r="W181" i="6"/>
  <c r="U181" i="6"/>
  <c r="R181" i="6"/>
  <c r="S181" i="6" s="1"/>
  <c r="F181" i="6"/>
  <c r="G181" i="6" s="1"/>
  <c r="H181" i="6" s="1"/>
  <c r="D181" i="6"/>
  <c r="R180" i="6"/>
  <c r="S180" i="6" s="1"/>
  <c r="D180" i="6"/>
  <c r="E180" i="6" s="1"/>
  <c r="F180" i="6" s="1"/>
  <c r="W179" i="6"/>
  <c r="R179" i="6"/>
  <c r="G179" i="6"/>
  <c r="H179" i="6" s="1"/>
  <c r="D179" i="6"/>
  <c r="W178" i="6"/>
  <c r="R178" i="6"/>
  <c r="G178" i="6"/>
  <c r="H178" i="6" s="1"/>
  <c r="D178" i="6"/>
  <c r="U177" i="6"/>
  <c r="R177" i="6"/>
  <c r="S177" i="6" s="1"/>
  <c r="H177" i="6"/>
  <c r="G177" i="6"/>
  <c r="C17" i="2"/>
  <c r="C16" i="2"/>
  <c r="B16" i="2"/>
  <c r="E14" i="2"/>
  <c r="B14" i="2"/>
  <c r="U175" i="6"/>
  <c r="T175" i="6"/>
  <c r="U174" i="6"/>
  <c r="T174" i="6"/>
  <c r="Y145" i="6"/>
  <c r="Y146" i="6"/>
  <c r="Y147" i="6"/>
  <c r="Y149" i="6"/>
  <c r="Y150" i="6"/>
  <c r="Y151" i="6"/>
  <c r="Y152" i="6"/>
  <c r="Y153" i="6"/>
  <c r="Y154" i="6"/>
  <c r="Y155" i="6"/>
  <c r="Y163" i="6"/>
  <c r="Y164" i="6"/>
  <c r="Y165" i="6"/>
  <c r="X155" i="6"/>
  <c r="X151" i="6"/>
  <c r="X150" i="6"/>
  <c r="X149" i="6"/>
  <c r="X147" i="6"/>
  <c r="X146" i="6"/>
  <c r="X145" i="6"/>
  <c r="W165" i="6"/>
  <c r="W164" i="6"/>
  <c r="W163" i="6"/>
  <c r="W161" i="6"/>
  <c r="W160" i="6"/>
  <c r="W159" i="6"/>
  <c r="W158" i="6"/>
  <c r="W157" i="6"/>
  <c r="W156" i="6"/>
  <c r="W155" i="6"/>
  <c r="W154" i="6"/>
  <c r="W153" i="6"/>
  <c r="W152" i="6"/>
  <c r="W151" i="6"/>
  <c r="W150" i="6"/>
  <c r="W149" i="6"/>
  <c r="W148" i="6"/>
  <c r="W147" i="6"/>
  <c r="W146" i="6"/>
  <c r="W145" i="6"/>
  <c r="W144" i="6"/>
  <c r="W143" i="6"/>
  <c r="W142" i="6"/>
  <c r="V162" i="6"/>
  <c r="V161" i="6"/>
  <c r="V160" i="6"/>
  <c r="V159" i="6"/>
  <c r="V158" i="6"/>
  <c r="V157" i="6"/>
  <c r="V156" i="6"/>
  <c r="V155" i="6"/>
  <c r="V151" i="6"/>
  <c r="V150" i="6"/>
  <c r="V149" i="6"/>
  <c r="V148" i="6"/>
  <c r="V147" i="6"/>
  <c r="V146" i="6"/>
  <c r="V145" i="6"/>
  <c r="V144" i="6"/>
  <c r="V143" i="6"/>
  <c r="V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3" i="6"/>
  <c r="U164" i="6"/>
  <c r="U165" i="6"/>
  <c r="U166" i="6"/>
  <c r="U142" i="6"/>
  <c r="T166" i="6"/>
  <c r="T162" i="6"/>
  <c r="T161" i="6"/>
  <c r="T160" i="6"/>
  <c r="T159" i="6"/>
  <c r="T158" i="6"/>
  <c r="T157" i="6"/>
  <c r="T156" i="6"/>
  <c r="T155" i="6"/>
  <c r="T151" i="6"/>
  <c r="T150" i="6"/>
  <c r="T149" i="6"/>
  <c r="T148" i="6"/>
  <c r="T147" i="6"/>
  <c r="T146" i="6"/>
  <c r="T145" i="6"/>
  <c r="T144" i="6"/>
  <c r="T143" i="6"/>
  <c r="T142" i="6"/>
  <c r="Y117" i="6"/>
  <c r="Y118" i="6"/>
  <c r="Y119" i="6"/>
  <c r="Y120" i="6"/>
  <c r="Y121" i="6"/>
  <c r="Y122" i="6"/>
  <c r="Y123" i="6"/>
  <c r="Y124" i="6"/>
  <c r="Y125" i="6"/>
  <c r="Y126" i="6"/>
  <c r="Y127" i="6"/>
  <c r="Y135" i="6"/>
  <c r="Y136" i="6"/>
  <c r="Y137" i="6"/>
  <c r="X124" i="6"/>
  <c r="X123" i="6"/>
  <c r="X122" i="6"/>
  <c r="X121" i="6"/>
  <c r="X120" i="6"/>
  <c r="X119" i="6"/>
  <c r="X118" i="6"/>
  <c r="X117" i="6"/>
  <c r="W138" i="6"/>
  <c r="W135" i="6"/>
  <c r="W136" i="6"/>
  <c r="W137" i="6"/>
  <c r="V138" i="6"/>
  <c r="V134" i="6"/>
  <c r="V133" i="6"/>
  <c r="V132" i="6"/>
  <c r="V131" i="6"/>
  <c r="V130" i="6"/>
  <c r="V129" i="6"/>
  <c r="V128" i="6"/>
  <c r="V124" i="6"/>
  <c r="V123" i="6"/>
  <c r="V122" i="6"/>
  <c r="V121" i="6"/>
  <c r="V120" i="6"/>
  <c r="V119" i="6"/>
  <c r="V118" i="6"/>
  <c r="V117" i="6"/>
  <c r="V116" i="6"/>
  <c r="V115" i="6"/>
  <c r="T115" i="6"/>
  <c r="T138" i="6"/>
  <c r="T134" i="6"/>
  <c r="T133" i="6"/>
  <c r="T132" i="6"/>
  <c r="T131" i="6"/>
  <c r="T130" i="6"/>
  <c r="T129" i="6"/>
  <c r="T128" i="6"/>
  <c r="T124" i="6"/>
  <c r="T123" i="6"/>
  <c r="T122" i="6"/>
  <c r="T121" i="6"/>
  <c r="T120" i="6"/>
  <c r="T119" i="6"/>
  <c r="T118" i="6"/>
  <c r="T139" i="6" s="1"/>
  <c r="T117" i="6"/>
  <c r="T116" i="6"/>
  <c r="X63" i="6"/>
  <c r="X50" i="6"/>
  <c r="V65" i="6"/>
  <c r="V64" i="6"/>
  <c r="V63" i="6"/>
  <c r="W63" i="6" s="1"/>
  <c r="V62" i="6"/>
  <c r="V61" i="6"/>
  <c r="V60" i="6"/>
  <c r="V53" i="6"/>
  <c r="V50" i="6"/>
  <c r="W50" i="6" s="1"/>
  <c r="T65" i="6"/>
  <c r="T64" i="6"/>
  <c r="T63" i="6"/>
  <c r="T62" i="6"/>
  <c r="T61" i="6"/>
  <c r="T60" i="6"/>
  <c r="T53" i="6"/>
  <c r="T50" i="6"/>
  <c r="R65" i="6"/>
  <c r="R64" i="6"/>
  <c r="R63" i="6"/>
  <c r="R62" i="6"/>
  <c r="R61" i="6"/>
  <c r="R60" i="6"/>
  <c r="R53" i="6"/>
  <c r="R50" i="6"/>
  <c r="F50" i="6"/>
  <c r="F74" i="6" s="1"/>
  <c r="F51" i="6"/>
  <c r="W51" i="6" s="1"/>
  <c r="F54" i="6"/>
  <c r="F78" i="6" s="1"/>
  <c r="F56" i="6"/>
  <c r="F80" i="6" s="1"/>
  <c r="F63" i="6"/>
  <c r="F87" i="6" s="1"/>
  <c r="F49" i="6"/>
  <c r="F73" i="6" s="1"/>
  <c r="W26" i="6"/>
  <c r="W27" i="6"/>
  <c r="W30" i="6"/>
  <c r="W32" i="6"/>
  <c r="W39" i="6"/>
  <c r="W25" i="6"/>
  <c r="X46" i="6"/>
  <c r="V46" i="6"/>
  <c r="T37" i="6"/>
  <c r="T36" i="6"/>
  <c r="R36" i="6"/>
  <c r="R37" i="6"/>
  <c r="D34" i="2" l="1"/>
  <c r="S179" i="6"/>
  <c r="S178" i="6"/>
  <c r="S194" i="6"/>
  <c r="D26" i="2"/>
  <c r="D24" i="2"/>
  <c r="G195" i="6"/>
  <c r="H195" i="6" s="1"/>
  <c r="I195" i="6" s="1"/>
  <c r="J195" i="6" s="1"/>
  <c r="K195" i="6" s="1"/>
  <c r="L195" i="6" s="1"/>
  <c r="M195" i="6" s="1"/>
  <c r="N195" i="6" s="1"/>
  <c r="O195" i="6" s="1"/>
  <c r="W195" i="6"/>
  <c r="E196" i="6"/>
  <c r="F196" i="6" s="1"/>
  <c r="G196" i="6" s="1"/>
  <c r="H196" i="6" s="1"/>
  <c r="I196" i="6" s="1"/>
  <c r="J196" i="6" s="1"/>
  <c r="K196" i="6" s="1"/>
  <c r="L196" i="6" s="1"/>
  <c r="M196" i="6" s="1"/>
  <c r="N196" i="6" s="1"/>
  <c r="O196" i="6" s="1"/>
  <c r="V198" i="6"/>
  <c r="W177" i="6"/>
  <c r="T198" i="6"/>
  <c r="Y185" i="6"/>
  <c r="I185" i="6"/>
  <c r="J185" i="6" s="1"/>
  <c r="K185" i="6" s="1"/>
  <c r="L185" i="6" s="1"/>
  <c r="M185" i="6" s="1"/>
  <c r="N185" i="6" s="1"/>
  <c r="O185" i="6" s="1"/>
  <c r="I183" i="6"/>
  <c r="J183" i="6" s="1"/>
  <c r="K183" i="6" s="1"/>
  <c r="L183" i="6" s="1"/>
  <c r="M183" i="6" s="1"/>
  <c r="N183" i="6" s="1"/>
  <c r="O183" i="6" s="1"/>
  <c r="W188" i="6"/>
  <c r="G188" i="6"/>
  <c r="H188" i="6" s="1"/>
  <c r="I179" i="6"/>
  <c r="J179" i="6" s="1"/>
  <c r="K179" i="6" s="1"/>
  <c r="L179" i="6" s="1"/>
  <c r="M179" i="6" s="1"/>
  <c r="N179" i="6" s="1"/>
  <c r="O179" i="6" s="1"/>
  <c r="U188" i="6"/>
  <c r="I181" i="6"/>
  <c r="J181" i="6" s="1"/>
  <c r="K181" i="6" s="1"/>
  <c r="L181" i="6" s="1"/>
  <c r="M181" i="6" s="1"/>
  <c r="N181" i="6" s="1"/>
  <c r="O181" i="6" s="1"/>
  <c r="Y181" i="6"/>
  <c r="U189" i="6"/>
  <c r="F189" i="6"/>
  <c r="Y184" i="6"/>
  <c r="I184" i="6"/>
  <c r="J184" i="6" s="1"/>
  <c r="K184" i="6" s="1"/>
  <c r="L184" i="6" s="1"/>
  <c r="M184" i="6" s="1"/>
  <c r="N184" i="6" s="1"/>
  <c r="O184" i="6" s="1"/>
  <c r="W186" i="6"/>
  <c r="G186" i="6"/>
  <c r="H186" i="6" s="1"/>
  <c r="P182" i="6"/>
  <c r="I182" i="6"/>
  <c r="J182" i="6" s="1"/>
  <c r="K182" i="6" s="1"/>
  <c r="L182" i="6" s="1"/>
  <c r="M182" i="6" s="1"/>
  <c r="N182" i="6" s="1"/>
  <c r="O182" i="6" s="1"/>
  <c r="W180" i="6"/>
  <c r="G180" i="6"/>
  <c r="H180" i="6" s="1"/>
  <c r="U184" i="6"/>
  <c r="U192" i="6"/>
  <c r="F192" i="6"/>
  <c r="G187" i="6"/>
  <c r="H187" i="6" s="1"/>
  <c r="W187" i="6"/>
  <c r="I178" i="6"/>
  <c r="J178" i="6" s="1"/>
  <c r="K178" i="6" s="1"/>
  <c r="L178" i="6" s="1"/>
  <c r="M178" i="6" s="1"/>
  <c r="N178" i="6" s="1"/>
  <c r="O178" i="6" s="1"/>
  <c r="I177" i="6"/>
  <c r="J177" i="6" s="1"/>
  <c r="K177" i="6" s="1"/>
  <c r="L177" i="6" s="1"/>
  <c r="M177" i="6" s="1"/>
  <c r="N177" i="6" s="1"/>
  <c r="O177" i="6" s="1"/>
  <c r="P178" i="6"/>
  <c r="H191" i="6"/>
  <c r="F193" i="6"/>
  <c r="P197" i="6"/>
  <c r="R198" i="6"/>
  <c r="U178" i="6"/>
  <c r="P183" i="6"/>
  <c r="G190" i="6"/>
  <c r="H190" i="6" s="1"/>
  <c r="E194" i="6"/>
  <c r="F194" i="6" s="1"/>
  <c r="T167" i="6"/>
  <c r="F75" i="6"/>
  <c r="W75" i="6" s="1"/>
  <c r="W56" i="6"/>
  <c r="W54" i="6"/>
  <c r="V139" i="6"/>
  <c r="V70" i="6"/>
  <c r="T70" i="6"/>
  <c r="S198" i="6" l="1"/>
  <c r="P195" i="6"/>
  <c r="U194" i="6"/>
  <c r="U198" i="6" s="1"/>
  <c r="P196" i="6"/>
  <c r="Y187" i="6"/>
  <c r="I187" i="6"/>
  <c r="J187" i="6" s="1"/>
  <c r="K187" i="6" s="1"/>
  <c r="L187" i="6" s="1"/>
  <c r="M187" i="6" s="1"/>
  <c r="N187" i="6" s="1"/>
  <c r="O187" i="6" s="1"/>
  <c r="Y186" i="6"/>
  <c r="I186" i="6"/>
  <c r="J186" i="6" s="1"/>
  <c r="K186" i="6" s="1"/>
  <c r="L186" i="6" s="1"/>
  <c r="M186" i="6" s="1"/>
  <c r="N186" i="6" s="1"/>
  <c r="O186" i="6" s="1"/>
  <c r="P185" i="6"/>
  <c r="G193" i="6"/>
  <c r="H193" i="6" s="1"/>
  <c r="P179" i="6"/>
  <c r="W192" i="6"/>
  <c r="G192" i="6"/>
  <c r="G194" i="6"/>
  <c r="Y191" i="6"/>
  <c r="I191" i="6"/>
  <c r="Y180" i="6"/>
  <c r="I180" i="6"/>
  <c r="Y190" i="6"/>
  <c r="I190" i="6"/>
  <c r="W189" i="6"/>
  <c r="G189" i="6"/>
  <c r="H189" i="6" s="1"/>
  <c r="Y188" i="6"/>
  <c r="I188" i="6"/>
  <c r="J188" i="6" s="1"/>
  <c r="K188" i="6" s="1"/>
  <c r="L188" i="6" s="1"/>
  <c r="M188" i="6" s="1"/>
  <c r="N188" i="6" s="1"/>
  <c r="O188" i="6" s="1"/>
  <c r="P186" i="6"/>
  <c r="P184" i="6"/>
  <c r="P177" i="6"/>
  <c r="P181" i="6"/>
  <c r="W198" i="6" l="1"/>
  <c r="H192" i="6"/>
  <c r="Y189" i="6"/>
  <c r="I189" i="6"/>
  <c r="J189" i="6" s="1"/>
  <c r="K189" i="6" s="1"/>
  <c r="L189" i="6" s="1"/>
  <c r="M189" i="6" s="1"/>
  <c r="N189" i="6" s="1"/>
  <c r="O189" i="6" s="1"/>
  <c r="J190" i="6"/>
  <c r="K190" i="6" s="1"/>
  <c r="L190" i="6" s="1"/>
  <c r="M190" i="6" s="1"/>
  <c r="N190" i="6" s="1"/>
  <c r="O190" i="6" s="1"/>
  <c r="P190" i="6"/>
  <c r="Y193" i="6"/>
  <c r="I193" i="6"/>
  <c r="J180" i="6"/>
  <c r="K180" i="6" s="1"/>
  <c r="L180" i="6" s="1"/>
  <c r="M180" i="6" s="1"/>
  <c r="N180" i="6" s="1"/>
  <c r="O180" i="6" s="1"/>
  <c r="P187" i="6"/>
  <c r="J191" i="6"/>
  <c r="K191" i="6" s="1"/>
  <c r="L191" i="6" s="1"/>
  <c r="M191" i="6" s="1"/>
  <c r="N191" i="6" s="1"/>
  <c r="O191" i="6" s="1"/>
  <c r="P191" i="6"/>
  <c r="P188" i="6"/>
  <c r="H194" i="6"/>
  <c r="I194" i="6" l="1"/>
  <c r="J194" i="6" s="1"/>
  <c r="K194" i="6" s="1"/>
  <c r="L194" i="6" s="1"/>
  <c r="M194" i="6" s="1"/>
  <c r="N194" i="6" s="1"/>
  <c r="O194" i="6" s="1"/>
  <c r="Y194" i="6"/>
  <c r="P180" i="6"/>
  <c r="Y192" i="6"/>
  <c r="I192" i="6"/>
  <c r="J193" i="6"/>
  <c r="K193" i="6" s="1"/>
  <c r="L193" i="6" s="1"/>
  <c r="M193" i="6" s="1"/>
  <c r="N193" i="6" s="1"/>
  <c r="O193" i="6" s="1"/>
  <c r="P193" i="6"/>
  <c r="P189" i="6"/>
  <c r="P194" i="6" l="1"/>
  <c r="J192" i="6"/>
  <c r="K192" i="6" s="1"/>
  <c r="L192" i="6" s="1"/>
  <c r="M192" i="6" s="1"/>
  <c r="N192" i="6" s="1"/>
  <c r="O192" i="6" s="1"/>
  <c r="P192" i="6"/>
  <c r="X108" i="6" l="1"/>
  <c r="X8" i="6"/>
  <c r="X7" i="6"/>
  <c r="V8" i="6"/>
  <c r="V7" i="6"/>
  <c r="AR25" i="8" l="1"/>
  <c r="AO25" i="8" s="1"/>
  <c r="H30" i="9"/>
  <c r="J30" i="9" s="1"/>
  <c r="K30" i="9" s="1"/>
  <c r="H29" i="9"/>
  <c r="J29" i="9" s="1"/>
  <c r="K29" i="9" s="1"/>
  <c r="H28" i="9"/>
  <c r="J28" i="9" s="1"/>
  <c r="K28" i="9" s="1"/>
  <c r="AM18" i="4"/>
  <c r="W15" i="4"/>
  <c r="U15" i="4"/>
  <c r="Q30" i="9" l="1"/>
  <c r="H9" i="9"/>
  <c r="H8" i="9"/>
  <c r="H7" i="9"/>
  <c r="J7" i="9" s="1"/>
  <c r="K7" i="9" l="1"/>
  <c r="L7" i="9" s="1"/>
  <c r="S7" i="9" s="1"/>
  <c r="J8" i="9"/>
  <c r="K8" i="9" l="1"/>
  <c r="AI7" i="8"/>
  <c r="AJ7" i="8" s="1"/>
  <c r="T17" i="9"/>
  <c r="J13" i="9"/>
  <c r="AI6" i="8"/>
  <c r="AJ6" i="8" s="1"/>
  <c r="AI10" i="8"/>
  <c r="AJ10" i="8" s="1"/>
  <c r="AI9" i="8"/>
  <c r="AJ9" i="8" s="1"/>
  <c r="AI8" i="8"/>
  <c r="AJ8" i="8" s="1"/>
  <c r="AI5" i="8"/>
  <c r="AJ5" i="8" s="1"/>
  <c r="L8" i="9" l="1"/>
  <c r="S8" i="9" s="1"/>
  <c r="G44" i="2"/>
  <c r="AM17" i="4"/>
  <c r="W33" i="22" l="1"/>
  <c r="Y26" i="8"/>
  <c r="X26" i="8"/>
  <c r="W26" i="8"/>
  <c r="V26" i="8"/>
  <c r="Y22" i="8"/>
  <c r="X22" i="8"/>
  <c r="W22" i="8"/>
  <c r="V22" i="8"/>
  <c r="I36" i="9"/>
  <c r="R30" i="9"/>
  <c r="R29" i="9"/>
  <c r="R28" i="9"/>
  <c r="F14" i="9"/>
  <c r="F15" i="9"/>
  <c r="F16" i="9"/>
  <c r="O11" i="9"/>
  <c r="P11" i="9" s="1"/>
  <c r="P17" i="9" s="1"/>
  <c r="O12" i="9"/>
  <c r="P12" i="9" s="1"/>
  <c r="O13" i="9"/>
  <c r="K13" i="9" s="1"/>
  <c r="L13" i="9" s="1"/>
  <c r="S13" i="9" s="1"/>
  <c r="O14" i="9"/>
  <c r="L14" i="9" s="1"/>
  <c r="O15" i="9"/>
  <c r="L15" i="9" s="1"/>
  <c r="O16" i="9"/>
  <c r="L16" i="9" s="1"/>
  <c r="W22" i="10"/>
  <c r="W2" i="10"/>
  <c r="V34" i="10"/>
  <c r="S34" i="10"/>
  <c r="V31" i="10"/>
  <c r="U31" i="10"/>
  <c r="U34" i="10"/>
  <c r="T31" i="10"/>
  <c r="T34" i="10" s="1"/>
  <c r="S31" i="10"/>
  <c r="W30" i="10"/>
  <c r="W29" i="10"/>
  <c r="W28" i="10"/>
  <c r="W27" i="10"/>
  <c r="W26" i="10"/>
  <c r="W25" i="10"/>
  <c r="W24" i="10"/>
  <c r="W23" i="10"/>
  <c r="W21" i="10"/>
  <c r="W20" i="10"/>
  <c r="V18" i="10"/>
  <c r="U18" i="10"/>
  <c r="T18" i="10"/>
  <c r="S18" i="10"/>
  <c r="W17" i="10"/>
  <c r="W16" i="10"/>
  <c r="W15" i="10"/>
  <c r="W14" i="10"/>
  <c r="W13" i="10"/>
  <c r="W12" i="10"/>
  <c r="W11" i="10"/>
  <c r="W10" i="10"/>
  <c r="W9" i="10"/>
  <c r="W8" i="10"/>
  <c r="W7" i="10"/>
  <c r="W6" i="10"/>
  <c r="W5" i="10"/>
  <c r="W4" i="10"/>
  <c r="W3" i="10"/>
  <c r="W21" i="22"/>
  <c r="W22" i="22"/>
  <c r="W23" i="22"/>
  <c r="W24" i="22"/>
  <c r="W25" i="22"/>
  <c r="W26" i="22"/>
  <c r="W20" i="22"/>
  <c r="W2" i="22"/>
  <c r="W3" i="22"/>
  <c r="W4" i="22"/>
  <c r="W5" i="22"/>
  <c r="W6" i="22"/>
  <c r="W7" i="22"/>
  <c r="W8" i="22"/>
  <c r="W9" i="22"/>
  <c r="W10" i="22"/>
  <c r="W11" i="22"/>
  <c r="V34" i="22"/>
  <c r="U34" i="22"/>
  <c r="T34" i="22"/>
  <c r="S34" i="22"/>
  <c r="V31" i="22"/>
  <c r="U31" i="22"/>
  <c r="T31" i="22"/>
  <c r="T35" i="22" s="1"/>
  <c r="S31" i="22"/>
  <c r="W29" i="22"/>
  <c r="W28" i="22"/>
  <c r="W27" i="22"/>
  <c r="V18" i="22"/>
  <c r="U18" i="22"/>
  <c r="T18" i="22"/>
  <c r="S18" i="22"/>
  <c r="W17" i="22"/>
  <c r="W16" i="22"/>
  <c r="W15" i="22"/>
  <c r="W14" i="22"/>
  <c r="W13" i="22"/>
  <c r="W12" i="22"/>
  <c r="Y14" i="8"/>
  <c r="X14" i="8"/>
  <c r="W14" i="8"/>
  <c r="V14" i="8"/>
  <c r="X7" i="4"/>
  <c r="X8" i="4"/>
  <c r="X12" i="4"/>
  <c r="X13" i="4"/>
  <c r="X14" i="4"/>
  <c r="X17" i="4"/>
  <c r="X22" i="4"/>
  <c r="X23" i="4"/>
  <c r="W5" i="4"/>
  <c r="W6" i="4"/>
  <c r="R51" i="6" s="1"/>
  <c r="W9" i="4"/>
  <c r="R54" i="6" s="1"/>
  <c r="S54" i="6" s="1"/>
  <c r="W10" i="4"/>
  <c r="W11" i="4"/>
  <c r="W12" i="4"/>
  <c r="R57" i="6" s="1"/>
  <c r="S57" i="6" s="1"/>
  <c r="W13" i="4"/>
  <c r="W14" i="4"/>
  <c r="W22" i="4"/>
  <c r="W24" i="4"/>
  <c r="W25" i="4"/>
  <c r="V8" i="20"/>
  <c r="U8" i="20"/>
  <c r="T8" i="20"/>
  <c r="S8" i="20"/>
  <c r="W7" i="20"/>
  <c r="W6" i="20"/>
  <c r="W5" i="20"/>
  <c r="W4" i="20"/>
  <c r="W18" i="24"/>
  <c r="X88" i="6" s="1"/>
  <c r="V24" i="24"/>
  <c r="V26" i="24" s="1"/>
  <c r="BP5" i="23"/>
  <c r="BP6" i="23"/>
  <c r="BP7" i="23"/>
  <c r="X53" i="6" s="1"/>
  <c r="BP8" i="23"/>
  <c r="BP9" i="23"/>
  <c r="BP10" i="23"/>
  <c r="BP11" i="23"/>
  <c r="BP12" i="23"/>
  <c r="BP13" i="23"/>
  <c r="BP14" i="23"/>
  <c r="BP17" i="23"/>
  <c r="X62" i="6" s="1"/>
  <c r="BP18" i="23"/>
  <c r="BP19" i="23"/>
  <c r="X64" i="6" s="1"/>
  <c r="BP20" i="23"/>
  <c r="BP21" i="23"/>
  <c r="X65" i="6" s="1"/>
  <c r="BP22" i="23"/>
  <c r="BP23" i="23"/>
  <c r="BP24" i="23"/>
  <c r="BP4" i="23"/>
  <c r="BO25" i="23"/>
  <c r="BN25" i="23"/>
  <c r="BM25" i="23"/>
  <c r="BL25" i="23"/>
  <c r="W23" i="25"/>
  <c r="W22" i="25"/>
  <c r="W21" i="25"/>
  <c r="W20" i="25"/>
  <c r="W19" i="25"/>
  <c r="W18" i="25"/>
  <c r="W17" i="25"/>
  <c r="W16" i="25"/>
  <c r="W15" i="25"/>
  <c r="W14" i="25"/>
  <c r="W13" i="25"/>
  <c r="W12" i="25"/>
  <c r="W11" i="25"/>
  <c r="W10" i="25"/>
  <c r="W9" i="25"/>
  <c r="W8" i="25"/>
  <c r="AB8" i="25" s="1"/>
  <c r="W7" i="25"/>
  <c r="W6" i="25"/>
  <c r="W5" i="25"/>
  <c r="X179" i="6" s="1"/>
  <c r="Y179" i="6" s="1"/>
  <c r="W4" i="25"/>
  <c r="X178" i="6" s="1"/>
  <c r="Y178" i="6" s="1"/>
  <c r="W3" i="25"/>
  <c r="U24" i="25"/>
  <c r="T24" i="25"/>
  <c r="S24" i="25"/>
  <c r="BS17" i="3"/>
  <c r="BS18" i="3"/>
  <c r="BS19" i="3"/>
  <c r="BS20" i="3"/>
  <c r="BR21" i="3"/>
  <c r="BQ21" i="3" s="1"/>
  <c r="BS15" i="3"/>
  <c r="BS16" i="3"/>
  <c r="Z23" i="3"/>
  <c r="AE23" i="3" s="1"/>
  <c r="AM19" i="4"/>
  <c r="AL26" i="4"/>
  <c r="V35" i="22"/>
  <c r="S35" i="10"/>
  <c r="U35" i="10"/>
  <c r="S35" i="22"/>
  <c r="O24" i="25"/>
  <c r="T4" i="8"/>
  <c r="AJ4" i="8" s="1"/>
  <c r="CC23" i="3"/>
  <c r="E75" i="6"/>
  <c r="U75" i="6" s="1"/>
  <c r="E77" i="6"/>
  <c r="E79" i="6"/>
  <c r="E87" i="6"/>
  <c r="E63" i="6"/>
  <c r="U63" i="6" s="1"/>
  <c r="E62" i="6"/>
  <c r="U62" i="6" s="1"/>
  <c r="E57" i="6"/>
  <c r="E55" i="6"/>
  <c r="U55" i="6" s="1"/>
  <c r="E54" i="6"/>
  <c r="U54" i="6" s="1"/>
  <c r="E53" i="6"/>
  <c r="U53" i="6" s="1"/>
  <c r="E51" i="6"/>
  <c r="U51" i="6" s="1"/>
  <c r="E50" i="6"/>
  <c r="U50" i="6" s="1"/>
  <c r="E49" i="6"/>
  <c r="U49" i="6" s="1"/>
  <c r="R21" i="25"/>
  <c r="Q28" i="9"/>
  <c r="AI11" i="8"/>
  <c r="AJ11" i="8" s="1"/>
  <c r="AI12" i="8"/>
  <c r="AJ12" i="8" s="1"/>
  <c r="AI13" i="8"/>
  <c r="AJ13" i="8" s="1"/>
  <c r="Q25" i="23"/>
  <c r="AI18" i="8"/>
  <c r="AJ18" i="8" s="1"/>
  <c r="AI17" i="8"/>
  <c r="AJ17" i="8" s="1"/>
  <c r="S14" i="8"/>
  <c r="R14" i="8"/>
  <c r="Q14" i="8"/>
  <c r="Q24" i="25"/>
  <c r="Q26" i="25"/>
  <c r="P24" i="25"/>
  <c r="P26" i="25"/>
  <c r="O26" i="25"/>
  <c r="N24" i="25"/>
  <c r="N26" i="25"/>
  <c r="T26" i="4"/>
  <c r="S26" i="4"/>
  <c r="R26" i="4"/>
  <c r="Q26" i="4"/>
  <c r="T10" i="3"/>
  <c r="Q24" i="24"/>
  <c r="Q26" i="24" s="1"/>
  <c r="Q34" i="10"/>
  <c r="Q35" i="10" s="1"/>
  <c r="E34" i="2" s="1"/>
  <c r="Q31" i="10"/>
  <c r="P31" i="10"/>
  <c r="P34" i="10"/>
  <c r="O31" i="10"/>
  <c r="O34" i="10"/>
  <c r="N31" i="10"/>
  <c r="N34" i="10"/>
  <c r="R30" i="10"/>
  <c r="R29" i="10"/>
  <c r="R28" i="10"/>
  <c r="R27" i="10"/>
  <c r="R26" i="10"/>
  <c r="R25" i="10"/>
  <c r="R24" i="10"/>
  <c r="R23" i="10"/>
  <c r="R22" i="10"/>
  <c r="R21" i="10"/>
  <c r="R20" i="10"/>
  <c r="Q18" i="10"/>
  <c r="P18" i="10"/>
  <c r="O18" i="10"/>
  <c r="N18" i="10"/>
  <c r="R17" i="10"/>
  <c r="R16" i="10"/>
  <c r="R15" i="10"/>
  <c r="R14" i="10"/>
  <c r="R13" i="10"/>
  <c r="R12" i="10"/>
  <c r="R11" i="10"/>
  <c r="R10" i="10"/>
  <c r="R9" i="10"/>
  <c r="R8" i="10"/>
  <c r="R7" i="10"/>
  <c r="R6" i="10"/>
  <c r="R5" i="10"/>
  <c r="R4" i="10"/>
  <c r="R3" i="10"/>
  <c r="R2" i="10"/>
  <c r="R2" i="22"/>
  <c r="Q34" i="22"/>
  <c r="P34" i="22"/>
  <c r="O34" i="22"/>
  <c r="N34" i="22"/>
  <c r="N35" i="22"/>
  <c r="R33" i="22"/>
  <c r="R34" i="22"/>
  <c r="Q31" i="22"/>
  <c r="P31" i="22"/>
  <c r="O31" i="22"/>
  <c r="N31" i="22"/>
  <c r="R29" i="22"/>
  <c r="R28" i="22"/>
  <c r="R27" i="22"/>
  <c r="R26" i="22"/>
  <c r="R25" i="22"/>
  <c r="R24" i="22"/>
  <c r="R23" i="22"/>
  <c r="R22" i="22"/>
  <c r="R21" i="22"/>
  <c r="R20" i="22"/>
  <c r="Q18" i="22"/>
  <c r="P18" i="22"/>
  <c r="O18" i="22"/>
  <c r="N18" i="22"/>
  <c r="R17" i="22"/>
  <c r="R16" i="22"/>
  <c r="R15" i="22"/>
  <c r="R14" i="22"/>
  <c r="R13" i="22"/>
  <c r="R12" i="22"/>
  <c r="R11" i="22"/>
  <c r="R10" i="22"/>
  <c r="R9" i="22"/>
  <c r="R8" i="22"/>
  <c r="R7" i="22"/>
  <c r="R6" i="22"/>
  <c r="R5" i="22"/>
  <c r="R4" i="22"/>
  <c r="R3" i="22"/>
  <c r="S3" i="19"/>
  <c r="S8" i="19"/>
  <c r="R8" i="19"/>
  <c r="Q8" i="19"/>
  <c r="P8" i="19"/>
  <c r="O8" i="19"/>
  <c r="S7" i="19"/>
  <c r="S6" i="19"/>
  <c r="S5" i="19"/>
  <c r="S4" i="19"/>
  <c r="T26" i="8"/>
  <c r="T22" i="8"/>
  <c r="U24" i="8"/>
  <c r="Q8" i="20"/>
  <c r="P8" i="20"/>
  <c r="O8" i="20"/>
  <c r="N8" i="20"/>
  <c r="R7" i="20"/>
  <c r="R6" i="20"/>
  <c r="R5" i="20"/>
  <c r="R4" i="20"/>
  <c r="U24" i="4"/>
  <c r="U25" i="4"/>
  <c r="Q35" i="22"/>
  <c r="N35" i="10"/>
  <c r="P35" i="10"/>
  <c r="R31" i="22"/>
  <c r="O35" i="22"/>
  <c r="P35" i="22"/>
  <c r="R18" i="22"/>
  <c r="H3" i="20"/>
  <c r="L24" i="25"/>
  <c r="K24" i="25"/>
  <c r="J24" i="25"/>
  <c r="I24" i="25"/>
  <c r="F24" i="25"/>
  <c r="F26" i="25"/>
  <c r="E24" i="25"/>
  <c r="E26" i="25"/>
  <c r="D24" i="25"/>
  <c r="D26" i="25"/>
  <c r="C24" i="25"/>
  <c r="C26" i="25"/>
  <c r="C27" i="25"/>
  <c r="H20" i="25"/>
  <c r="M20" i="25"/>
  <c r="H19" i="25"/>
  <c r="M19" i="25"/>
  <c r="R19" i="25"/>
  <c r="H18" i="25"/>
  <c r="M18" i="25"/>
  <c r="R18" i="25"/>
  <c r="H17" i="25"/>
  <c r="M17" i="25"/>
  <c r="R17" i="25"/>
  <c r="H16" i="25"/>
  <c r="M16" i="25"/>
  <c r="R16" i="25"/>
  <c r="H15" i="25"/>
  <c r="M15" i="25"/>
  <c r="R15" i="25"/>
  <c r="H14" i="25"/>
  <c r="M14" i="25"/>
  <c r="R14" i="25"/>
  <c r="H13" i="25"/>
  <c r="M13" i="25"/>
  <c r="R13" i="25"/>
  <c r="H12" i="25"/>
  <c r="M12" i="25"/>
  <c r="R12" i="25"/>
  <c r="H11" i="25"/>
  <c r="M11" i="25"/>
  <c r="R11" i="25"/>
  <c r="H10" i="25"/>
  <c r="M10" i="25"/>
  <c r="R10" i="25"/>
  <c r="H9" i="25"/>
  <c r="M9" i="25"/>
  <c r="R9" i="25"/>
  <c r="H8" i="25"/>
  <c r="M8" i="25"/>
  <c r="R8" i="25"/>
  <c r="H7" i="25"/>
  <c r="M7" i="25"/>
  <c r="R7" i="25"/>
  <c r="H6" i="25"/>
  <c r="M6" i="25"/>
  <c r="R6" i="25"/>
  <c r="H5" i="25"/>
  <c r="M5" i="25"/>
  <c r="R5" i="25"/>
  <c r="H4" i="25"/>
  <c r="H3" i="25"/>
  <c r="M3" i="25"/>
  <c r="O14" i="8"/>
  <c r="O26" i="8"/>
  <c r="R20" i="25"/>
  <c r="G24" i="25"/>
  <c r="G26" i="25"/>
  <c r="M4" i="25"/>
  <c r="R4" i="25"/>
  <c r="W17" i="9"/>
  <c r="M26" i="8"/>
  <c r="K26" i="8"/>
  <c r="P25" i="8"/>
  <c r="X5" i="9"/>
  <c r="X6" i="9"/>
  <c r="X7" i="9"/>
  <c r="X8" i="9"/>
  <c r="X9" i="9"/>
  <c r="X10" i="9"/>
  <c r="X11" i="9"/>
  <c r="X12" i="9"/>
  <c r="X13" i="9"/>
  <c r="X4" i="9"/>
  <c r="X27" i="9"/>
  <c r="X26" i="9"/>
  <c r="X25" i="9"/>
  <c r="X24" i="9"/>
  <c r="X23" i="9"/>
  <c r="X22" i="9"/>
  <c r="C170" i="6"/>
  <c r="D155" i="6"/>
  <c r="D59" i="6"/>
  <c r="D83" i="6" s="1"/>
  <c r="D49" i="6"/>
  <c r="D73" i="6" s="1"/>
  <c r="S73" i="6" s="1"/>
  <c r="H12" i="10"/>
  <c r="O24" i="3"/>
  <c r="L24" i="24"/>
  <c r="L26" i="24" s="1"/>
  <c r="O26" i="4"/>
  <c r="N26" i="4"/>
  <c r="M26" i="4"/>
  <c r="L26" i="4"/>
  <c r="L2" i="8"/>
  <c r="L34" i="10"/>
  <c r="K34" i="10"/>
  <c r="L31" i="10"/>
  <c r="K31" i="10"/>
  <c r="J31" i="10"/>
  <c r="J34" i="10"/>
  <c r="I31" i="10"/>
  <c r="I34" i="10"/>
  <c r="M30" i="10"/>
  <c r="M29" i="10"/>
  <c r="M28" i="10"/>
  <c r="M27" i="10"/>
  <c r="M26" i="10"/>
  <c r="M25" i="10"/>
  <c r="M23" i="10"/>
  <c r="M22" i="10"/>
  <c r="M21" i="10"/>
  <c r="M20" i="10"/>
  <c r="L18" i="10"/>
  <c r="K18" i="10"/>
  <c r="J18" i="10"/>
  <c r="I18" i="10"/>
  <c r="M17" i="10"/>
  <c r="M16" i="10"/>
  <c r="M15" i="10"/>
  <c r="M14" i="10"/>
  <c r="M13" i="10"/>
  <c r="M12" i="10"/>
  <c r="M11" i="10"/>
  <c r="M10" i="10"/>
  <c r="M9" i="10"/>
  <c r="M7" i="10"/>
  <c r="M6" i="10"/>
  <c r="M5" i="10"/>
  <c r="M4" i="10"/>
  <c r="M3" i="10"/>
  <c r="M2" i="10"/>
  <c r="L34" i="22"/>
  <c r="K34" i="22"/>
  <c r="J34" i="22"/>
  <c r="J35" i="22"/>
  <c r="I34" i="22"/>
  <c r="L31" i="22"/>
  <c r="K31" i="22"/>
  <c r="J31" i="22"/>
  <c r="I31" i="22"/>
  <c r="M29" i="22"/>
  <c r="M28" i="22"/>
  <c r="M27" i="22"/>
  <c r="M26" i="22"/>
  <c r="M25" i="22"/>
  <c r="M24" i="22"/>
  <c r="M23" i="22"/>
  <c r="M22" i="22"/>
  <c r="M21" i="22"/>
  <c r="M20" i="22"/>
  <c r="L18" i="22"/>
  <c r="L35" i="22"/>
  <c r="K18" i="22"/>
  <c r="J18" i="22"/>
  <c r="I18" i="22"/>
  <c r="M17" i="22"/>
  <c r="M16" i="22"/>
  <c r="M15" i="22"/>
  <c r="M14" i="22"/>
  <c r="M13" i="22"/>
  <c r="M12" i="22"/>
  <c r="M11" i="22"/>
  <c r="M10" i="22"/>
  <c r="M9" i="22"/>
  <c r="M7" i="22"/>
  <c r="M6" i="22"/>
  <c r="M5" i="22"/>
  <c r="M4" i="22"/>
  <c r="M3" i="22"/>
  <c r="M2" i="22"/>
  <c r="M8" i="19"/>
  <c r="L8" i="19"/>
  <c r="K8" i="19"/>
  <c r="J8" i="19"/>
  <c r="O22" i="8"/>
  <c r="N22" i="8"/>
  <c r="M22" i="8"/>
  <c r="L22" i="8"/>
  <c r="L14" i="8"/>
  <c r="P13" i="8"/>
  <c r="U13" i="8" s="1"/>
  <c r="Z13" i="8" s="1"/>
  <c r="AG13" i="8" s="1"/>
  <c r="P15" i="8"/>
  <c r="U15" i="8" s="1"/>
  <c r="L8" i="20"/>
  <c r="K8" i="20"/>
  <c r="J8" i="20"/>
  <c r="I8" i="20"/>
  <c r="M7" i="20"/>
  <c r="M6" i="20"/>
  <c r="M5" i="20"/>
  <c r="M4" i="20"/>
  <c r="M3" i="20"/>
  <c r="M8" i="20" s="1"/>
  <c r="K24" i="24"/>
  <c r="J24" i="24"/>
  <c r="I24" i="24"/>
  <c r="K5" i="4"/>
  <c r="R26" i="6" s="1"/>
  <c r="K6" i="4"/>
  <c r="K7" i="4"/>
  <c r="K8" i="4"/>
  <c r="K9" i="4"/>
  <c r="K10" i="4"/>
  <c r="K11" i="4"/>
  <c r="K12" i="4"/>
  <c r="K13" i="4"/>
  <c r="K14" i="4"/>
  <c r="K18" i="4"/>
  <c r="K19" i="4"/>
  <c r="K20" i="4"/>
  <c r="K21" i="4"/>
  <c r="K22" i="4"/>
  <c r="P22" i="4" s="1"/>
  <c r="K23" i="4"/>
  <c r="P23" i="4" s="1"/>
  <c r="K4" i="4"/>
  <c r="H4" i="8"/>
  <c r="H14" i="8" s="1"/>
  <c r="K12" i="8"/>
  <c r="P12" i="8" s="1"/>
  <c r="U12" i="8" s="1"/>
  <c r="Z12" i="8" s="1"/>
  <c r="K11" i="8"/>
  <c r="P11" i="8" s="1"/>
  <c r="U11" i="8" s="1"/>
  <c r="Z11" i="8" s="1"/>
  <c r="AG11" i="8" s="1"/>
  <c r="H3" i="24"/>
  <c r="R73" i="6" s="1"/>
  <c r="K35" i="10"/>
  <c r="I35" i="22"/>
  <c r="W32" i="9"/>
  <c r="X21" i="9"/>
  <c r="AM11" i="4"/>
  <c r="CC20" i="3"/>
  <c r="J17" i="4"/>
  <c r="J26" i="4" s="1"/>
  <c r="J10" i="3"/>
  <c r="J24" i="3"/>
  <c r="H21" i="10"/>
  <c r="H22" i="10"/>
  <c r="H23" i="10"/>
  <c r="H24" i="10"/>
  <c r="H25" i="10"/>
  <c r="H26" i="10"/>
  <c r="H27" i="10"/>
  <c r="H28" i="10"/>
  <c r="H29" i="10"/>
  <c r="H30" i="10"/>
  <c r="H3" i="10"/>
  <c r="H4" i="10"/>
  <c r="H5" i="10"/>
  <c r="H6" i="10"/>
  <c r="H7" i="10"/>
  <c r="H8" i="10"/>
  <c r="R148" i="6"/>
  <c r="H9" i="10"/>
  <c r="H10" i="10"/>
  <c r="H11" i="10"/>
  <c r="H13" i="10"/>
  <c r="H14" i="10"/>
  <c r="H15" i="10"/>
  <c r="H16" i="10"/>
  <c r="H17" i="10"/>
  <c r="BR10" i="3"/>
  <c r="BX10" i="3"/>
  <c r="AM20" i="4"/>
  <c r="AR10" i="8"/>
  <c r="AR9" i="8"/>
  <c r="AR8" i="8"/>
  <c r="AR7" i="8"/>
  <c r="AR6" i="8"/>
  <c r="AR5" i="8"/>
  <c r="AR4" i="8"/>
  <c r="AO4" i="8" s="1"/>
  <c r="E35" i="22"/>
  <c r="H18" i="2"/>
  <c r="G18" i="2"/>
  <c r="D35" i="10"/>
  <c r="D163" i="6"/>
  <c r="E163" i="6" s="1"/>
  <c r="R161" i="6"/>
  <c r="R155" i="6"/>
  <c r="R144" i="6"/>
  <c r="R145" i="6"/>
  <c r="R149" i="6"/>
  <c r="R150" i="6"/>
  <c r="R130" i="6"/>
  <c r="R132" i="6"/>
  <c r="S132" i="6" s="1"/>
  <c r="R134" i="6"/>
  <c r="R116" i="6"/>
  <c r="R122" i="6"/>
  <c r="R123" i="6"/>
  <c r="R124" i="6"/>
  <c r="R115" i="6"/>
  <c r="S163" i="6"/>
  <c r="G31" i="10"/>
  <c r="G34" i="10"/>
  <c r="H33" i="10"/>
  <c r="R162" i="6"/>
  <c r="R160" i="6"/>
  <c r="S160" i="6" s="1"/>
  <c r="R159" i="6"/>
  <c r="R157" i="6"/>
  <c r="H20" i="10"/>
  <c r="R146" i="6"/>
  <c r="R147" i="6"/>
  <c r="R151" i="6"/>
  <c r="H2" i="10"/>
  <c r="H33" i="22"/>
  <c r="D34" i="22"/>
  <c r="D35" i="22"/>
  <c r="E34" i="22"/>
  <c r="F34" i="22"/>
  <c r="G34" i="22"/>
  <c r="C34" i="22"/>
  <c r="H29" i="22"/>
  <c r="H28" i="22"/>
  <c r="H27" i="22"/>
  <c r="H26" i="22"/>
  <c r="H25" i="22"/>
  <c r="R133" i="6"/>
  <c r="H24" i="22"/>
  <c r="H23" i="22"/>
  <c r="R131" i="6"/>
  <c r="H22" i="22"/>
  <c r="H21" i="22"/>
  <c r="R129" i="6"/>
  <c r="H20" i="22"/>
  <c r="H17" i="22"/>
  <c r="H16" i="22"/>
  <c r="H15" i="22"/>
  <c r="H14" i="22"/>
  <c r="H13" i="22"/>
  <c r="H12" i="22"/>
  <c r="H11" i="22"/>
  <c r="H10" i="22"/>
  <c r="H9" i="22"/>
  <c r="H8" i="22"/>
  <c r="H18" i="22"/>
  <c r="H7" i="22"/>
  <c r="R120" i="6"/>
  <c r="H6" i="22"/>
  <c r="R119" i="6"/>
  <c r="H5" i="22"/>
  <c r="R118" i="6"/>
  <c r="H4" i="22"/>
  <c r="R117" i="6"/>
  <c r="H3" i="22"/>
  <c r="H2" i="22"/>
  <c r="H24" i="23"/>
  <c r="M24" i="23"/>
  <c r="R24" i="23"/>
  <c r="H23" i="23"/>
  <c r="M23" i="23"/>
  <c r="R23" i="23"/>
  <c r="H22" i="23"/>
  <c r="M22" i="23"/>
  <c r="R22" i="23"/>
  <c r="H21" i="23"/>
  <c r="M21" i="23"/>
  <c r="R21" i="23"/>
  <c r="H20" i="23"/>
  <c r="M20" i="23"/>
  <c r="H19" i="23"/>
  <c r="M19" i="23"/>
  <c r="R19" i="23"/>
  <c r="H18" i="23"/>
  <c r="H17" i="23"/>
  <c r="M17" i="23"/>
  <c r="R17" i="23"/>
  <c r="H16" i="23"/>
  <c r="M16" i="23"/>
  <c r="H15" i="23"/>
  <c r="M15" i="23"/>
  <c r="R15" i="23"/>
  <c r="BP15" i="23"/>
  <c r="X60" i="6" s="1"/>
  <c r="H14" i="23"/>
  <c r="M14" i="23"/>
  <c r="R14" i="23"/>
  <c r="H13" i="23"/>
  <c r="M13" i="23"/>
  <c r="H12" i="23"/>
  <c r="M12" i="23"/>
  <c r="H11" i="23"/>
  <c r="M11" i="23"/>
  <c r="H10" i="23"/>
  <c r="M10" i="23"/>
  <c r="H9" i="23"/>
  <c r="M9" i="23"/>
  <c r="H8" i="23"/>
  <c r="M8" i="23"/>
  <c r="H7" i="23"/>
  <c r="M7" i="23"/>
  <c r="R7" i="23"/>
  <c r="H6" i="23"/>
  <c r="M6" i="23"/>
  <c r="H5" i="23"/>
  <c r="M5" i="23"/>
  <c r="H4" i="23"/>
  <c r="M4" i="23"/>
  <c r="R4" i="23"/>
  <c r="H3" i="23"/>
  <c r="M3" i="23"/>
  <c r="H20" i="24"/>
  <c r="R90" i="6" s="1"/>
  <c r="H19" i="24"/>
  <c r="R89" i="6" s="1"/>
  <c r="M19" i="24"/>
  <c r="T89" i="6" s="1"/>
  <c r="H18" i="24"/>
  <c r="R88" i="6" s="1"/>
  <c r="M18" i="24"/>
  <c r="T88" i="6" s="1"/>
  <c r="H17" i="24"/>
  <c r="R87" i="6" s="1"/>
  <c r="H16" i="24"/>
  <c r="R86" i="6" s="1"/>
  <c r="H15" i="24"/>
  <c r="R85" i="6" s="1"/>
  <c r="S85" i="6" s="1"/>
  <c r="H14" i="24"/>
  <c r="R84" i="6" s="1"/>
  <c r="H13" i="24"/>
  <c r="R83" i="6" s="1"/>
  <c r="H12" i="24"/>
  <c r="R82" i="6" s="1"/>
  <c r="H11" i="24"/>
  <c r="R81" i="6" s="1"/>
  <c r="M11" i="24"/>
  <c r="T81" i="6" s="1"/>
  <c r="H10" i="24"/>
  <c r="R80" i="6" s="1"/>
  <c r="M10" i="24"/>
  <c r="T80" i="6" s="1"/>
  <c r="H9" i="24"/>
  <c r="H8" i="24"/>
  <c r="H7" i="24"/>
  <c r="H6" i="24"/>
  <c r="H5" i="24"/>
  <c r="M5" i="24" s="1"/>
  <c r="R5" i="24" s="1"/>
  <c r="W5" i="24" s="1"/>
  <c r="H4" i="24"/>
  <c r="R74" i="6" s="1"/>
  <c r="K9" i="3"/>
  <c r="K8" i="3"/>
  <c r="K7" i="3"/>
  <c r="K6" i="3"/>
  <c r="R8" i="6" s="1"/>
  <c r="S8" i="6" s="1"/>
  <c r="K5" i="3"/>
  <c r="P5" i="3" s="1"/>
  <c r="T7" i="6" s="1"/>
  <c r="K4" i="3"/>
  <c r="R6" i="6" s="1"/>
  <c r="S6" i="6" s="1"/>
  <c r="K3" i="3"/>
  <c r="P3" i="3" s="1"/>
  <c r="K22" i="3"/>
  <c r="P22" i="3" s="1"/>
  <c r="U22" i="3" s="1"/>
  <c r="K14" i="3"/>
  <c r="P14" i="3" s="1"/>
  <c r="K21" i="3"/>
  <c r="P21" i="3" s="1"/>
  <c r="K20" i="3"/>
  <c r="P20" i="3" s="1"/>
  <c r="T18" i="6" s="1"/>
  <c r="K19" i="3"/>
  <c r="R17" i="6" s="1"/>
  <c r="S17" i="6" s="1"/>
  <c r="K18" i="3"/>
  <c r="P18" i="3" s="1"/>
  <c r="K17" i="3"/>
  <c r="P17" i="3" s="1"/>
  <c r="T15" i="6" s="1"/>
  <c r="K16" i="3"/>
  <c r="P16" i="3" s="1"/>
  <c r="T14" i="6" s="1"/>
  <c r="K15" i="3"/>
  <c r="R13" i="6" s="1"/>
  <c r="S13" i="6" s="1"/>
  <c r="K13" i="3"/>
  <c r="P13" i="3" s="1"/>
  <c r="T12" i="6" s="1"/>
  <c r="R138" i="6"/>
  <c r="S138" i="6" s="1"/>
  <c r="M33" i="22"/>
  <c r="H34" i="22"/>
  <c r="H34" i="10"/>
  <c r="R166" i="6"/>
  <c r="R142" i="6"/>
  <c r="R143" i="6"/>
  <c r="R156" i="6"/>
  <c r="R158" i="6"/>
  <c r="R128" i="6"/>
  <c r="D174" i="6"/>
  <c r="D166" i="6"/>
  <c r="D165" i="6"/>
  <c r="S165" i="6" s="1"/>
  <c r="D164" i="6"/>
  <c r="E164" i="6" s="1"/>
  <c r="F164" i="6" s="1"/>
  <c r="G164" i="6" s="1"/>
  <c r="H164" i="6" s="1"/>
  <c r="S162" i="6"/>
  <c r="D161" i="6"/>
  <c r="E161" i="6" s="1"/>
  <c r="D160" i="6"/>
  <c r="D159" i="6"/>
  <c r="D158" i="6"/>
  <c r="D157" i="6"/>
  <c r="D156" i="6"/>
  <c r="S155" i="6"/>
  <c r="D154" i="6"/>
  <c r="S154" i="6" s="1"/>
  <c r="D153" i="6"/>
  <c r="S153" i="6" s="1"/>
  <c r="D152" i="6"/>
  <c r="D151" i="6"/>
  <c r="E151" i="6" s="1"/>
  <c r="D150" i="6"/>
  <c r="D149" i="6"/>
  <c r="S149" i="6" s="1"/>
  <c r="D148" i="6"/>
  <c r="D147" i="6"/>
  <c r="D146" i="6"/>
  <c r="D145" i="6"/>
  <c r="D144" i="6"/>
  <c r="S144" i="6" s="1"/>
  <c r="D143" i="6"/>
  <c r="D142" i="6"/>
  <c r="D116" i="6"/>
  <c r="S116" i="6"/>
  <c r="D117" i="6"/>
  <c r="S117" i="6"/>
  <c r="D118" i="6"/>
  <c r="S118" i="6"/>
  <c r="D119" i="6"/>
  <c r="S119" i="6"/>
  <c r="D120" i="6"/>
  <c r="S120" i="6" s="1"/>
  <c r="D121" i="6"/>
  <c r="D122" i="6"/>
  <c r="S122" i="6" s="1"/>
  <c r="D123" i="6"/>
  <c r="S123" i="6" s="1"/>
  <c r="D124" i="6"/>
  <c r="D125" i="6"/>
  <c r="S125" i="6" s="1"/>
  <c r="D126" i="6"/>
  <c r="S126" i="6" s="1"/>
  <c r="D127" i="6"/>
  <c r="S127" i="6" s="1"/>
  <c r="D129" i="6"/>
  <c r="S129" i="6"/>
  <c r="D130" i="6"/>
  <c r="S130" i="6" s="1"/>
  <c r="D131" i="6"/>
  <c r="D132" i="6"/>
  <c r="D133" i="6"/>
  <c r="S133" i="6"/>
  <c r="D134" i="6"/>
  <c r="S134" i="6"/>
  <c r="D135" i="6"/>
  <c r="D136" i="6"/>
  <c r="E136" i="6"/>
  <c r="U136" i="6" s="1"/>
  <c r="D137" i="6"/>
  <c r="D138" i="6"/>
  <c r="E138" i="6" s="1"/>
  <c r="D115" i="6"/>
  <c r="S115" i="6" s="1"/>
  <c r="D98" i="6"/>
  <c r="D99" i="6"/>
  <c r="E99" i="6" s="1"/>
  <c r="D100" i="6"/>
  <c r="D101" i="6"/>
  <c r="D102" i="6"/>
  <c r="E102" i="6" s="1"/>
  <c r="D103" i="6"/>
  <c r="E103" i="6" s="1"/>
  <c r="D104" i="6"/>
  <c r="D105" i="6"/>
  <c r="D106" i="6"/>
  <c r="S106" i="6" s="1"/>
  <c r="D107" i="6"/>
  <c r="E107" i="6" s="1"/>
  <c r="D108" i="6"/>
  <c r="E108" i="6" s="1"/>
  <c r="D109" i="6"/>
  <c r="E109" i="6" s="1"/>
  <c r="D110" i="6"/>
  <c r="E110" i="6" s="1"/>
  <c r="D111" i="6"/>
  <c r="D97" i="6"/>
  <c r="S142" i="6"/>
  <c r="S128" i="6"/>
  <c r="E106" i="6"/>
  <c r="U106" i="6" s="1"/>
  <c r="E166" i="6"/>
  <c r="F166" i="6" s="1"/>
  <c r="G166" i="6" s="1"/>
  <c r="H166" i="6" s="1"/>
  <c r="I166" i="6" s="1"/>
  <c r="J166" i="6" s="1"/>
  <c r="K166" i="6" s="1"/>
  <c r="L166" i="6" s="1"/>
  <c r="M166" i="6" s="1"/>
  <c r="N166" i="6" s="1"/>
  <c r="O166" i="6"/>
  <c r="P166" i="6" s="1"/>
  <c r="S166" i="6"/>
  <c r="E148" i="6"/>
  <c r="F148" i="6" s="1"/>
  <c r="E150" i="6"/>
  <c r="F150" i="6" s="1"/>
  <c r="S150" i="6"/>
  <c r="E143" i="6"/>
  <c r="F143" i="6" s="1"/>
  <c r="S143" i="6"/>
  <c r="S161" i="6"/>
  <c r="E156" i="6"/>
  <c r="F156" i="6" s="1"/>
  <c r="S156" i="6"/>
  <c r="E145" i="6"/>
  <c r="F145" i="6" s="1"/>
  <c r="S145" i="6"/>
  <c r="E157" i="6"/>
  <c r="F157" i="6" s="1"/>
  <c r="S157" i="6"/>
  <c r="E160" i="6"/>
  <c r="F160" i="6"/>
  <c r="G160" i="6" s="1"/>
  <c r="S151" i="6"/>
  <c r="E152" i="6"/>
  <c r="F152" i="6" s="1"/>
  <c r="G152" i="6" s="1"/>
  <c r="H152" i="6" s="1"/>
  <c r="I152" i="6" s="1"/>
  <c r="J152" i="6" s="1"/>
  <c r="K152" i="6" s="1"/>
  <c r="S152" i="6"/>
  <c r="E146" i="6"/>
  <c r="F146" i="6" s="1"/>
  <c r="S146" i="6"/>
  <c r="E158" i="6"/>
  <c r="F158" i="6"/>
  <c r="G158" i="6" s="1"/>
  <c r="S158" i="6"/>
  <c r="E147" i="6"/>
  <c r="F147" i="6" s="1"/>
  <c r="S147" i="6"/>
  <c r="E133" i="6"/>
  <c r="U133" i="6" s="1"/>
  <c r="E134" i="6"/>
  <c r="U134" i="6" s="1"/>
  <c r="E122" i="6"/>
  <c r="U122" i="6" s="1"/>
  <c r="F122" i="6"/>
  <c r="W122" i="6" s="1"/>
  <c r="E121" i="6"/>
  <c r="U121" i="6" s="1"/>
  <c r="F121" i="6"/>
  <c r="W121" i="6" s="1"/>
  <c r="G121" i="6"/>
  <c r="H121" i="6" s="1"/>
  <c r="E117" i="6"/>
  <c r="E101" i="6"/>
  <c r="F101" i="6"/>
  <c r="E115" i="6"/>
  <c r="U115" i="6" s="1"/>
  <c r="E132" i="6"/>
  <c r="U132" i="6" s="1"/>
  <c r="E127" i="6"/>
  <c r="U127" i="6" s="1"/>
  <c r="F127" i="6"/>
  <c r="W127" i="6" s="1"/>
  <c r="E142" i="6"/>
  <c r="F142" i="6"/>
  <c r="G142" i="6"/>
  <c r="H142" i="6" s="1"/>
  <c r="E153" i="6"/>
  <c r="F153" i="6" s="1"/>
  <c r="E128" i="6"/>
  <c r="U128" i="6" s="1"/>
  <c r="F128" i="6"/>
  <c r="W128" i="6" s="1"/>
  <c r="E116" i="6"/>
  <c r="U116" i="6" s="1"/>
  <c r="F116" i="6"/>
  <c r="E137" i="6"/>
  <c r="U137" i="6" s="1"/>
  <c r="E126" i="6"/>
  <c r="E100" i="6"/>
  <c r="E111" i="6"/>
  <c r="F111" i="6" s="1"/>
  <c r="G111" i="6" s="1"/>
  <c r="H111" i="6" s="1"/>
  <c r="I111" i="6" s="1"/>
  <c r="J111" i="6" s="1"/>
  <c r="E125" i="6"/>
  <c r="U125" i="6" s="1"/>
  <c r="E120" i="6"/>
  <c r="U120" i="6" s="1"/>
  <c r="F120" i="6"/>
  <c r="W120" i="6" s="1"/>
  <c r="G99" i="6"/>
  <c r="H99" i="6" s="1"/>
  <c r="I99" i="6" s="1"/>
  <c r="J99" i="6" s="1"/>
  <c r="K99" i="6" s="1"/>
  <c r="L99" i="6" s="1"/>
  <c r="M99" i="6" s="1"/>
  <c r="N99" i="6" s="1"/>
  <c r="O99" i="6" s="1"/>
  <c r="E135" i="6"/>
  <c r="U135" i="6" s="1"/>
  <c r="F135" i="6"/>
  <c r="G135" i="6"/>
  <c r="H135" i="6"/>
  <c r="I135" i="6" s="1"/>
  <c r="J135" i="6" s="1"/>
  <c r="E174" i="6"/>
  <c r="F174" i="6"/>
  <c r="G174" i="6"/>
  <c r="H174" i="6" s="1"/>
  <c r="E98" i="6"/>
  <c r="E97" i="6"/>
  <c r="F97" i="6"/>
  <c r="E124" i="6"/>
  <c r="E119" i="6"/>
  <c r="U119" i="6" s="1"/>
  <c r="F119" i="6"/>
  <c r="E165" i="6"/>
  <c r="F165" i="6" s="1"/>
  <c r="E130" i="6"/>
  <c r="U130" i="6" s="1"/>
  <c r="E162" i="6"/>
  <c r="U162" i="6" s="1"/>
  <c r="U167" i="6" s="1"/>
  <c r="B27" i="2" s="1"/>
  <c r="D27" i="2" s="1"/>
  <c r="E129" i="6"/>
  <c r="U129" i="6" s="1"/>
  <c r="E123" i="6"/>
  <c r="U123" i="6" s="1"/>
  <c r="E118" i="6"/>
  <c r="U118" i="6" s="1"/>
  <c r="E155" i="6"/>
  <c r="E144" i="6"/>
  <c r="F144" i="6" s="1"/>
  <c r="D74" i="6"/>
  <c r="D75" i="6"/>
  <c r="D76" i="6"/>
  <c r="D77" i="6"/>
  <c r="D78" i="6"/>
  <c r="D79" i="6"/>
  <c r="D80" i="6"/>
  <c r="D81" i="6"/>
  <c r="D82" i="6"/>
  <c r="D84" i="6"/>
  <c r="D85" i="6"/>
  <c r="D86" i="6"/>
  <c r="D87" i="6"/>
  <c r="D88" i="6"/>
  <c r="D89" i="6"/>
  <c r="D90" i="6"/>
  <c r="D91" i="6"/>
  <c r="D92" i="6"/>
  <c r="D93" i="6"/>
  <c r="D50" i="6"/>
  <c r="D51" i="6"/>
  <c r="D52" i="6"/>
  <c r="D53" i="6"/>
  <c r="D54" i="6"/>
  <c r="D55" i="6"/>
  <c r="D56" i="6"/>
  <c r="D57" i="6"/>
  <c r="D58" i="6"/>
  <c r="D60" i="6"/>
  <c r="D61" i="6"/>
  <c r="D62" i="6"/>
  <c r="D63" i="6"/>
  <c r="D64" i="6"/>
  <c r="D65" i="6"/>
  <c r="D66" i="6"/>
  <c r="D67" i="6"/>
  <c r="E67" i="6" s="1"/>
  <c r="E91" i="6" s="1"/>
  <c r="D68" i="6"/>
  <c r="E68" i="6" s="1"/>
  <c r="E92" i="6" s="1"/>
  <c r="D69" i="6"/>
  <c r="E69" i="6" s="1"/>
  <c r="E93" i="6" s="1"/>
  <c r="D45" i="6"/>
  <c r="E45" i="6" s="1"/>
  <c r="D26" i="6"/>
  <c r="D170" i="6" s="1"/>
  <c r="D27" i="6"/>
  <c r="D28" i="6"/>
  <c r="D29" i="6"/>
  <c r="D30" i="6"/>
  <c r="D31" i="6"/>
  <c r="D32" i="6"/>
  <c r="D33" i="6"/>
  <c r="D34" i="6"/>
  <c r="D36" i="6"/>
  <c r="D37" i="6"/>
  <c r="D38" i="6"/>
  <c r="D39" i="6"/>
  <c r="D40" i="6"/>
  <c r="D41" i="6"/>
  <c r="D42" i="6"/>
  <c r="D43" i="6"/>
  <c r="D44" i="6"/>
  <c r="E44" i="6" s="1"/>
  <c r="F44" i="6" s="1"/>
  <c r="D6" i="6"/>
  <c r="D7" i="6"/>
  <c r="D8" i="6"/>
  <c r="D9" i="6"/>
  <c r="S9" i="6" s="1"/>
  <c r="D10" i="6"/>
  <c r="S10" i="6" s="1"/>
  <c r="D11" i="6"/>
  <c r="S11" i="6" s="1"/>
  <c r="D14" i="6"/>
  <c r="D15" i="6"/>
  <c r="D17" i="6"/>
  <c r="D19" i="6"/>
  <c r="D20" i="6"/>
  <c r="D21" i="6"/>
  <c r="E21" i="6"/>
  <c r="F21" i="6" s="1"/>
  <c r="D5" i="6"/>
  <c r="BK25" i="23"/>
  <c r="BK27" i="23"/>
  <c r="BK28" i="23"/>
  <c r="BJ25" i="23"/>
  <c r="BJ27" i="23"/>
  <c r="BI25" i="23"/>
  <c r="BI27" i="23"/>
  <c r="BH25" i="23"/>
  <c r="BH27" i="23"/>
  <c r="BG25" i="23"/>
  <c r="BG27" i="23"/>
  <c r="BF25" i="23"/>
  <c r="BF27" i="23"/>
  <c r="BF28" i="23"/>
  <c r="BE25" i="23"/>
  <c r="BE27" i="23"/>
  <c r="BD25" i="23"/>
  <c r="BD27" i="23"/>
  <c r="BC25" i="23"/>
  <c r="BC27" i="23"/>
  <c r="BB25" i="23"/>
  <c r="BB27" i="23"/>
  <c r="BA25" i="23"/>
  <c r="BA27" i="23"/>
  <c r="BA28" i="23"/>
  <c r="AZ25" i="23"/>
  <c r="AZ27" i="23"/>
  <c r="AY25" i="23"/>
  <c r="AY27" i="23"/>
  <c r="AX25" i="23"/>
  <c r="AX27" i="23"/>
  <c r="AW25" i="23"/>
  <c r="AW27" i="23"/>
  <c r="AV25" i="23"/>
  <c r="AV27" i="23"/>
  <c r="AV28" i="23"/>
  <c r="AU25" i="23"/>
  <c r="AU27" i="23"/>
  <c r="AT25" i="23"/>
  <c r="AT27" i="23"/>
  <c r="AS25" i="23"/>
  <c r="AS27" i="23"/>
  <c r="AR25" i="23"/>
  <c r="AR27" i="23"/>
  <c r="AQ25" i="23"/>
  <c r="AQ27" i="23"/>
  <c r="AQ28" i="23"/>
  <c r="AP25" i="23"/>
  <c r="AP27" i="23"/>
  <c r="AO25" i="23"/>
  <c r="AO27" i="23"/>
  <c r="AN25" i="23"/>
  <c r="AN27" i="23"/>
  <c r="AM25" i="23"/>
  <c r="AM27" i="23"/>
  <c r="AL25" i="23"/>
  <c r="AL27" i="23"/>
  <c r="AL28" i="23"/>
  <c r="AK25" i="23"/>
  <c r="AK27" i="23"/>
  <c r="AJ25" i="23"/>
  <c r="AJ27" i="23"/>
  <c r="AI25" i="23"/>
  <c r="AI27" i="23"/>
  <c r="AH25" i="23"/>
  <c r="AH27" i="23"/>
  <c r="AG25" i="23"/>
  <c r="AG27" i="23"/>
  <c r="AG28" i="23"/>
  <c r="AF25" i="23"/>
  <c r="AF27" i="23"/>
  <c r="AE25" i="23"/>
  <c r="AE27" i="23"/>
  <c r="AD25" i="23"/>
  <c r="AD27" i="23"/>
  <c r="AC25" i="23"/>
  <c r="AC27" i="23"/>
  <c r="AB25" i="23"/>
  <c r="AB27" i="23"/>
  <c r="AB28" i="23"/>
  <c r="AA25" i="23"/>
  <c r="AA27" i="23"/>
  <c r="Z25" i="23"/>
  <c r="Z27" i="23"/>
  <c r="Y25" i="23"/>
  <c r="Y27" i="23"/>
  <c r="X25" i="23"/>
  <c r="X27" i="23"/>
  <c r="W25" i="23"/>
  <c r="W27" i="23"/>
  <c r="W28" i="23"/>
  <c r="V25" i="23"/>
  <c r="V27" i="23"/>
  <c r="U25" i="23"/>
  <c r="U27" i="23"/>
  <c r="T25" i="23"/>
  <c r="T27" i="23"/>
  <c r="S25" i="23"/>
  <c r="S27" i="23"/>
  <c r="Q27" i="23"/>
  <c r="P25" i="23"/>
  <c r="P27" i="23"/>
  <c r="O25" i="23"/>
  <c r="O27" i="23"/>
  <c r="N25" i="23"/>
  <c r="N27" i="23"/>
  <c r="L25" i="23"/>
  <c r="L27" i="23"/>
  <c r="K25" i="23"/>
  <c r="K27" i="23"/>
  <c r="J25" i="23"/>
  <c r="J27" i="23"/>
  <c r="I25" i="23"/>
  <c r="I27" i="2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BA26" i="3" s="1"/>
  <c r="AZ24" i="3"/>
  <c r="AY24" i="3"/>
  <c r="AX24" i="3"/>
  <c r="AW24" i="3"/>
  <c r="AV24" i="3"/>
  <c r="AU24" i="3"/>
  <c r="AT24" i="3"/>
  <c r="AS24" i="3"/>
  <c r="AR24" i="3"/>
  <c r="AQ24" i="3"/>
  <c r="AP24" i="3"/>
  <c r="BN10" i="3"/>
  <c r="BM10" i="3"/>
  <c r="BL10" i="3"/>
  <c r="BK10" i="3"/>
  <c r="BJ10" i="3"/>
  <c r="BI10" i="3"/>
  <c r="BH10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24" i="3"/>
  <c r="AN24" i="3"/>
  <c r="AM24" i="3"/>
  <c r="AL24" i="3"/>
  <c r="AL26" i="3" s="1"/>
  <c r="AK24" i="3"/>
  <c r="AJ24" i="3"/>
  <c r="AI24" i="3"/>
  <c r="AH24" i="3"/>
  <c r="AG24" i="3"/>
  <c r="AF24" i="3"/>
  <c r="AD24" i="3"/>
  <c r="AC24" i="3"/>
  <c r="AB24" i="3"/>
  <c r="AA24" i="3"/>
  <c r="AO10" i="3"/>
  <c r="AN10" i="3"/>
  <c r="AM10" i="3"/>
  <c r="AL10" i="3"/>
  <c r="AK10" i="3"/>
  <c r="AJ10" i="3"/>
  <c r="AI10" i="3"/>
  <c r="AH10" i="3"/>
  <c r="AG10" i="3"/>
  <c r="AF10" i="3"/>
  <c r="AD10" i="3"/>
  <c r="AC10" i="3"/>
  <c r="AC26" i="3" s="1"/>
  <c r="AB10" i="3"/>
  <c r="AA10" i="3"/>
  <c r="E66" i="6"/>
  <c r="E90" i="6" s="1"/>
  <c r="G54" i="6"/>
  <c r="G26" i="6"/>
  <c r="E19" i="6"/>
  <c r="F19" i="6"/>
  <c r="E42" i="6"/>
  <c r="F42" i="6"/>
  <c r="G42" i="6" s="1"/>
  <c r="H42" i="6"/>
  <c r="G63" i="6"/>
  <c r="Y63" i="6" s="1"/>
  <c r="E16" i="6"/>
  <c r="E41" i="6"/>
  <c r="E36" i="6"/>
  <c r="U36" i="6" s="1"/>
  <c r="E32" i="6"/>
  <c r="G32" i="6"/>
  <c r="H32" i="6" s="1"/>
  <c r="E17" i="6"/>
  <c r="F17" i="6"/>
  <c r="G30" i="6"/>
  <c r="G78" i="6"/>
  <c r="E18" i="6"/>
  <c r="F18" i="6"/>
  <c r="F118" i="6"/>
  <c r="W118" i="6" s="1"/>
  <c r="G118" i="6"/>
  <c r="G75" i="6"/>
  <c r="F129" i="6"/>
  <c r="W129" i="6" s="1"/>
  <c r="G129" i="6"/>
  <c r="H129" i="6" s="1"/>
  <c r="I129" i="6" s="1"/>
  <c r="J129" i="6" s="1"/>
  <c r="K129" i="6" s="1"/>
  <c r="L129" i="6" s="1"/>
  <c r="M129" i="6" s="1"/>
  <c r="N129" i="6" s="1"/>
  <c r="O129" i="6" s="1"/>
  <c r="E35" i="6"/>
  <c r="G74" i="6"/>
  <c r="G87" i="6"/>
  <c r="G73" i="6"/>
  <c r="F29" i="6"/>
  <c r="G29" i="6" s="1"/>
  <c r="H29" i="6" s="1"/>
  <c r="E15" i="6"/>
  <c r="G39" i="6"/>
  <c r="H39" i="6" s="1"/>
  <c r="Y39" i="6" s="1"/>
  <c r="E34" i="6"/>
  <c r="E33" i="6"/>
  <c r="F38" i="6"/>
  <c r="G38" i="6"/>
  <c r="H38" i="6" s="1"/>
  <c r="E28" i="6"/>
  <c r="W130" i="6"/>
  <c r="E40" i="6"/>
  <c r="G80" i="6"/>
  <c r="E37" i="6"/>
  <c r="U37" i="6" s="1"/>
  <c r="F37" i="6"/>
  <c r="G37" i="6" s="1"/>
  <c r="H37" i="6"/>
  <c r="E20" i="6"/>
  <c r="E9" i="6"/>
  <c r="U9" i="6" s="1"/>
  <c r="G27" i="6"/>
  <c r="H27" i="6"/>
  <c r="Y27" i="6" s="1"/>
  <c r="G56" i="6"/>
  <c r="E8" i="6"/>
  <c r="E6" i="6"/>
  <c r="F6" i="6"/>
  <c r="G6" i="6"/>
  <c r="E11" i="6"/>
  <c r="U11" i="6" s="1"/>
  <c r="E13" i="6"/>
  <c r="E12" i="6"/>
  <c r="F12" i="6"/>
  <c r="E7" i="6"/>
  <c r="E5" i="6"/>
  <c r="Y24" i="3"/>
  <c r="X24" i="3"/>
  <c r="W24" i="3"/>
  <c r="V24" i="3"/>
  <c r="T24" i="3"/>
  <c r="S24" i="3"/>
  <c r="R24" i="3"/>
  <c r="Q24" i="3"/>
  <c r="Y10" i="3"/>
  <c r="X10" i="3"/>
  <c r="W10" i="3"/>
  <c r="V10" i="3"/>
  <c r="S10" i="3"/>
  <c r="R10" i="3"/>
  <c r="Q10" i="3"/>
  <c r="Q26" i="3" s="1"/>
  <c r="N24" i="3"/>
  <c r="M24" i="3"/>
  <c r="L24" i="3"/>
  <c r="O10" i="3"/>
  <c r="O26" i="3" s="1"/>
  <c r="E22" i="2" s="1"/>
  <c r="N10" i="3"/>
  <c r="M10" i="3"/>
  <c r="L10" i="3"/>
  <c r="G24" i="24"/>
  <c r="G26" i="24" s="1"/>
  <c r="F24" i="24"/>
  <c r="F26" i="24" s="1"/>
  <c r="E24" i="24"/>
  <c r="E26" i="24"/>
  <c r="D24" i="24"/>
  <c r="D26" i="24" s="1"/>
  <c r="C24" i="24"/>
  <c r="C26" i="24" s="1"/>
  <c r="C27" i="24" s="1"/>
  <c r="G25" i="23"/>
  <c r="G27" i="23"/>
  <c r="F25" i="23"/>
  <c r="F27" i="23"/>
  <c r="E25" i="23"/>
  <c r="E27" i="23"/>
  <c r="D25" i="23"/>
  <c r="D27" i="23"/>
  <c r="C25" i="23"/>
  <c r="C27" i="23"/>
  <c r="C28" i="23"/>
  <c r="H31" i="22"/>
  <c r="G31" i="22"/>
  <c r="G35" i="22"/>
  <c r="F31" i="22"/>
  <c r="E31" i="22"/>
  <c r="D31" i="22"/>
  <c r="C31" i="22"/>
  <c r="G18" i="22"/>
  <c r="F18" i="22"/>
  <c r="E18" i="22"/>
  <c r="D18" i="22"/>
  <c r="C18" i="22"/>
  <c r="C35" i="22"/>
  <c r="G8" i="20"/>
  <c r="F8" i="20"/>
  <c r="E8" i="20"/>
  <c r="D8" i="20"/>
  <c r="C8" i="20"/>
  <c r="C7" i="20"/>
  <c r="H7" i="20"/>
  <c r="C6" i="20"/>
  <c r="H6" i="20"/>
  <c r="C5" i="20"/>
  <c r="H5" i="20"/>
  <c r="C4" i="20"/>
  <c r="H4" i="20"/>
  <c r="I3" i="19"/>
  <c r="N3" i="19"/>
  <c r="N8" i="19"/>
  <c r="R174" i="6"/>
  <c r="S174" i="6" s="1"/>
  <c r="S175" i="6" s="1"/>
  <c r="G26" i="4"/>
  <c r="G28" i="4" s="1"/>
  <c r="H26" i="4"/>
  <c r="H28" i="4" s="1"/>
  <c r="I26" i="4"/>
  <c r="I28" i="4" s="1"/>
  <c r="AK26" i="4"/>
  <c r="F26" i="4"/>
  <c r="F28" i="4" s="1"/>
  <c r="F29" i="4" s="1"/>
  <c r="F24" i="3"/>
  <c r="H24" i="3"/>
  <c r="I24" i="3"/>
  <c r="G24" i="3"/>
  <c r="H10" i="3"/>
  <c r="I10" i="3"/>
  <c r="G10" i="3"/>
  <c r="F10" i="3"/>
  <c r="F35" i="22"/>
  <c r="H8" i="20"/>
  <c r="R170" i="6"/>
  <c r="R171" i="6"/>
  <c r="F15" i="6"/>
  <c r="G15" i="6"/>
  <c r="F31" i="6"/>
  <c r="G31" i="6"/>
  <c r="F33" i="6"/>
  <c r="G33" i="6"/>
  <c r="G51" i="6"/>
  <c r="F20" i="6"/>
  <c r="F11" i="6"/>
  <c r="W11" i="6" s="1"/>
  <c r="G11" i="6"/>
  <c r="Y11" i="6" s="1"/>
  <c r="F8" i="6"/>
  <c r="W8" i="6" s="1"/>
  <c r="F7" i="6"/>
  <c r="W7" i="6" s="1"/>
  <c r="G7" i="6"/>
  <c r="Y7" i="6" s="1"/>
  <c r="F31" i="10"/>
  <c r="F34" i="10"/>
  <c r="E31" i="10"/>
  <c r="E34" i="10"/>
  <c r="D31" i="10"/>
  <c r="D34" i="10"/>
  <c r="F18" i="10"/>
  <c r="F35" i="10"/>
  <c r="E18" i="10"/>
  <c r="E35" i="10"/>
  <c r="D18" i="10"/>
  <c r="G18" i="10"/>
  <c r="G35" i="10"/>
  <c r="J22" i="8"/>
  <c r="I22" i="8"/>
  <c r="H22" i="8"/>
  <c r="G22" i="8"/>
  <c r="J14" i="8"/>
  <c r="I14" i="8"/>
  <c r="G14" i="8"/>
  <c r="H8" i="19"/>
  <c r="E16" i="2"/>
  <c r="G8" i="19"/>
  <c r="F8" i="19"/>
  <c r="E8" i="19"/>
  <c r="AR13" i="8"/>
  <c r="K18" i="8"/>
  <c r="K63" i="16"/>
  <c r="K61" i="16"/>
  <c r="K64" i="16"/>
  <c r="K62" i="16"/>
  <c r="K65" i="16"/>
  <c r="K94" i="16"/>
  <c r="K95" i="16"/>
  <c r="K96" i="16"/>
  <c r="K97" i="16"/>
  <c r="K98" i="16"/>
  <c r="K99" i="16"/>
  <c r="K100" i="16"/>
  <c r="K101" i="16"/>
  <c r="K102" i="16"/>
  <c r="K141" i="16"/>
  <c r="K103" i="16"/>
  <c r="K93" i="16"/>
  <c r="K76" i="16"/>
  <c r="K77" i="16"/>
  <c r="K78" i="16"/>
  <c r="K79" i="16"/>
  <c r="K80" i="16"/>
  <c r="K81" i="16"/>
  <c r="K82" i="16"/>
  <c r="K83" i="16"/>
  <c r="K84" i="16"/>
  <c r="K85" i="16"/>
  <c r="K86" i="16"/>
  <c r="K87" i="16"/>
  <c r="K88" i="16"/>
  <c r="K89" i="16"/>
  <c r="K75" i="16"/>
  <c r="K91" i="16"/>
  <c r="K68" i="16"/>
  <c r="K60" i="16"/>
  <c r="K58" i="16"/>
  <c r="K47" i="16"/>
  <c r="K48" i="16"/>
  <c r="K49" i="16"/>
  <c r="K50" i="16"/>
  <c r="K130" i="16"/>
  <c r="K51" i="16"/>
  <c r="K131" i="16"/>
  <c r="K46" i="16"/>
  <c r="K27" i="16"/>
  <c r="K114" i="16" s="1"/>
  <c r="K28" i="16"/>
  <c r="K115" i="16" s="1"/>
  <c r="K29" i="16"/>
  <c r="K30" i="16"/>
  <c r="K31" i="16"/>
  <c r="K32" i="16"/>
  <c r="K33" i="16"/>
  <c r="K34" i="16"/>
  <c r="K35" i="16"/>
  <c r="K119" i="16" s="1"/>
  <c r="K36" i="16"/>
  <c r="K37" i="16"/>
  <c r="K38" i="16"/>
  <c r="K39" i="16"/>
  <c r="K40" i="16"/>
  <c r="K123" i="16" s="1"/>
  <c r="K41" i="16"/>
  <c r="K124" i="16" s="1"/>
  <c r="K42" i="16"/>
  <c r="K26" i="16"/>
  <c r="K43" i="16" s="1"/>
  <c r="K44" i="16" s="1"/>
  <c r="K15" i="16"/>
  <c r="K16" i="16"/>
  <c r="K17" i="16"/>
  <c r="K18" i="16"/>
  <c r="K19" i="16"/>
  <c r="K138" i="16" s="1"/>
  <c r="K20" i="16"/>
  <c r="K21" i="16"/>
  <c r="K22" i="16"/>
  <c r="K14" i="16"/>
  <c r="K3" i="16"/>
  <c r="K13" i="16" s="1"/>
  <c r="K4" i="16"/>
  <c r="K5" i="16"/>
  <c r="K6" i="16"/>
  <c r="K7" i="16"/>
  <c r="K8" i="16"/>
  <c r="K9" i="16"/>
  <c r="K10" i="16"/>
  <c r="K11" i="16"/>
  <c r="K2" i="16"/>
  <c r="K132" i="16"/>
  <c r="K140" i="16"/>
  <c r="K72" i="16" a="1"/>
  <c r="AR22" i="8"/>
  <c r="AQ22" i="8"/>
  <c r="AQ14" i="8"/>
  <c r="D7" i="19"/>
  <c r="I7" i="19"/>
  <c r="N7" i="19"/>
  <c r="D6" i="19"/>
  <c r="I6" i="19"/>
  <c r="N6" i="19"/>
  <c r="D5" i="19"/>
  <c r="I5" i="19"/>
  <c r="N5" i="19"/>
  <c r="D4" i="19"/>
  <c r="I4" i="19"/>
  <c r="N4" i="19"/>
  <c r="J94" i="16"/>
  <c r="J95" i="16"/>
  <c r="M95" i="16"/>
  <c r="J96" i="16"/>
  <c r="M96" i="16"/>
  <c r="J97" i="16"/>
  <c r="M97" i="16"/>
  <c r="J98" i="16"/>
  <c r="J99" i="16"/>
  <c r="M99" i="16"/>
  <c r="J100" i="16"/>
  <c r="J101" i="16"/>
  <c r="J102" i="16"/>
  <c r="M102" i="16"/>
  <c r="J103" i="16"/>
  <c r="M103" i="16"/>
  <c r="J93" i="16"/>
  <c r="J76" i="16"/>
  <c r="J77" i="16"/>
  <c r="M77" i="16"/>
  <c r="J78" i="16"/>
  <c r="M78" i="16"/>
  <c r="J79" i="16"/>
  <c r="M79" i="16"/>
  <c r="J80" i="16"/>
  <c r="M80" i="16"/>
  <c r="J81" i="16"/>
  <c r="M81" i="16"/>
  <c r="J82" i="16"/>
  <c r="M82" i="16"/>
  <c r="J83" i="16"/>
  <c r="J84" i="16"/>
  <c r="J85" i="16"/>
  <c r="M85" i="16"/>
  <c r="J86" i="16"/>
  <c r="M86" i="16"/>
  <c r="J87" i="16"/>
  <c r="M87" i="16"/>
  <c r="J88" i="16"/>
  <c r="M88" i="16"/>
  <c r="J89" i="16"/>
  <c r="M89" i="16"/>
  <c r="J75" i="16"/>
  <c r="M75" i="16"/>
  <c r="J70" i="16"/>
  <c r="M70" i="16" s="1"/>
  <c r="J71" i="16"/>
  <c r="M71" i="16" s="1"/>
  <c r="J68" i="16"/>
  <c r="M68" i="16" s="1"/>
  <c r="M72" i="16" s="1"/>
  <c r="J59" i="16"/>
  <c r="J60" i="16"/>
  <c r="M60" i="16" s="1"/>
  <c r="J61" i="16"/>
  <c r="J62" i="16"/>
  <c r="M62" i="16" s="1"/>
  <c r="J63" i="16"/>
  <c r="M63" i="16" s="1"/>
  <c r="J64" i="16"/>
  <c r="M64" i="16" s="1"/>
  <c r="J65" i="16"/>
  <c r="J58" i="16"/>
  <c r="J66" i="16" s="1"/>
  <c r="J47" i="16"/>
  <c r="J127" i="16"/>
  <c r="J48" i="16"/>
  <c r="J49" i="16"/>
  <c r="J129" i="16"/>
  <c r="J50" i="16"/>
  <c r="J130" i="16"/>
  <c r="J51" i="16"/>
  <c r="J131" i="16"/>
  <c r="J46" i="16"/>
  <c r="J27" i="16"/>
  <c r="J114" i="16" s="1"/>
  <c r="J28" i="16"/>
  <c r="J115" i="16" s="1"/>
  <c r="J29" i="16"/>
  <c r="M29" i="16" s="1"/>
  <c r="J30" i="16"/>
  <c r="M30" i="16" s="1"/>
  <c r="J31" i="16"/>
  <c r="M31" i="16" s="1"/>
  <c r="J32" i="16"/>
  <c r="M32" i="16" s="1"/>
  <c r="J33" i="16"/>
  <c r="M33" i="16" s="1"/>
  <c r="J34" i="16"/>
  <c r="M34" i="16" s="1"/>
  <c r="J35" i="16"/>
  <c r="M35" i="16" s="1"/>
  <c r="J36" i="16"/>
  <c r="M36" i="16" s="1"/>
  <c r="J37" i="16"/>
  <c r="M37" i="16" s="1"/>
  <c r="J38" i="16"/>
  <c r="M38" i="16" s="1"/>
  <c r="J39" i="16"/>
  <c r="M39" i="16" s="1"/>
  <c r="J40" i="16"/>
  <c r="J123" i="16" s="1"/>
  <c r="J41" i="16"/>
  <c r="J124" i="16" s="1"/>
  <c r="J42" i="16"/>
  <c r="M42" i="16" s="1"/>
  <c r="J26" i="16"/>
  <c r="M26" i="16" s="1"/>
  <c r="J15" i="16"/>
  <c r="M15" i="16" s="1"/>
  <c r="J16" i="16"/>
  <c r="M16" i="16" s="1"/>
  <c r="J17" i="16"/>
  <c r="M17" i="16" s="1"/>
  <c r="J18" i="16"/>
  <c r="J19" i="16"/>
  <c r="M19" i="16" s="1"/>
  <c r="J20" i="16"/>
  <c r="M20" i="16" s="1"/>
  <c r="J21" i="16"/>
  <c r="M21" i="16" s="1"/>
  <c r="J22" i="16"/>
  <c r="M22" i="16" s="1"/>
  <c r="J14" i="16"/>
  <c r="J133" i="16" s="1"/>
  <c r="J3" i="16"/>
  <c r="J13" i="16" s="1"/>
  <c r="J4" i="16"/>
  <c r="J5" i="16"/>
  <c r="M5" i="16" s="1"/>
  <c r="J6" i="16"/>
  <c r="M6" i="16" s="1"/>
  <c r="J7" i="16"/>
  <c r="M7" i="16" s="1"/>
  <c r="J8" i="16"/>
  <c r="M8" i="16" s="1"/>
  <c r="J9" i="16"/>
  <c r="M9" i="16" s="1"/>
  <c r="J10" i="16"/>
  <c r="M10" i="16" s="1"/>
  <c r="J11" i="16"/>
  <c r="M11" i="16" s="1"/>
  <c r="J2" i="16"/>
  <c r="I94" i="16"/>
  <c r="I95" i="16"/>
  <c r="I96" i="16"/>
  <c r="I97" i="16"/>
  <c r="I98" i="16"/>
  <c r="I99" i="16"/>
  <c r="I100" i="16"/>
  <c r="I101" i="16"/>
  <c r="I140" i="16"/>
  <c r="I102" i="16"/>
  <c r="I141" i="16"/>
  <c r="I103" i="16"/>
  <c r="I93" i="16"/>
  <c r="M93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75" i="16"/>
  <c r="I70" i="16"/>
  <c r="I71" i="16"/>
  <c r="I68" i="16"/>
  <c r="I72" i="16" s="1"/>
  <c r="I60" i="16"/>
  <c r="I61" i="16"/>
  <c r="I62" i="16"/>
  <c r="I63" i="16"/>
  <c r="I65" i="16"/>
  <c r="I58" i="16"/>
  <c r="I47" i="16"/>
  <c r="I48" i="16"/>
  <c r="I128" i="16"/>
  <c r="I49" i="16"/>
  <c r="I50" i="16"/>
  <c r="I130" i="16"/>
  <c r="I51" i="16"/>
  <c r="I131" i="16"/>
  <c r="I46" i="16"/>
  <c r="J132" i="16"/>
  <c r="J72" i="16" a="1"/>
  <c r="I27" i="16"/>
  <c r="I114" i="16" s="1"/>
  <c r="I28" i="16"/>
  <c r="I115" i="16" s="1"/>
  <c r="I29" i="16"/>
  <c r="I30" i="16"/>
  <c r="I31" i="16"/>
  <c r="I32" i="16"/>
  <c r="I33" i="16"/>
  <c r="I34" i="16"/>
  <c r="I35" i="16"/>
  <c r="I36" i="16"/>
  <c r="I37" i="16"/>
  <c r="I38" i="16"/>
  <c r="I39" i="16"/>
  <c r="I40" i="16"/>
  <c r="I123" i="16" s="1"/>
  <c r="I41" i="16"/>
  <c r="I124" i="16" s="1"/>
  <c r="I42" i="16"/>
  <c r="I26" i="16"/>
  <c r="I15" i="16"/>
  <c r="I16" i="16"/>
  <c r="I17" i="16"/>
  <c r="I18" i="16"/>
  <c r="I19" i="16"/>
  <c r="I138" i="16" s="1"/>
  <c r="I20" i="16"/>
  <c r="I21" i="16"/>
  <c r="I22" i="16"/>
  <c r="I14" i="16"/>
  <c r="I23" i="16" s="1"/>
  <c r="I3" i="16"/>
  <c r="I4" i="16"/>
  <c r="I5" i="16"/>
  <c r="I6" i="16"/>
  <c r="I117" i="16" s="1"/>
  <c r="I7" i="16"/>
  <c r="I8" i="16"/>
  <c r="I9" i="16"/>
  <c r="I10" i="16"/>
  <c r="I11" i="16"/>
  <c r="I2" i="16"/>
  <c r="I132" i="16"/>
  <c r="I72" i="16" a="1"/>
  <c r="J12" i="16"/>
  <c r="I64" i="16"/>
  <c r="I59" i="16"/>
  <c r="I12" i="16"/>
  <c r="H47" i="16"/>
  <c r="H18" i="17"/>
  <c r="G18" i="17"/>
  <c r="F18" i="17"/>
  <c r="I18" i="17"/>
  <c r="H17" i="17"/>
  <c r="G17" i="17"/>
  <c r="F17" i="17"/>
  <c r="I17" i="17"/>
  <c r="H16" i="17"/>
  <c r="G16" i="17"/>
  <c r="I16" i="17"/>
  <c r="F16" i="17"/>
  <c r="H14" i="17"/>
  <c r="I14" i="17"/>
  <c r="G14" i="17"/>
  <c r="F14" i="17"/>
  <c r="D20" i="17"/>
  <c r="C20" i="17"/>
  <c r="E20" i="17"/>
  <c r="B20" i="17"/>
  <c r="H94" i="16"/>
  <c r="H95" i="16"/>
  <c r="H96" i="16"/>
  <c r="H97" i="16"/>
  <c r="H98" i="16"/>
  <c r="H99" i="16"/>
  <c r="H100" i="16"/>
  <c r="H101" i="16"/>
  <c r="H140" i="16"/>
  <c r="H102" i="16"/>
  <c r="H141" i="16"/>
  <c r="H103" i="16"/>
  <c r="H93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75" i="16"/>
  <c r="H91" i="16"/>
  <c r="H69" i="16"/>
  <c r="H70" i="16"/>
  <c r="H71" i="16"/>
  <c r="H68" i="16"/>
  <c r="H72" i="16" s="1"/>
  <c r="H59" i="16"/>
  <c r="H60" i="16"/>
  <c r="H61" i="16"/>
  <c r="H62" i="16"/>
  <c r="H63" i="16"/>
  <c r="H64" i="16"/>
  <c r="H65" i="16"/>
  <c r="H58" i="16"/>
  <c r="H66" i="16" s="1"/>
  <c r="H48" i="16"/>
  <c r="H49" i="16"/>
  <c r="H50" i="16"/>
  <c r="H130" i="16"/>
  <c r="H51" i="16"/>
  <c r="H131" i="16"/>
  <c r="H27" i="16"/>
  <c r="H114" i="16" s="1"/>
  <c r="H28" i="16"/>
  <c r="H115" i="16" s="1"/>
  <c r="H29" i="16"/>
  <c r="H30" i="16"/>
  <c r="H31" i="16"/>
  <c r="H32" i="16"/>
  <c r="H33" i="16"/>
  <c r="H34" i="16"/>
  <c r="H35" i="16"/>
  <c r="H119" i="16" s="1"/>
  <c r="H36" i="16"/>
  <c r="H37" i="16"/>
  <c r="H38" i="16"/>
  <c r="H39" i="16"/>
  <c r="H40" i="16"/>
  <c r="H123" i="16" s="1"/>
  <c r="H41" i="16"/>
  <c r="H124" i="16" s="1"/>
  <c r="H42" i="16"/>
  <c r="H26" i="16"/>
  <c r="H43" i="16" s="1"/>
  <c r="H44" i="16" s="1"/>
  <c r="H15" i="16"/>
  <c r="H16" i="16"/>
  <c r="H17" i="16"/>
  <c r="H18" i="16"/>
  <c r="H19" i="16"/>
  <c r="H138" i="16" s="1"/>
  <c r="H20" i="16"/>
  <c r="H21" i="16"/>
  <c r="H22" i="16"/>
  <c r="H14" i="16"/>
  <c r="H12" i="16"/>
  <c r="H4" i="16"/>
  <c r="H5" i="16"/>
  <c r="H6" i="16"/>
  <c r="H7" i="16"/>
  <c r="H8" i="16"/>
  <c r="H9" i="16"/>
  <c r="H10" i="16"/>
  <c r="H11" i="16"/>
  <c r="H3" i="16"/>
  <c r="H13" i="16" s="1"/>
  <c r="H132" i="16"/>
  <c r="CC15" i="3"/>
  <c r="CC16" i="3"/>
  <c r="CC17" i="3"/>
  <c r="CC18" i="3"/>
  <c r="CC19" i="3"/>
  <c r="CC13" i="3"/>
  <c r="G49" i="16"/>
  <c r="G47" i="16"/>
  <c r="G46" i="16"/>
  <c r="G94" i="16"/>
  <c r="G95" i="16"/>
  <c r="G96" i="16"/>
  <c r="G97" i="16"/>
  <c r="G98" i="16"/>
  <c r="G99" i="16"/>
  <c r="G100" i="16"/>
  <c r="G101" i="16"/>
  <c r="G140" i="16"/>
  <c r="G102" i="16"/>
  <c r="G141" i="16"/>
  <c r="G103" i="16"/>
  <c r="G93" i="16"/>
  <c r="G104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75" i="16"/>
  <c r="G68" i="16"/>
  <c r="G72" i="16" s="1"/>
  <c r="G59" i="16"/>
  <c r="G60" i="16"/>
  <c r="G61" i="16"/>
  <c r="G62" i="16"/>
  <c r="G63" i="16"/>
  <c r="G64" i="16"/>
  <c r="G65" i="16"/>
  <c r="G58" i="16"/>
  <c r="G66" i="16" s="1"/>
  <c r="G51" i="16"/>
  <c r="G131" i="16"/>
  <c r="G27" i="16"/>
  <c r="G114" i="16" s="1"/>
  <c r="G28" i="16"/>
  <c r="G115" i="16" s="1"/>
  <c r="G29" i="16"/>
  <c r="G30" i="16"/>
  <c r="G31" i="16"/>
  <c r="G32" i="16"/>
  <c r="G33" i="16"/>
  <c r="G34" i="16"/>
  <c r="G35" i="16"/>
  <c r="G119" i="16" s="1"/>
  <c r="G36" i="16"/>
  <c r="G37" i="16"/>
  <c r="G38" i="16"/>
  <c r="G39" i="16"/>
  <c r="G40" i="16"/>
  <c r="G123" i="16" s="1"/>
  <c r="G41" i="16"/>
  <c r="G124" i="16" s="1"/>
  <c r="G42" i="16"/>
  <c r="G26" i="16"/>
  <c r="G43" i="16" s="1"/>
  <c r="G44" i="16" s="1"/>
  <c r="G15" i="16"/>
  <c r="G16" i="16"/>
  <c r="G17" i="16"/>
  <c r="G18" i="16"/>
  <c r="G19" i="16"/>
  <c r="G138" i="16" s="1"/>
  <c r="G20" i="16"/>
  <c r="G21" i="16"/>
  <c r="G22" i="16"/>
  <c r="G14" i="16"/>
  <c r="G23" i="16" s="1"/>
  <c r="G4" i="16"/>
  <c r="G5" i="16"/>
  <c r="G6" i="16"/>
  <c r="G7" i="16"/>
  <c r="G8" i="16"/>
  <c r="G9" i="16"/>
  <c r="G10" i="16"/>
  <c r="G11" i="16"/>
  <c r="G12" i="16"/>
  <c r="G3" i="16"/>
  <c r="G13" i="16" s="1"/>
  <c r="G132" i="16"/>
  <c r="G72" i="16" a="1"/>
  <c r="F27" i="16"/>
  <c r="F114" i="16" s="1"/>
  <c r="F37" i="16"/>
  <c r="F39" i="16"/>
  <c r="F35" i="16"/>
  <c r="F119" i="16" s="1"/>
  <c r="F29" i="16"/>
  <c r="CB10" i="3"/>
  <c r="F65" i="16"/>
  <c r="F60" i="16"/>
  <c r="F41" i="16"/>
  <c r="F124" i="16" s="1"/>
  <c r="F132" i="16"/>
  <c r="E13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F15" i="16"/>
  <c r="F16" i="16"/>
  <c r="F17" i="16"/>
  <c r="F18" i="16"/>
  <c r="F19" i="16"/>
  <c r="F138" i="16" s="1"/>
  <c r="F20" i="16"/>
  <c r="F21" i="16"/>
  <c r="F22" i="16"/>
  <c r="F142" i="16" s="1"/>
  <c r="F14" i="16"/>
  <c r="F23" i="16" s="1"/>
  <c r="F94" i="16"/>
  <c r="F95" i="16"/>
  <c r="F96" i="16"/>
  <c r="F97" i="16"/>
  <c r="F98" i="16"/>
  <c r="F99" i="16"/>
  <c r="F100" i="16"/>
  <c r="F101" i="16"/>
  <c r="F140" i="16"/>
  <c r="F102" i="16"/>
  <c r="F141" i="16"/>
  <c r="F103" i="16"/>
  <c r="F93" i="16"/>
  <c r="E94" i="16"/>
  <c r="E95" i="16"/>
  <c r="E96" i="16"/>
  <c r="E97" i="16"/>
  <c r="E98" i="16"/>
  <c r="E99" i="16"/>
  <c r="E100" i="16"/>
  <c r="E101" i="16"/>
  <c r="E140" i="16"/>
  <c r="E103" i="16"/>
  <c r="E93" i="16"/>
  <c r="D104" i="16"/>
  <c r="F90" i="16"/>
  <c r="E90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75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D91" i="16"/>
  <c r="F69" i="16"/>
  <c r="F70" i="16"/>
  <c r="F71" i="16"/>
  <c r="E69" i="16"/>
  <c r="E70" i="16"/>
  <c r="E71" i="16"/>
  <c r="E72" i="16" a="1"/>
  <c r="E68" i="16"/>
  <c r="E72" i="16" s="1"/>
  <c r="F59" i="16"/>
  <c r="F61" i="16"/>
  <c r="F62" i="16"/>
  <c r="F63" i="16"/>
  <c r="F64" i="16"/>
  <c r="F58" i="16"/>
  <c r="E59" i="16"/>
  <c r="E60" i="16"/>
  <c r="E61" i="16"/>
  <c r="E62" i="16"/>
  <c r="E63" i="16"/>
  <c r="E64" i="16"/>
  <c r="E65" i="16"/>
  <c r="E58" i="16"/>
  <c r="D72" i="16" a="1"/>
  <c r="D72" i="16"/>
  <c r="D73" i="16"/>
  <c r="D66" i="16"/>
  <c r="F47" i="16"/>
  <c r="F127" i="16"/>
  <c r="F48" i="16"/>
  <c r="F128" i="16"/>
  <c r="F49" i="16"/>
  <c r="F50" i="16"/>
  <c r="F130" i="16"/>
  <c r="F51" i="16"/>
  <c r="F131" i="16"/>
  <c r="F46" i="16"/>
  <c r="F126" i="16"/>
  <c r="E47" i="16"/>
  <c r="E48" i="16"/>
  <c r="E49" i="16"/>
  <c r="E50" i="16"/>
  <c r="E130" i="16"/>
  <c r="E51" i="16"/>
  <c r="E131" i="16"/>
  <c r="E46" i="16"/>
  <c r="D55" i="16"/>
  <c r="D56" i="16"/>
  <c r="F28" i="16"/>
  <c r="F115" i="16" s="1"/>
  <c r="F30" i="16"/>
  <c r="F31" i="16"/>
  <c r="F32" i="16"/>
  <c r="F33" i="16"/>
  <c r="F34" i="16"/>
  <c r="F36" i="16"/>
  <c r="F38" i="16"/>
  <c r="F40" i="16"/>
  <c r="F123" i="16" s="1"/>
  <c r="F42" i="16"/>
  <c r="E27" i="16"/>
  <c r="E114" i="16" s="1"/>
  <c r="E28" i="16"/>
  <c r="E115" i="16" s="1"/>
  <c r="E29" i="16"/>
  <c r="E30" i="16"/>
  <c r="E31" i="16"/>
  <c r="E32" i="16"/>
  <c r="E33" i="16"/>
  <c r="E34" i="16"/>
  <c r="E35" i="16"/>
  <c r="E119" i="16" s="1"/>
  <c r="E36" i="16"/>
  <c r="E37" i="16"/>
  <c r="E38" i="16"/>
  <c r="E39" i="16"/>
  <c r="E41" i="16"/>
  <c r="E124" i="16" s="1"/>
  <c r="E42" i="16"/>
  <c r="D43" i="16"/>
  <c r="D44" i="16"/>
  <c r="E15" i="16"/>
  <c r="E16" i="16"/>
  <c r="E17" i="16"/>
  <c r="E18" i="16"/>
  <c r="E19" i="16"/>
  <c r="E138" i="16" s="1"/>
  <c r="E20" i="16"/>
  <c r="E21" i="16"/>
  <c r="E22" i="16"/>
  <c r="E14" i="16"/>
  <c r="F4" i="16"/>
  <c r="F5" i="16"/>
  <c r="F6" i="16"/>
  <c r="F7" i="16"/>
  <c r="F8" i="16"/>
  <c r="F9" i="16"/>
  <c r="F10" i="16"/>
  <c r="F11" i="16"/>
  <c r="F12" i="16"/>
  <c r="F3" i="16"/>
  <c r="F13" i="16" s="1"/>
  <c r="E4" i="16"/>
  <c r="E5" i="16"/>
  <c r="E6" i="16"/>
  <c r="E7" i="16"/>
  <c r="E8" i="16"/>
  <c r="E9" i="16"/>
  <c r="E10" i="16"/>
  <c r="E11" i="16"/>
  <c r="E12" i="16"/>
  <c r="E3" i="16"/>
  <c r="D23" i="16"/>
  <c r="D13" i="16"/>
  <c r="D24" i="16"/>
  <c r="F68" i="16"/>
  <c r="F72" i="16" s="1"/>
  <c r="E77" i="16"/>
  <c r="E75" i="16"/>
  <c r="E91" i="16"/>
  <c r="E40" i="16"/>
  <c r="E123" i="16" s="1"/>
  <c r="E26" i="16"/>
  <c r="E43" i="16" s="1"/>
  <c r="E44" i="16" s="1"/>
  <c r="E76" i="16"/>
  <c r="V17" i="9"/>
  <c r="AM4" i="4"/>
  <c r="AM5" i="4"/>
  <c r="AM6" i="4"/>
  <c r="AM7" i="4"/>
  <c r="AM8" i="4"/>
  <c r="AM9" i="4"/>
  <c r="AM10" i="4"/>
  <c r="AM12" i="4"/>
  <c r="AM13" i="4"/>
  <c r="AM14" i="4"/>
  <c r="AM24" i="4"/>
  <c r="AM25" i="4"/>
  <c r="CC3" i="3"/>
  <c r="CC4" i="3"/>
  <c r="CC5" i="3"/>
  <c r="CC6" i="3"/>
  <c r="V32" i="9"/>
  <c r="D105" i="16"/>
  <c r="F72" i="16" a="1"/>
  <c r="E102" i="16"/>
  <c r="E141" i="16"/>
  <c r="D108" i="16"/>
  <c r="H72" i="16" a="1"/>
  <c r="F91" i="16"/>
  <c r="D109" i="16"/>
  <c r="D110" i="16"/>
  <c r="M72" i="16" a="1"/>
  <c r="G50" i="16"/>
  <c r="G130" i="16"/>
  <c r="H46" i="16"/>
  <c r="H126" i="16"/>
  <c r="M50" i="16"/>
  <c r="K12" i="16"/>
  <c r="K69" i="16"/>
  <c r="M18" i="16"/>
  <c r="I126" i="16"/>
  <c r="F104" i="16"/>
  <c r="F105" i="16"/>
  <c r="F129" i="16"/>
  <c r="J141" i="16"/>
  <c r="E104" i="16"/>
  <c r="E105" i="16"/>
  <c r="K129" i="16"/>
  <c r="H104" i="16"/>
  <c r="H105" i="16"/>
  <c r="K126" i="16"/>
  <c r="K104" i="16"/>
  <c r="K105" i="16"/>
  <c r="H128" i="16"/>
  <c r="I127" i="16"/>
  <c r="G91" i="16"/>
  <c r="G105" i="16"/>
  <c r="G127" i="16"/>
  <c r="M98" i="16"/>
  <c r="I91" i="16"/>
  <c r="M83" i="16"/>
  <c r="M84" i="16"/>
  <c r="M94" i="16"/>
  <c r="J91" i="16"/>
  <c r="J140" i="16"/>
  <c r="M101" i="16"/>
  <c r="I104" i="16"/>
  <c r="I105" i="16"/>
  <c r="M100" i="16"/>
  <c r="J104" i="16"/>
  <c r="E129" i="16"/>
  <c r="J126" i="16"/>
  <c r="M76" i="16"/>
  <c r="E128" i="16"/>
  <c r="K128" i="16"/>
  <c r="E127" i="16"/>
  <c r="G126" i="16"/>
  <c r="H129" i="16"/>
  <c r="H127" i="16"/>
  <c r="K127" i="16"/>
  <c r="I129" i="16"/>
  <c r="E126" i="16"/>
  <c r="G129" i="16"/>
  <c r="J128" i="16"/>
  <c r="J69" i="16"/>
  <c r="M69" i="16" s="1"/>
  <c r="I69" i="16"/>
  <c r="K59" i="16"/>
  <c r="M48" i="16"/>
  <c r="I119" i="16"/>
  <c r="M12" i="16"/>
  <c r="K23" i="16"/>
  <c r="I13" i="16"/>
  <c r="K55" i="16"/>
  <c r="F26" i="16"/>
  <c r="H55" i="16"/>
  <c r="M51" i="16"/>
  <c r="M49" i="16"/>
  <c r="E55" i="16"/>
  <c r="E56" i="16"/>
  <c r="M46" i="16"/>
  <c r="J55" i="16"/>
  <c r="J56" i="16"/>
  <c r="F55" i="16"/>
  <c r="F56" i="16"/>
  <c r="K56" i="16"/>
  <c r="M47" i="16"/>
  <c r="G48" i="16"/>
  <c r="I55" i="16"/>
  <c r="J105" i="16"/>
  <c r="M91" i="16"/>
  <c r="M104" i="16"/>
  <c r="H56" i="16"/>
  <c r="M55" i="16"/>
  <c r="M56" i="16"/>
  <c r="O47" i="16"/>
  <c r="G55" i="16"/>
  <c r="G128" i="16"/>
  <c r="I56" i="16"/>
  <c r="M105" i="16"/>
  <c r="O98" i="16"/>
  <c r="O80" i="16"/>
  <c r="O96" i="16"/>
  <c r="O95" i="16"/>
  <c r="O82" i="16"/>
  <c r="O90" i="16"/>
  <c r="O79" i="16"/>
  <c r="O78" i="16"/>
  <c r="O85" i="16"/>
  <c r="O93" i="16"/>
  <c r="O97" i="16"/>
  <c r="O77" i="16"/>
  <c r="O75" i="16"/>
  <c r="O88" i="16"/>
  <c r="O81" i="16"/>
  <c r="O89" i="16"/>
  <c r="O102" i="16"/>
  <c r="O86" i="16"/>
  <c r="O99" i="16"/>
  <c r="O87" i="16"/>
  <c r="O103" i="16"/>
  <c r="O49" i="16"/>
  <c r="O51" i="16"/>
  <c r="O50" i="16"/>
  <c r="O46" i="16"/>
  <c r="O48" i="16"/>
  <c r="G56" i="16"/>
  <c r="O84" i="16"/>
  <c r="O76" i="16"/>
  <c r="O101" i="16"/>
  <c r="O100" i="16"/>
  <c r="O83" i="16"/>
  <c r="O94" i="16"/>
  <c r="O104" i="16"/>
  <c r="O91" i="16"/>
  <c r="K71" i="16"/>
  <c r="I8" i="19"/>
  <c r="O56" i="16"/>
  <c r="O105" i="16"/>
  <c r="D8" i="19"/>
  <c r="K21" i="8"/>
  <c r="P21" i="8" s="1"/>
  <c r="U21" i="8" s="1"/>
  <c r="K70" i="16"/>
  <c r="K19" i="8"/>
  <c r="P19" i="8" s="1"/>
  <c r="U19" i="8" s="1"/>
  <c r="K17" i="8"/>
  <c r="P17" i="8" s="1"/>
  <c r="K5" i="8"/>
  <c r="P5" i="8" s="1"/>
  <c r="K7" i="8"/>
  <c r="P7" i="8" s="1"/>
  <c r="K9" i="8"/>
  <c r="P9" i="8" s="1"/>
  <c r="C18" i="10"/>
  <c r="C35" i="10"/>
  <c r="C36" i="10"/>
  <c r="C31" i="10"/>
  <c r="C34" i="10"/>
  <c r="F22" i="8"/>
  <c r="K20" i="8"/>
  <c r="P20" i="8" s="1"/>
  <c r="U20" i="8" s="1"/>
  <c r="K10" i="8"/>
  <c r="R103" i="6" s="1"/>
  <c r="K8" i="8"/>
  <c r="R101" i="6" s="1"/>
  <c r="S101" i="6" s="1"/>
  <c r="K6" i="8"/>
  <c r="R99" i="6" s="1"/>
  <c r="S99" i="6" s="1"/>
  <c r="F14" i="8"/>
  <c r="H31" i="10"/>
  <c r="H18" i="10"/>
  <c r="H35" i="10"/>
  <c r="H36" i="10"/>
  <c r="H23" i="16"/>
  <c r="H63" i="6"/>
  <c r="I63" i="6" s="1"/>
  <c r="J63" i="6" s="1"/>
  <c r="G50" i="6"/>
  <c r="H26" i="6"/>
  <c r="I27" i="6"/>
  <c r="J27" i="6" s="1"/>
  <c r="K27" i="6" s="1"/>
  <c r="L27" i="6" s="1"/>
  <c r="M27" i="6" s="1"/>
  <c r="N27" i="6" s="1"/>
  <c r="O27" i="6" s="1"/>
  <c r="H31" i="6"/>
  <c r="Y31" i="6" s="1"/>
  <c r="H30" i="6"/>
  <c r="P4" i="3"/>
  <c r="T6" i="6" s="1"/>
  <c r="E117" i="16"/>
  <c r="I134" i="16"/>
  <c r="BX24" i="3"/>
  <c r="G53" i="2" s="1"/>
  <c r="O32" i="9"/>
  <c r="S53" i="6"/>
  <c r="R12" i="23"/>
  <c r="R10" i="23"/>
  <c r="R16" i="23"/>
  <c r="BP16" i="23"/>
  <c r="X61" i="6" s="1"/>
  <c r="R5" i="23"/>
  <c r="R18" i="23"/>
  <c r="S64" i="6"/>
  <c r="H25" i="23"/>
  <c r="H27" i="23"/>
  <c r="H28" i="23"/>
  <c r="R8" i="23"/>
  <c r="R20" i="23"/>
  <c r="R9" i="23"/>
  <c r="R11" i="23"/>
  <c r="R13" i="23"/>
  <c r="R6" i="23"/>
  <c r="M34" i="10"/>
  <c r="R33" i="10"/>
  <c r="M25" i="23"/>
  <c r="M27" i="23"/>
  <c r="M28" i="23"/>
  <c r="M28" i="16"/>
  <c r="I35" i="10"/>
  <c r="M34" i="22"/>
  <c r="K35" i="22"/>
  <c r="H35" i="22"/>
  <c r="H36" i="22"/>
  <c r="F155" i="6"/>
  <c r="G155" i="6"/>
  <c r="H155" i="6" s="1"/>
  <c r="I155" i="6" s="1"/>
  <c r="J155" i="6" s="1"/>
  <c r="K155" i="6" s="1"/>
  <c r="L155" i="6" s="1"/>
  <c r="M155" i="6" s="1"/>
  <c r="N155" i="6" s="1"/>
  <c r="O155" i="6"/>
  <c r="G165" i="6"/>
  <c r="H165" i="6" s="1"/>
  <c r="I165" i="6" s="1"/>
  <c r="J165" i="6" s="1"/>
  <c r="K165" i="6" s="1"/>
  <c r="L165" i="6" s="1"/>
  <c r="M165" i="6" s="1"/>
  <c r="N165" i="6" s="1"/>
  <c r="O165" i="6" s="1"/>
  <c r="I164" i="6"/>
  <c r="J164" i="6" s="1"/>
  <c r="K164" i="6" s="1"/>
  <c r="L164" i="6" s="1"/>
  <c r="M164" i="6" s="1"/>
  <c r="N164" i="6" s="1"/>
  <c r="O164" i="6" s="1"/>
  <c r="E154" i="6"/>
  <c r="F154" i="6" s="1"/>
  <c r="G154" i="6" s="1"/>
  <c r="H154" i="6" s="1"/>
  <c r="I154" i="6" s="1"/>
  <c r="L152" i="6"/>
  <c r="M152" i="6" s="1"/>
  <c r="N152" i="6" s="1"/>
  <c r="S164" i="6"/>
  <c r="F136" i="6"/>
  <c r="G128" i="6"/>
  <c r="H128" i="6" s="1"/>
  <c r="I128" i="6" s="1"/>
  <c r="J128" i="6" s="1"/>
  <c r="F45" i="6"/>
  <c r="F69" i="6" s="1"/>
  <c r="E43" i="6"/>
  <c r="F43" i="6"/>
  <c r="F67" i="6" s="1"/>
  <c r="G43" i="6"/>
  <c r="H43" i="6"/>
  <c r="F110" i="6"/>
  <c r="G110" i="6" s="1"/>
  <c r="H110" i="6" s="1"/>
  <c r="I110" i="6" s="1"/>
  <c r="J110" i="6" s="1"/>
  <c r="K110" i="6" s="1"/>
  <c r="L110" i="6" s="1"/>
  <c r="M110" i="6" s="1"/>
  <c r="N110" i="6" s="1"/>
  <c r="O110" i="6" s="1"/>
  <c r="F109" i="6"/>
  <c r="G109" i="6" s="1"/>
  <c r="H109" i="6" s="1"/>
  <c r="I109" i="6" s="1"/>
  <c r="G49" i="6"/>
  <c r="H49" i="6" s="1"/>
  <c r="I49" i="6" s="1"/>
  <c r="J49" i="6" s="1"/>
  <c r="K49" i="6" s="1"/>
  <c r="L49" i="6" s="1"/>
  <c r="M49" i="6" s="1"/>
  <c r="N49" i="6" s="1"/>
  <c r="O49" i="6" s="1"/>
  <c r="G25" i="6"/>
  <c r="H25" i="6" s="1"/>
  <c r="F9" i="6"/>
  <c r="W9" i="6" s="1"/>
  <c r="S21" i="6"/>
  <c r="E10" i="6"/>
  <c r="U10" i="6" s="1"/>
  <c r="F10" i="6"/>
  <c r="W10" i="6" s="1"/>
  <c r="H15" i="6"/>
  <c r="I15" i="6"/>
  <c r="J15" i="6" s="1"/>
  <c r="K15" i="6" s="1"/>
  <c r="L15" i="6" s="1"/>
  <c r="M15" i="6" s="1"/>
  <c r="N15" i="6" s="1"/>
  <c r="O15" i="6" s="1"/>
  <c r="G12" i="6"/>
  <c r="H12" i="6"/>
  <c r="I12" i="6"/>
  <c r="J12" i="6" s="1"/>
  <c r="K12" i="6" s="1"/>
  <c r="L12" i="6" s="1"/>
  <c r="M12" i="6" s="1"/>
  <c r="N12" i="6" s="1"/>
  <c r="O12" i="6" s="1"/>
  <c r="F13" i="6"/>
  <c r="L35" i="10"/>
  <c r="J35" i="10"/>
  <c r="M8" i="10"/>
  <c r="R167" i="6"/>
  <c r="I17" i="2" s="1"/>
  <c r="J17" i="2" s="1"/>
  <c r="S148" i="6"/>
  <c r="M31" i="22"/>
  <c r="R121" i="6"/>
  <c r="S121" i="6" s="1"/>
  <c r="M8" i="22"/>
  <c r="M31" i="10"/>
  <c r="S49" i="6"/>
  <c r="R25" i="23"/>
  <c r="R27" i="23"/>
  <c r="R28" i="23"/>
  <c r="R59" i="6"/>
  <c r="S59" i="6" s="1"/>
  <c r="S63" i="6"/>
  <c r="R52" i="6"/>
  <c r="R58" i="6"/>
  <c r="S58" i="6" s="1"/>
  <c r="S65" i="6"/>
  <c r="R55" i="6"/>
  <c r="S55" i="6" s="1"/>
  <c r="R56" i="6"/>
  <c r="S56" i="6" s="1"/>
  <c r="P155" i="6"/>
  <c r="M18" i="10"/>
  <c r="M35" i="10"/>
  <c r="M36" i="10"/>
  <c r="M18" i="22"/>
  <c r="M35" i="22"/>
  <c r="R139" i="6"/>
  <c r="C14" i="2" s="1"/>
  <c r="I14" i="2" s="1"/>
  <c r="J14" i="2" s="1"/>
  <c r="K14" i="2" s="1"/>
  <c r="M36" i="22"/>
  <c r="M14" i="8"/>
  <c r="N14" i="8"/>
  <c r="M58" i="16"/>
  <c r="K72" i="16"/>
  <c r="S86" i="6"/>
  <c r="S87" i="6"/>
  <c r="S80" i="6"/>
  <c r="R11" i="24"/>
  <c r="V81" i="6" s="1"/>
  <c r="S88" i="6"/>
  <c r="R18" i="24"/>
  <c r="V88" i="6" s="1"/>
  <c r="S82" i="6"/>
  <c r="R19" i="24"/>
  <c r="V89" i="6" s="1"/>
  <c r="R31" i="10"/>
  <c r="S62" i="6"/>
  <c r="O35" i="10"/>
  <c r="R35" i="22"/>
  <c r="R36" i="22"/>
  <c r="R18" i="10"/>
  <c r="R3" i="25"/>
  <c r="M24" i="25"/>
  <c r="M26" i="25"/>
  <c r="H24" i="25"/>
  <c r="R24" i="25"/>
  <c r="R26" i="25"/>
  <c r="R20" i="6" l="1"/>
  <c r="S20" i="6" s="1"/>
  <c r="CC24" i="3"/>
  <c r="V26" i="3"/>
  <c r="E118" i="16"/>
  <c r="F113" i="16"/>
  <c r="W34" i="22"/>
  <c r="AE12" i="8"/>
  <c r="AB24" i="25"/>
  <c r="Z182" i="6"/>
  <c r="J138" i="16"/>
  <c r="R19" i="6"/>
  <c r="S19" i="6" s="1"/>
  <c r="BT23" i="3"/>
  <c r="BO23" i="3"/>
  <c r="BS24" i="3"/>
  <c r="BV21" i="3"/>
  <c r="BS21" i="3"/>
  <c r="AJ14" i="8"/>
  <c r="G142" i="16"/>
  <c r="AJ22" i="8"/>
  <c r="M16" i="24"/>
  <c r="M3" i="24"/>
  <c r="M17" i="24"/>
  <c r="M12" i="24"/>
  <c r="M4" i="24"/>
  <c r="M13" i="24"/>
  <c r="E23" i="2"/>
  <c r="E33" i="2"/>
  <c r="M6" i="24"/>
  <c r="T76" i="6" s="1"/>
  <c r="R76" i="6"/>
  <c r="W11" i="24"/>
  <c r="H24" i="24"/>
  <c r="H26" i="24" s="1"/>
  <c r="H27" i="24" s="1"/>
  <c r="R10" i="24"/>
  <c r="M7" i="24"/>
  <c r="R77" i="6"/>
  <c r="M14" i="24"/>
  <c r="M20" i="24"/>
  <c r="M8" i="24"/>
  <c r="R78" i="6"/>
  <c r="S78" i="6" s="1"/>
  <c r="M9" i="24"/>
  <c r="R79" i="6"/>
  <c r="M15" i="24"/>
  <c r="W19" i="24"/>
  <c r="S60" i="6"/>
  <c r="BP25" i="23"/>
  <c r="E43" i="2"/>
  <c r="S66" i="6"/>
  <c r="S61" i="6"/>
  <c r="X70" i="6"/>
  <c r="G42" i="2"/>
  <c r="I125" i="16"/>
  <c r="H125" i="16"/>
  <c r="G117" i="16"/>
  <c r="G118" i="16"/>
  <c r="F125" i="16"/>
  <c r="H120" i="16"/>
  <c r="G135" i="16"/>
  <c r="T26" i="3"/>
  <c r="E32" i="2" s="1"/>
  <c r="R12" i="6"/>
  <c r="S12" i="6" s="1"/>
  <c r="I120" i="16"/>
  <c r="K120" i="16"/>
  <c r="R7" i="6"/>
  <c r="S7" i="6" s="1"/>
  <c r="F139" i="16"/>
  <c r="K133" i="16"/>
  <c r="AQ26" i="3"/>
  <c r="K66" i="16"/>
  <c r="K109" i="16" s="1"/>
  <c r="H136" i="16"/>
  <c r="F122" i="16"/>
  <c r="J116" i="16"/>
  <c r="M3" i="16"/>
  <c r="M13" i="16" s="1"/>
  <c r="AU26" i="3"/>
  <c r="R5" i="6"/>
  <c r="S5" i="6" s="1"/>
  <c r="AS26" i="3"/>
  <c r="BG26" i="3"/>
  <c r="X183" i="6"/>
  <c r="Y183" i="6" s="1"/>
  <c r="X177" i="6"/>
  <c r="Y177" i="6" s="1"/>
  <c r="X142" i="6"/>
  <c r="Y142" i="6" s="1"/>
  <c r="X143" i="6"/>
  <c r="Y143" i="6" s="1"/>
  <c r="X144" i="6"/>
  <c r="Y144" i="6" s="1"/>
  <c r="H6" i="9"/>
  <c r="Y28" i="8"/>
  <c r="E46" i="2" s="1"/>
  <c r="U17" i="9"/>
  <c r="G55" i="2" s="1"/>
  <c r="X159" i="6"/>
  <c r="Y159" i="6" s="1"/>
  <c r="X157" i="6"/>
  <c r="Y157" i="6" s="1"/>
  <c r="X161" i="6"/>
  <c r="Y161" i="6" s="1"/>
  <c r="H10" i="9"/>
  <c r="J10" i="9" s="1"/>
  <c r="X148" i="6"/>
  <c r="Y148" i="6" s="1"/>
  <c r="X116" i="6"/>
  <c r="Y116" i="6" s="1"/>
  <c r="W18" i="22"/>
  <c r="X115" i="6"/>
  <c r="Y115" i="6" s="1"/>
  <c r="X128" i="6"/>
  <c r="Y128" i="6" s="1"/>
  <c r="W31" i="22"/>
  <c r="R34" i="10"/>
  <c r="R35" i="10" s="1"/>
  <c r="R36" i="10" s="1"/>
  <c r="V166" i="6"/>
  <c r="X156" i="6"/>
  <c r="Y156" i="6" s="1"/>
  <c r="T32" i="9"/>
  <c r="X32" i="9"/>
  <c r="X133" i="6"/>
  <c r="X132" i="6"/>
  <c r="Y132" i="6" s="1"/>
  <c r="X134" i="6"/>
  <c r="X129" i="6"/>
  <c r="Y129" i="6" s="1"/>
  <c r="X130" i="6"/>
  <c r="X131" i="6"/>
  <c r="I122" i="16"/>
  <c r="H122" i="16"/>
  <c r="H121" i="16"/>
  <c r="H133" i="16"/>
  <c r="M28" i="8"/>
  <c r="AW26" i="3"/>
  <c r="H118" i="16"/>
  <c r="P15" i="3"/>
  <c r="T13" i="6" s="1"/>
  <c r="U13" i="6" s="1"/>
  <c r="I118" i="16"/>
  <c r="J121" i="16"/>
  <c r="K121" i="16"/>
  <c r="F117" i="16"/>
  <c r="J43" i="16"/>
  <c r="J44" i="16" s="1"/>
  <c r="H113" i="16"/>
  <c r="K117" i="16"/>
  <c r="J118" i="16"/>
  <c r="G113" i="16"/>
  <c r="M40" i="16"/>
  <c r="J113" i="16"/>
  <c r="E116" i="16"/>
  <c r="G121" i="16"/>
  <c r="BI26" i="3"/>
  <c r="BI27" i="3" s="1"/>
  <c r="AA26" i="3"/>
  <c r="AM26" i="3"/>
  <c r="G116" i="16"/>
  <c r="J122" i="16"/>
  <c r="U25" i="8"/>
  <c r="V104" i="6" s="1"/>
  <c r="T104" i="6"/>
  <c r="U104" i="6" s="1"/>
  <c r="U9" i="8"/>
  <c r="T102" i="6"/>
  <c r="U102" i="6" s="1"/>
  <c r="U7" i="8"/>
  <c r="T100" i="6"/>
  <c r="U100" i="6" s="1"/>
  <c r="J72" i="16"/>
  <c r="J73" i="16" s="1"/>
  <c r="U5" i="8"/>
  <c r="T98" i="6"/>
  <c r="U98" i="6" s="1"/>
  <c r="AI14" i="8"/>
  <c r="G28" i="8"/>
  <c r="U17" i="8"/>
  <c r="T107" i="6"/>
  <c r="U107" i="6" s="1"/>
  <c r="X160" i="6"/>
  <c r="Y160" i="6" s="1"/>
  <c r="X162" i="6"/>
  <c r="X158" i="6"/>
  <c r="X138" i="6"/>
  <c r="X9" i="4"/>
  <c r="X182" i="6"/>
  <c r="Y182" i="6" s="1"/>
  <c r="X195" i="6"/>
  <c r="Y15" i="4"/>
  <c r="Y26" i="4" s="1"/>
  <c r="M41" i="16"/>
  <c r="P10" i="4"/>
  <c r="T31" i="6" s="1"/>
  <c r="U31" i="6" s="1"/>
  <c r="R31" i="6"/>
  <c r="S31" i="6" s="1"/>
  <c r="J28" i="4"/>
  <c r="E13" i="2"/>
  <c r="P4" i="4"/>
  <c r="R25" i="6"/>
  <c r="P9" i="4"/>
  <c r="T30" i="6" s="1"/>
  <c r="U30" i="6" s="1"/>
  <c r="R30" i="6"/>
  <c r="S30" i="6" s="1"/>
  <c r="P8" i="4"/>
  <c r="T29" i="6" s="1"/>
  <c r="U29" i="6" s="1"/>
  <c r="R29" i="6"/>
  <c r="S29" i="6" s="1"/>
  <c r="P11" i="4"/>
  <c r="T32" i="6" s="1"/>
  <c r="U32" i="6" s="1"/>
  <c r="R32" i="6"/>
  <c r="S32" i="6" s="1"/>
  <c r="E113" i="16"/>
  <c r="P7" i="4"/>
  <c r="T28" i="6" s="1"/>
  <c r="U28" i="6" s="1"/>
  <c r="R28" i="6"/>
  <c r="P21" i="4"/>
  <c r="T42" i="6" s="1"/>
  <c r="U42" i="6" s="1"/>
  <c r="R42" i="6"/>
  <c r="S42" i="6" s="1"/>
  <c r="P6" i="4"/>
  <c r="T27" i="6" s="1"/>
  <c r="U27" i="6" s="1"/>
  <c r="R27" i="6"/>
  <c r="S27" i="6" s="1"/>
  <c r="P20" i="4"/>
  <c r="T41" i="6" s="1"/>
  <c r="U41" i="6" s="1"/>
  <c r="R41" i="6"/>
  <c r="S41" i="6" s="1"/>
  <c r="P19" i="4"/>
  <c r="T40" i="6" s="1"/>
  <c r="U40" i="6" s="1"/>
  <c r="R40" i="6"/>
  <c r="S40" i="6" s="1"/>
  <c r="P18" i="4"/>
  <c r="T39" i="6" s="1"/>
  <c r="U39" i="6" s="1"/>
  <c r="R39" i="6"/>
  <c r="S39" i="6" s="1"/>
  <c r="P14" i="4"/>
  <c r="T35" i="6" s="1"/>
  <c r="U35" i="6" s="1"/>
  <c r="R35" i="6"/>
  <c r="S35" i="6" s="1"/>
  <c r="P13" i="4"/>
  <c r="T34" i="6" s="1"/>
  <c r="U34" i="6" s="1"/>
  <c r="R34" i="6"/>
  <c r="S34" i="6" s="1"/>
  <c r="P12" i="4"/>
  <c r="R33" i="6"/>
  <c r="S33" i="6" s="1"/>
  <c r="J139" i="16"/>
  <c r="R16" i="6"/>
  <c r="S16" i="6" s="1"/>
  <c r="F116" i="16"/>
  <c r="E13" i="16"/>
  <c r="E108" i="16" s="1"/>
  <c r="J23" i="16"/>
  <c r="J24" i="16" s="1"/>
  <c r="H26" i="3"/>
  <c r="R14" i="6"/>
  <c r="S14" i="6" s="1"/>
  <c r="M14" i="16"/>
  <c r="M23" i="16" s="1"/>
  <c r="G125" i="16"/>
  <c r="G134" i="16"/>
  <c r="F26" i="3"/>
  <c r="F27" i="3" s="1"/>
  <c r="G136" i="16"/>
  <c r="AB26" i="3"/>
  <c r="BL26" i="3"/>
  <c r="G24" i="16"/>
  <c r="F133" i="16"/>
  <c r="AN26" i="3"/>
  <c r="K24" i="16"/>
  <c r="E23" i="16"/>
  <c r="BF26" i="3"/>
  <c r="G122" i="16"/>
  <c r="U18" i="6"/>
  <c r="P19" i="3"/>
  <c r="T17" i="6" s="1"/>
  <c r="U17" i="6" s="1"/>
  <c r="BC26" i="3"/>
  <c r="F135" i="16"/>
  <c r="I24" i="16"/>
  <c r="K142" i="16"/>
  <c r="AR26" i="3"/>
  <c r="BD26" i="3"/>
  <c r="BD27" i="3" s="1"/>
  <c r="N26" i="3"/>
  <c r="I26" i="3"/>
  <c r="R18" i="6"/>
  <c r="S18" i="6" s="1"/>
  <c r="R15" i="6"/>
  <c r="S15" i="6" s="1"/>
  <c r="AY26" i="3"/>
  <c r="AY27" i="3" s="1"/>
  <c r="H24" i="16"/>
  <c r="I133" i="16"/>
  <c r="K118" i="16"/>
  <c r="P6" i="3"/>
  <c r="P10" i="3" s="1"/>
  <c r="G137" i="16"/>
  <c r="I137" i="16"/>
  <c r="U17" i="3"/>
  <c r="V15" i="6" s="1"/>
  <c r="W15" i="6" s="1"/>
  <c r="E136" i="16"/>
  <c r="AV26" i="3"/>
  <c r="BH26" i="3"/>
  <c r="G26" i="3"/>
  <c r="K116" i="16"/>
  <c r="K136" i="16"/>
  <c r="AX26" i="3"/>
  <c r="K135" i="16"/>
  <c r="BK26" i="3"/>
  <c r="H139" i="16"/>
  <c r="U12" i="6"/>
  <c r="AO26" i="3"/>
  <c r="AO27" i="3" s="1"/>
  <c r="F24" i="16"/>
  <c r="AD26" i="3"/>
  <c r="E53" i="2" s="1"/>
  <c r="CC10" i="3"/>
  <c r="E133" i="16"/>
  <c r="F134" i="16"/>
  <c r="J134" i="16"/>
  <c r="R26" i="3"/>
  <c r="AI26" i="3"/>
  <c r="K10" i="3"/>
  <c r="J26" i="3"/>
  <c r="E12" i="2" s="1"/>
  <c r="T5" i="6"/>
  <c r="U5" i="6" s="1"/>
  <c r="U3" i="3"/>
  <c r="T16" i="6"/>
  <c r="U16" i="6" s="1"/>
  <c r="U18" i="3"/>
  <c r="U4" i="3"/>
  <c r="E125" i="16"/>
  <c r="F137" i="16"/>
  <c r="H109" i="16"/>
  <c r="U15" i="6"/>
  <c r="U13" i="3"/>
  <c r="M4" i="16"/>
  <c r="H142" i="16"/>
  <c r="I136" i="16"/>
  <c r="J135" i="16"/>
  <c r="BJ26" i="3"/>
  <c r="F136" i="16"/>
  <c r="H117" i="16"/>
  <c r="E142" i="16"/>
  <c r="H116" i="16"/>
  <c r="H137" i="16"/>
  <c r="I135" i="16"/>
  <c r="L26" i="3"/>
  <c r="S26" i="3"/>
  <c r="AZ26" i="3"/>
  <c r="K24" i="3"/>
  <c r="E139" i="16"/>
  <c r="G120" i="16"/>
  <c r="I139" i="16"/>
  <c r="I113" i="16"/>
  <c r="K139" i="16"/>
  <c r="M26" i="3"/>
  <c r="AF26" i="3"/>
  <c r="BM26" i="3"/>
  <c r="E120" i="16"/>
  <c r="E137" i="16"/>
  <c r="G109" i="16"/>
  <c r="H134" i="16"/>
  <c r="K125" i="16"/>
  <c r="K134" i="16"/>
  <c r="U6" i="6"/>
  <c r="AG26" i="3"/>
  <c r="AP26" i="3"/>
  <c r="BB26" i="3"/>
  <c r="BN26" i="3"/>
  <c r="BN27" i="3" s="1"/>
  <c r="U16" i="3"/>
  <c r="U14" i="3"/>
  <c r="T20" i="6"/>
  <c r="U20" i="6" s="1"/>
  <c r="F120" i="16"/>
  <c r="I116" i="16"/>
  <c r="K137" i="16"/>
  <c r="W26" i="3"/>
  <c r="AH26" i="3"/>
  <c r="F118" i="16"/>
  <c r="E134" i="16"/>
  <c r="G139" i="16"/>
  <c r="H135" i="16"/>
  <c r="J142" i="16"/>
  <c r="X26" i="3"/>
  <c r="G133" i="16"/>
  <c r="AJ26" i="3"/>
  <c r="AJ27" i="3" s="1"/>
  <c r="BE26" i="3"/>
  <c r="E135" i="16"/>
  <c r="I142" i="16"/>
  <c r="AK26" i="3"/>
  <c r="AT26" i="3"/>
  <c r="AT27" i="3" s="1"/>
  <c r="U7" i="6"/>
  <c r="BR24" i="3"/>
  <c r="H42" i="2" s="1"/>
  <c r="H48" i="2" s="1"/>
  <c r="U21" i="3"/>
  <c r="V19" i="6" s="1"/>
  <c r="T19" i="6"/>
  <c r="F162" i="6"/>
  <c r="S105" i="6"/>
  <c r="G97" i="6"/>
  <c r="P110" i="6"/>
  <c r="K128" i="6"/>
  <c r="L128" i="6" s="1"/>
  <c r="M128" i="6" s="1"/>
  <c r="N128" i="6" s="1"/>
  <c r="O128" i="6" s="1"/>
  <c r="P128" i="6"/>
  <c r="O152" i="6"/>
  <c r="P152" i="6"/>
  <c r="K111" i="6"/>
  <c r="L111" i="6" s="1"/>
  <c r="M111" i="6" s="1"/>
  <c r="N111" i="6" s="1"/>
  <c r="O111" i="6" s="1"/>
  <c r="P15" i="6"/>
  <c r="J154" i="6"/>
  <c r="K154" i="6" s="1"/>
  <c r="L154" i="6" s="1"/>
  <c r="M154" i="6" s="1"/>
  <c r="N154" i="6" s="1"/>
  <c r="O154" i="6" s="1"/>
  <c r="P154" i="6"/>
  <c r="K135" i="6"/>
  <c r="L135" i="6" s="1"/>
  <c r="M135" i="6" s="1"/>
  <c r="N135" i="6" s="1"/>
  <c r="O135" i="6" s="1"/>
  <c r="P135" i="6"/>
  <c r="G145" i="6"/>
  <c r="H145" i="6" s="1"/>
  <c r="I145" i="6" s="1"/>
  <c r="J145" i="6" s="1"/>
  <c r="K145" i="6" s="1"/>
  <c r="L145" i="6" s="1"/>
  <c r="M145" i="6" s="1"/>
  <c r="N145" i="6" s="1"/>
  <c r="O145" i="6" s="1"/>
  <c r="P145" i="6"/>
  <c r="F163" i="6"/>
  <c r="G163" i="6" s="1"/>
  <c r="H163" i="6" s="1"/>
  <c r="I163" i="6" s="1"/>
  <c r="J163" i="6" s="1"/>
  <c r="K163" i="6" s="1"/>
  <c r="L163" i="6" s="1"/>
  <c r="M163" i="6" s="1"/>
  <c r="N163" i="6" s="1"/>
  <c r="O163" i="6" s="1"/>
  <c r="P12" i="6"/>
  <c r="J109" i="6"/>
  <c r="K109" i="6" s="1"/>
  <c r="L109" i="6" s="1"/>
  <c r="M109" i="6" s="1"/>
  <c r="N109" i="6" s="1"/>
  <c r="O109" i="6" s="1"/>
  <c r="I43" i="6"/>
  <c r="J43" i="6" s="1"/>
  <c r="K43" i="6" s="1"/>
  <c r="L43" i="6" s="1"/>
  <c r="M43" i="6" s="1"/>
  <c r="N43" i="6" s="1"/>
  <c r="O43" i="6" s="1"/>
  <c r="G136" i="6"/>
  <c r="H6" i="6"/>
  <c r="I6" i="6" s="1"/>
  <c r="J6" i="6" s="1"/>
  <c r="K6" i="6" s="1"/>
  <c r="L6" i="6" s="1"/>
  <c r="M6" i="6" s="1"/>
  <c r="N6" i="6" s="1"/>
  <c r="O6" i="6" s="1"/>
  <c r="I32" i="6"/>
  <c r="Y32" i="6"/>
  <c r="G144" i="6"/>
  <c r="H144" i="6" s="1"/>
  <c r="I144" i="6" s="1"/>
  <c r="J144" i="6" s="1"/>
  <c r="K144" i="6" s="1"/>
  <c r="L144" i="6" s="1"/>
  <c r="M144" i="6" s="1"/>
  <c r="N144" i="6" s="1"/>
  <c r="O144" i="6" s="1"/>
  <c r="P129" i="6"/>
  <c r="E56" i="6"/>
  <c r="W21" i="6"/>
  <c r="G21" i="6"/>
  <c r="W119" i="6"/>
  <c r="G119" i="6"/>
  <c r="H119" i="6" s="1"/>
  <c r="I119" i="6" s="1"/>
  <c r="J119" i="6" s="1"/>
  <c r="K119" i="6" s="1"/>
  <c r="L119" i="6" s="1"/>
  <c r="M119" i="6" s="1"/>
  <c r="N119" i="6" s="1"/>
  <c r="O119" i="6" s="1"/>
  <c r="P119" i="6"/>
  <c r="G153" i="6"/>
  <c r="H153" i="6" s="1"/>
  <c r="I153" i="6" s="1"/>
  <c r="J153" i="6" s="1"/>
  <c r="K153" i="6" s="1"/>
  <c r="L153" i="6" s="1"/>
  <c r="M153" i="6" s="1"/>
  <c r="N153" i="6" s="1"/>
  <c r="O153" i="6" s="1"/>
  <c r="G146" i="6"/>
  <c r="H146" i="6" s="1"/>
  <c r="I146" i="6" s="1"/>
  <c r="J146" i="6" s="1"/>
  <c r="K146" i="6" s="1"/>
  <c r="L146" i="6" s="1"/>
  <c r="M146" i="6" s="1"/>
  <c r="N146" i="6" s="1"/>
  <c r="O146" i="6" s="1"/>
  <c r="F151" i="6"/>
  <c r="G151" i="6" s="1"/>
  <c r="H151" i="6" s="1"/>
  <c r="I151" i="6" s="1"/>
  <c r="J151" i="6" s="1"/>
  <c r="K151" i="6" s="1"/>
  <c r="L151" i="6" s="1"/>
  <c r="M151" i="6" s="1"/>
  <c r="N151" i="6" s="1"/>
  <c r="O151" i="6" s="1"/>
  <c r="P151" i="6"/>
  <c r="H118" i="6"/>
  <c r="I118" i="6" s="1"/>
  <c r="J118" i="6" s="1"/>
  <c r="K118" i="6" s="1"/>
  <c r="L118" i="6" s="1"/>
  <c r="M118" i="6" s="1"/>
  <c r="N118" i="6" s="1"/>
  <c r="O118" i="6" s="1"/>
  <c r="P118" i="6"/>
  <c r="F68" i="6"/>
  <c r="G44" i="6"/>
  <c r="G101" i="6"/>
  <c r="G156" i="6"/>
  <c r="H156" i="6" s="1"/>
  <c r="I156" i="6" s="1"/>
  <c r="J156" i="6" s="1"/>
  <c r="K156" i="6" s="1"/>
  <c r="L156" i="6" s="1"/>
  <c r="M156" i="6" s="1"/>
  <c r="N156" i="6" s="1"/>
  <c r="O156" i="6" s="1"/>
  <c r="F91" i="6"/>
  <c r="G91" i="6" s="1"/>
  <c r="H91" i="6" s="1"/>
  <c r="G67" i="6"/>
  <c r="H67" i="6" s="1"/>
  <c r="I67" i="6" s="1"/>
  <c r="J67" i="6" s="1"/>
  <c r="K67" i="6" s="1"/>
  <c r="L67" i="6" s="1"/>
  <c r="M67" i="6" s="1"/>
  <c r="N67" i="6" s="1"/>
  <c r="O67" i="6" s="1"/>
  <c r="F40" i="6"/>
  <c r="E64" i="6"/>
  <c r="U124" i="6"/>
  <c r="F124" i="6"/>
  <c r="I142" i="6"/>
  <c r="J142" i="6" s="1"/>
  <c r="K142" i="6" s="1"/>
  <c r="L142" i="6" s="1"/>
  <c r="M142" i="6" s="1"/>
  <c r="N142" i="6" s="1"/>
  <c r="O142" i="6" s="1"/>
  <c r="S124" i="6"/>
  <c r="S139" i="6" s="1"/>
  <c r="D14" i="2" s="1"/>
  <c r="P165" i="6"/>
  <c r="G13" i="6"/>
  <c r="Y29" i="6"/>
  <c r="I29" i="6"/>
  <c r="U117" i="6"/>
  <c r="F117" i="6"/>
  <c r="Y37" i="6"/>
  <c r="I37" i="6"/>
  <c r="J37" i="6" s="1"/>
  <c r="K37" i="6" s="1"/>
  <c r="L37" i="6" s="1"/>
  <c r="M37" i="6" s="1"/>
  <c r="N37" i="6" s="1"/>
  <c r="O37" i="6" s="1"/>
  <c r="E149" i="6"/>
  <c r="F149" i="6" s="1"/>
  <c r="G149" i="6" s="1"/>
  <c r="H149" i="6" s="1"/>
  <c r="I149" i="6" s="1"/>
  <c r="J149" i="6" s="1"/>
  <c r="K149" i="6" s="1"/>
  <c r="L149" i="6" s="1"/>
  <c r="M149" i="6" s="1"/>
  <c r="N149" i="6" s="1"/>
  <c r="O149" i="6" s="1"/>
  <c r="I121" i="6"/>
  <c r="J121" i="6" s="1"/>
  <c r="K121" i="6" s="1"/>
  <c r="L121" i="6" s="1"/>
  <c r="M121" i="6" s="1"/>
  <c r="N121" i="6" s="1"/>
  <c r="O121" i="6" s="1"/>
  <c r="P121" i="6"/>
  <c r="G143" i="6"/>
  <c r="H143" i="6" s="1"/>
  <c r="I143" i="6" s="1"/>
  <c r="J143" i="6" s="1"/>
  <c r="K143" i="6" s="1"/>
  <c r="L143" i="6" s="1"/>
  <c r="M143" i="6" s="1"/>
  <c r="N143" i="6" s="1"/>
  <c r="O143" i="6" s="1"/>
  <c r="P143" i="6"/>
  <c r="F161" i="6"/>
  <c r="G161" i="6" s="1"/>
  <c r="H161" i="6" s="1"/>
  <c r="I161" i="6" s="1"/>
  <c r="J161" i="6" s="1"/>
  <c r="K161" i="6" s="1"/>
  <c r="L161" i="6" s="1"/>
  <c r="M161" i="6" s="1"/>
  <c r="N161" i="6" s="1"/>
  <c r="O161" i="6" s="1"/>
  <c r="P161" i="6"/>
  <c r="H33" i="6"/>
  <c r="P99" i="6"/>
  <c r="U126" i="6"/>
  <c r="F126" i="6"/>
  <c r="G147" i="6"/>
  <c r="H147" i="6" s="1"/>
  <c r="I147" i="6" s="1"/>
  <c r="J147" i="6" s="1"/>
  <c r="K147" i="6" s="1"/>
  <c r="L147" i="6" s="1"/>
  <c r="M147" i="6" s="1"/>
  <c r="N147" i="6" s="1"/>
  <c r="O147" i="6" s="1"/>
  <c r="P147" i="6"/>
  <c r="H160" i="6"/>
  <c r="I160" i="6" s="1"/>
  <c r="J160" i="6" s="1"/>
  <c r="K160" i="6" s="1"/>
  <c r="L160" i="6" s="1"/>
  <c r="M160" i="6" s="1"/>
  <c r="N160" i="6" s="1"/>
  <c r="O160" i="6" s="1"/>
  <c r="P160" i="6"/>
  <c r="P164" i="6"/>
  <c r="I26" i="6"/>
  <c r="Y26" i="6"/>
  <c r="E14" i="6"/>
  <c r="S170" i="6"/>
  <c r="S171" i="6" s="1"/>
  <c r="E170" i="6"/>
  <c r="G150" i="6"/>
  <c r="H150" i="6" s="1"/>
  <c r="I150" i="6" s="1"/>
  <c r="J150" i="6" s="1"/>
  <c r="K150" i="6" s="1"/>
  <c r="L150" i="6" s="1"/>
  <c r="M150" i="6" s="1"/>
  <c r="N150" i="6" s="1"/>
  <c r="O150" i="6" s="1"/>
  <c r="I25" i="6"/>
  <c r="J25" i="6" s="1"/>
  <c r="Y25" i="6"/>
  <c r="G45" i="6"/>
  <c r="F28" i="6"/>
  <c r="E52" i="6"/>
  <c r="I174" i="6"/>
  <c r="J174" i="6" s="1"/>
  <c r="K174" i="6" s="1"/>
  <c r="L174" i="6" s="1"/>
  <c r="M174" i="6" s="1"/>
  <c r="N174" i="6" s="1"/>
  <c r="O174" i="6" s="1"/>
  <c r="W116" i="6"/>
  <c r="G116" i="6"/>
  <c r="H116" i="6" s="1"/>
  <c r="I116" i="6" s="1"/>
  <c r="J116" i="6" s="1"/>
  <c r="K116" i="6" s="1"/>
  <c r="L116" i="6" s="1"/>
  <c r="M116" i="6" s="1"/>
  <c r="N116" i="6" s="1"/>
  <c r="O116" i="6" s="1"/>
  <c r="S131" i="6"/>
  <c r="E131" i="6"/>
  <c r="F93" i="6"/>
  <c r="G93" i="6" s="1"/>
  <c r="H93" i="6" s="1"/>
  <c r="I93" i="6" s="1"/>
  <c r="G69" i="6"/>
  <c r="H69" i="6" s="1"/>
  <c r="Y38" i="6"/>
  <c r="I38" i="6"/>
  <c r="J38" i="6" s="1"/>
  <c r="K38" i="6" s="1"/>
  <c r="L38" i="6" s="1"/>
  <c r="M38" i="6" s="1"/>
  <c r="N38" i="6" s="1"/>
  <c r="O38" i="6" s="1"/>
  <c r="P38" i="6"/>
  <c r="Y42" i="6"/>
  <c r="I42" i="6"/>
  <c r="J42" i="6" s="1"/>
  <c r="K42" i="6" s="1"/>
  <c r="L42" i="6" s="1"/>
  <c r="M42" i="6" s="1"/>
  <c r="N42" i="6" s="1"/>
  <c r="O42" i="6" s="1"/>
  <c r="H158" i="6"/>
  <c r="I158" i="6" s="1"/>
  <c r="J158" i="6" s="1"/>
  <c r="K158" i="6" s="1"/>
  <c r="L158" i="6" s="1"/>
  <c r="M158" i="6" s="1"/>
  <c r="N158" i="6" s="1"/>
  <c r="O158" i="6" s="1"/>
  <c r="G157" i="6"/>
  <c r="H157" i="6" s="1"/>
  <c r="I157" i="6" s="1"/>
  <c r="J157" i="6" s="1"/>
  <c r="K157" i="6" s="1"/>
  <c r="L157" i="6" s="1"/>
  <c r="M157" i="6" s="1"/>
  <c r="N157" i="6" s="1"/>
  <c r="O157" i="6" s="1"/>
  <c r="P157" i="6"/>
  <c r="G148" i="6"/>
  <c r="H148" i="6" s="1"/>
  <c r="I148" i="6" s="1"/>
  <c r="J148" i="6" s="1"/>
  <c r="K148" i="6" s="1"/>
  <c r="L148" i="6" s="1"/>
  <c r="M148" i="6" s="1"/>
  <c r="N148" i="6" s="1"/>
  <c r="O148" i="6" s="1"/>
  <c r="S159" i="6"/>
  <c r="S167" i="6" s="1"/>
  <c r="E159" i="6"/>
  <c r="F159" i="6" s="1"/>
  <c r="G159" i="6" s="1"/>
  <c r="H159" i="6" s="1"/>
  <c r="I159" i="6" s="1"/>
  <c r="J159" i="6" s="1"/>
  <c r="K159" i="6" s="1"/>
  <c r="L159" i="6" s="1"/>
  <c r="M159" i="6" s="1"/>
  <c r="N159" i="6" s="1"/>
  <c r="O159" i="6" s="1"/>
  <c r="P159" i="6"/>
  <c r="U57" i="6"/>
  <c r="E81" i="6"/>
  <c r="U81" i="6" s="1"/>
  <c r="G10" i="6"/>
  <c r="G9" i="6"/>
  <c r="U138" i="6"/>
  <c r="F138" i="6"/>
  <c r="I31" i="6"/>
  <c r="R175" i="6"/>
  <c r="I16" i="2" s="1"/>
  <c r="J16" i="2" s="1"/>
  <c r="K16" i="2" s="1"/>
  <c r="F5" i="6"/>
  <c r="F36" i="6"/>
  <c r="F41" i="6"/>
  <c r="F16" i="6"/>
  <c r="G19" i="6"/>
  <c r="G120" i="6"/>
  <c r="F137" i="6"/>
  <c r="F115" i="6"/>
  <c r="S75" i="6"/>
  <c r="E58" i="6"/>
  <c r="E78" i="6"/>
  <c r="S90" i="6"/>
  <c r="H74" i="6"/>
  <c r="P74" i="6" s="1"/>
  <c r="H75" i="6"/>
  <c r="Y75" i="6"/>
  <c r="F66" i="6"/>
  <c r="W42" i="6"/>
  <c r="E59" i="6"/>
  <c r="G127" i="6"/>
  <c r="F132" i="6"/>
  <c r="S77" i="6"/>
  <c r="E60" i="6"/>
  <c r="S81" i="6"/>
  <c r="F35" i="6"/>
  <c r="E61" i="6"/>
  <c r="I30" i="6"/>
  <c r="Y30" i="6"/>
  <c r="G8" i="6"/>
  <c r="W33" i="6"/>
  <c r="F57" i="6"/>
  <c r="G17" i="6"/>
  <c r="F125" i="6"/>
  <c r="S79" i="6"/>
  <c r="E86" i="6"/>
  <c r="E74" i="6"/>
  <c r="F61" i="6"/>
  <c r="W37" i="6"/>
  <c r="F53" i="6"/>
  <c r="W29" i="6"/>
  <c r="H7" i="6"/>
  <c r="H11" i="6"/>
  <c r="F34" i="6"/>
  <c r="G100" i="6"/>
  <c r="H80" i="6"/>
  <c r="H73" i="6"/>
  <c r="F123" i="6"/>
  <c r="H97" i="6"/>
  <c r="G122" i="6"/>
  <c r="E65" i="6"/>
  <c r="F55" i="6"/>
  <c r="W31" i="6"/>
  <c r="H87" i="6"/>
  <c r="I87" i="6" s="1"/>
  <c r="J87" i="6" s="1"/>
  <c r="K87" i="6" s="1"/>
  <c r="L87" i="6" s="1"/>
  <c r="M87" i="6" s="1"/>
  <c r="N87" i="6" s="1"/>
  <c r="O87" i="6" s="1"/>
  <c r="E73" i="6"/>
  <c r="G130" i="6"/>
  <c r="Y130" i="6" s="1"/>
  <c r="F62" i="6"/>
  <c r="W38" i="6"/>
  <c r="S51" i="6"/>
  <c r="R70" i="6"/>
  <c r="H78" i="6"/>
  <c r="I78" i="6" s="1"/>
  <c r="J78" i="6" s="1"/>
  <c r="K78" i="6" s="1"/>
  <c r="L78" i="6" s="1"/>
  <c r="M78" i="6" s="1"/>
  <c r="N78" i="6" s="1"/>
  <c r="O78" i="6" s="1"/>
  <c r="S84" i="6"/>
  <c r="S50" i="6"/>
  <c r="H56" i="6"/>
  <c r="Y56" i="6"/>
  <c r="H51" i="6"/>
  <c r="Y51" i="6"/>
  <c r="H50" i="6"/>
  <c r="Y50" i="6"/>
  <c r="H54" i="6"/>
  <c r="I54" i="6" s="1"/>
  <c r="J54" i="6" s="1"/>
  <c r="K54" i="6" s="1"/>
  <c r="L54" i="6" s="1"/>
  <c r="M54" i="6" s="1"/>
  <c r="N54" i="6" s="1"/>
  <c r="O54" i="6" s="1"/>
  <c r="Y54" i="6"/>
  <c r="J93" i="6"/>
  <c r="K93" i="6" s="1"/>
  <c r="L93" i="6" s="1"/>
  <c r="M93" i="6" s="1"/>
  <c r="N93" i="6" s="1"/>
  <c r="O93" i="6" s="1"/>
  <c r="I74" i="6"/>
  <c r="J74" i="6" s="1"/>
  <c r="K74" i="6" s="1"/>
  <c r="L74" i="6" s="1"/>
  <c r="M74" i="6" s="1"/>
  <c r="N74" i="6" s="1"/>
  <c r="O74" i="6" s="1"/>
  <c r="I75" i="6"/>
  <c r="J75" i="6" s="1"/>
  <c r="K75" i="6" s="1"/>
  <c r="L75" i="6" s="1"/>
  <c r="M75" i="6" s="1"/>
  <c r="N75" i="6" s="1"/>
  <c r="O75" i="6" s="1"/>
  <c r="I80" i="6"/>
  <c r="J80" i="6" s="1"/>
  <c r="K80" i="6" s="1"/>
  <c r="L80" i="6" s="1"/>
  <c r="M80" i="6" s="1"/>
  <c r="N80" i="6" s="1"/>
  <c r="O80" i="6" s="1"/>
  <c r="I91" i="6"/>
  <c r="J91" i="6" s="1"/>
  <c r="K91" i="6" s="1"/>
  <c r="L91" i="6" s="1"/>
  <c r="M91" i="6" s="1"/>
  <c r="N91" i="6" s="1"/>
  <c r="O91" i="6" s="1"/>
  <c r="I73" i="6"/>
  <c r="J73" i="6" s="1"/>
  <c r="K73" i="6" s="1"/>
  <c r="L73" i="6" s="1"/>
  <c r="M73" i="6" s="1"/>
  <c r="N73" i="6" s="1"/>
  <c r="O73" i="6" s="1"/>
  <c r="K63" i="6"/>
  <c r="L63" i="6" s="1"/>
  <c r="M63" i="6" s="1"/>
  <c r="N63" i="6" s="1"/>
  <c r="O63" i="6" s="1"/>
  <c r="I51" i="6"/>
  <c r="J51" i="6" s="1"/>
  <c r="K51" i="6" s="1"/>
  <c r="L51" i="6" s="1"/>
  <c r="M51" i="6" s="1"/>
  <c r="N51" i="6" s="1"/>
  <c r="O51" i="6" s="1"/>
  <c r="I56" i="6"/>
  <c r="J56" i="6" s="1"/>
  <c r="K56" i="6" s="1"/>
  <c r="L56" i="6" s="1"/>
  <c r="M56" i="6" s="1"/>
  <c r="N56" i="6" s="1"/>
  <c r="O56" i="6" s="1"/>
  <c r="I69" i="6"/>
  <c r="J69" i="6" s="1"/>
  <c r="K69" i="6" s="1"/>
  <c r="L69" i="6" s="1"/>
  <c r="M69" i="6" s="1"/>
  <c r="N69" i="6" s="1"/>
  <c r="O69" i="6" s="1"/>
  <c r="I50" i="6"/>
  <c r="J50" i="6" s="1"/>
  <c r="K50" i="6" s="1"/>
  <c r="L50" i="6" s="1"/>
  <c r="M50" i="6" s="1"/>
  <c r="N50" i="6" s="1"/>
  <c r="O50" i="6" s="1"/>
  <c r="P67" i="6"/>
  <c r="P49" i="6"/>
  <c r="J32" i="6"/>
  <c r="K32" i="6" s="1"/>
  <c r="L32" i="6" s="1"/>
  <c r="M32" i="6" s="1"/>
  <c r="N32" i="6" s="1"/>
  <c r="O32" i="6" s="1"/>
  <c r="I39" i="6"/>
  <c r="J39" i="6" s="1"/>
  <c r="K39" i="6" s="1"/>
  <c r="L39" i="6" s="1"/>
  <c r="M39" i="6" s="1"/>
  <c r="N39" i="6" s="1"/>
  <c r="O39" i="6" s="1"/>
  <c r="J26" i="6"/>
  <c r="K26" i="6" s="1"/>
  <c r="L26" i="6" s="1"/>
  <c r="M26" i="6" s="1"/>
  <c r="N26" i="6" s="1"/>
  <c r="O26" i="6" s="1"/>
  <c r="P26" i="6"/>
  <c r="P27" i="6"/>
  <c r="K25" i="6"/>
  <c r="L25" i="6" s="1"/>
  <c r="M25" i="6" s="1"/>
  <c r="N25" i="6" s="1"/>
  <c r="O25" i="6" s="1"/>
  <c r="J30" i="6"/>
  <c r="K30" i="6" s="1"/>
  <c r="L30" i="6" s="1"/>
  <c r="M30" i="6" s="1"/>
  <c r="N30" i="6" s="1"/>
  <c r="O30" i="6" s="1"/>
  <c r="F106" i="6"/>
  <c r="W106" i="6" s="1"/>
  <c r="F104" i="6"/>
  <c r="F107" i="6"/>
  <c r="S104" i="6"/>
  <c r="S103" i="6"/>
  <c r="F108" i="6"/>
  <c r="AO14" i="8"/>
  <c r="O28" i="8"/>
  <c r="E25" i="2" s="1"/>
  <c r="E28" i="2" s="1"/>
  <c r="P26" i="8"/>
  <c r="P6" i="8"/>
  <c r="AI22" i="8"/>
  <c r="E122" i="16"/>
  <c r="O17" i="9"/>
  <c r="U20" i="3"/>
  <c r="V18" i="6" s="1"/>
  <c r="W18" i="6" s="1"/>
  <c r="Z22" i="3"/>
  <c r="AE22" i="3" s="1"/>
  <c r="BW21" i="3"/>
  <c r="J120" i="16"/>
  <c r="AI26" i="4"/>
  <c r="F121" i="16"/>
  <c r="J125" i="16"/>
  <c r="Y24" i="4"/>
  <c r="Z24" i="4" s="1"/>
  <c r="AA24" i="4" s="1"/>
  <c r="AB24" i="4" s="1"/>
  <c r="AH24" i="4" s="1"/>
  <c r="E121" i="16"/>
  <c r="K113" i="16"/>
  <c r="Y25" i="4"/>
  <c r="Z25" i="4" s="1"/>
  <c r="AA25" i="4" s="1"/>
  <c r="AB25" i="4" s="1"/>
  <c r="AH25" i="4" s="1"/>
  <c r="M43" i="16"/>
  <c r="M44" i="16" s="1"/>
  <c r="O26" i="16" s="1"/>
  <c r="O44" i="16" s="1"/>
  <c r="S37" i="6"/>
  <c r="F43" i="16"/>
  <c r="F44" i="16" s="1"/>
  <c r="G108" i="16"/>
  <c r="AD26" i="4"/>
  <c r="R3" i="20"/>
  <c r="W26" i="4"/>
  <c r="W28" i="4" s="1"/>
  <c r="T35" i="10"/>
  <c r="H11" i="9"/>
  <c r="J11" i="9" s="1"/>
  <c r="K11" i="9" s="1"/>
  <c r="L11" i="9" s="1"/>
  <c r="S11" i="9" s="1"/>
  <c r="Q8" i="9"/>
  <c r="R8" i="9"/>
  <c r="W33" i="10"/>
  <c r="X166" i="6" s="1"/>
  <c r="Y166" i="6" s="1"/>
  <c r="U23" i="4"/>
  <c r="K108" i="16"/>
  <c r="I43" i="16"/>
  <c r="I44" i="16" s="1"/>
  <c r="K17" i="4"/>
  <c r="U8" i="4"/>
  <c r="AM26" i="4"/>
  <c r="K122" i="16"/>
  <c r="I121" i="16"/>
  <c r="J119" i="16"/>
  <c r="M27" i="16"/>
  <c r="P5" i="4"/>
  <c r="T26" i="6" s="1"/>
  <c r="U26" i="6" s="1"/>
  <c r="J117" i="16"/>
  <c r="U22" i="4"/>
  <c r="S89" i="6"/>
  <c r="S52" i="6"/>
  <c r="X17" i="9"/>
  <c r="H12" i="9"/>
  <c r="V35" i="10"/>
  <c r="E44" i="2" s="1"/>
  <c r="I17" i="9"/>
  <c r="AK18" i="8"/>
  <c r="F28" i="8"/>
  <c r="AK13" i="8"/>
  <c r="I28" i="8"/>
  <c r="P8" i="8"/>
  <c r="T14" i="8"/>
  <c r="T28" i="8" s="1"/>
  <c r="E35" i="2" s="1"/>
  <c r="E38" i="2" s="1"/>
  <c r="K73" i="16"/>
  <c r="AK11" i="8"/>
  <c r="AK12" i="8"/>
  <c r="J137" i="16"/>
  <c r="K22" i="8"/>
  <c r="P10" i="8"/>
  <c r="R98" i="6"/>
  <c r="S98" i="6" s="1"/>
  <c r="F66" i="16"/>
  <c r="F73" i="16" s="1"/>
  <c r="M59" i="16"/>
  <c r="R107" i="6"/>
  <c r="S107" i="6" s="1"/>
  <c r="V28" i="8"/>
  <c r="M65" i="16"/>
  <c r="R102" i="6"/>
  <c r="S102" i="6" s="1"/>
  <c r="W28" i="8"/>
  <c r="H73" i="16"/>
  <c r="H108" i="16"/>
  <c r="R100" i="6"/>
  <c r="S100" i="6" s="1"/>
  <c r="AR14" i="8"/>
  <c r="P18" i="8"/>
  <c r="J28" i="8"/>
  <c r="E15" i="2" s="1"/>
  <c r="J136" i="16"/>
  <c r="AS11" i="8"/>
  <c r="R108" i="6"/>
  <c r="S108" i="6" s="1"/>
  <c r="N28" i="8"/>
  <c r="H28" i="8"/>
  <c r="AS7" i="8"/>
  <c r="AU7" i="8" s="1"/>
  <c r="AV7" i="8" s="1"/>
  <c r="AS10" i="8"/>
  <c r="AU10" i="8" s="1"/>
  <c r="AV10" i="8" s="1"/>
  <c r="L28" i="8"/>
  <c r="X28" i="8"/>
  <c r="AN14" i="8"/>
  <c r="M66" i="16"/>
  <c r="M73" i="16" s="1"/>
  <c r="E66" i="16"/>
  <c r="G73" i="16"/>
  <c r="K4" i="8"/>
  <c r="I66" i="16"/>
  <c r="M61" i="16"/>
  <c r="W24" i="25"/>
  <c r="W31" i="10"/>
  <c r="I32" i="9"/>
  <c r="W18" i="10"/>
  <c r="U35" i="22"/>
  <c r="AC26" i="4"/>
  <c r="E54" i="2" s="1"/>
  <c r="Y26" i="3"/>
  <c r="E42" i="2" s="1"/>
  <c r="AS9" i="8"/>
  <c r="AU9" i="8" s="1"/>
  <c r="AV9" i="8" s="1"/>
  <c r="I37" i="9" l="1"/>
  <c r="G43" i="2"/>
  <c r="J109" i="16"/>
  <c r="Z138" i="6"/>
  <c r="F36" i="9"/>
  <c r="AB34" i="22"/>
  <c r="Z105" i="6"/>
  <c r="AA105" i="6" s="1"/>
  <c r="AF12" i="8"/>
  <c r="AG12" i="8" s="1"/>
  <c r="AA182" i="6"/>
  <c r="AA198" i="6" s="1"/>
  <c r="Z198" i="6"/>
  <c r="G46" i="2"/>
  <c r="G57" i="2"/>
  <c r="Q6" i="9"/>
  <c r="J6" i="9"/>
  <c r="K6" i="9" s="1"/>
  <c r="BO22" i="3"/>
  <c r="BT22" i="3"/>
  <c r="BP23" i="3"/>
  <c r="BQ23" i="3" s="1"/>
  <c r="BW23" i="3" s="1"/>
  <c r="BU23" i="3"/>
  <c r="K10" i="9"/>
  <c r="L10" i="9" s="1"/>
  <c r="S10" i="9" s="1"/>
  <c r="R8" i="24"/>
  <c r="T78" i="6"/>
  <c r="U78" i="6" s="1"/>
  <c r="T90" i="6"/>
  <c r="U90" i="6" s="1"/>
  <c r="R20" i="24"/>
  <c r="T83" i="6"/>
  <c r="R13" i="24"/>
  <c r="T84" i="6"/>
  <c r="R14" i="24"/>
  <c r="T74" i="6"/>
  <c r="T170" i="6" s="1"/>
  <c r="T171" i="6" s="1"/>
  <c r="R4" i="24"/>
  <c r="T82" i="6"/>
  <c r="R12" i="24"/>
  <c r="R6" i="24"/>
  <c r="V76" i="6" s="1"/>
  <c r="R7" i="24"/>
  <c r="T77" i="6"/>
  <c r="U77" i="6" s="1"/>
  <c r="T87" i="6"/>
  <c r="U87" i="6" s="1"/>
  <c r="R17" i="24"/>
  <c r="M24" i="24"/>
  <c r="M26" i="24" s="1"/>
  <c r="M27" i="24" s="1"/>
  <c r="V80" i="6"/>
  <c r="W80" i="6" s="1"/>
  <c r="W10" i="24"/>
  <c r="X89" i="6"/>
  <c r="Y22" i="4"/>
  <c r="Z22" i="4" s="1"/>
  <c r="AA22" i="4" s="1"/>
  <c r="AB22" i="4" s="1"/>
  <c r="AH22" i="4" s="1"/>
  <c r="T73" i="6"/>
  <c r="R3" i="24"/>
  <c r="T85" i="6"/>
  <c r="R15" i="24"/>
  <c r="X81" i="6"/>
  <c r="R9" i="24"/>
  <c r="T79" i="6"/>
  <c r="U79" i="6" s="1"/>
  <c r="U86" i="6"/>
  <c r="T86" i="6"/>
  <c r="R16" i="24"/>
  <c r="U9" i="4"/>
  <c r="M24" i="16"/>
  <c r="O18" i="16" s="1"/>
  <c r="E24" i="16"/>
  <c r="F17" i="9"/>
  <c r="U20" i="4"/>
  <c r="U21" i="4"/>
  <c r="Y21" i="4" s="1"/>
  <c r="Z17" i="3"/>
  <c r="U15" i="3"/>
  <c r="V13" i="6" s="1"/>
  <c r="W13" i="6" s="1"/>
  <c r="H5" i="9"/>
  <c r="J5" i="9" s="1"/>
  <c r="K5" i="9" s="1"/>
  <c r="G17" i="9"/>
  <c r="H26" i="9"/>
  <c r="J26" i="9" s="1"/>
  <c r="H24" i="9"/>
  <c r="Q24" i="9" s="1"/>
  <c r="AJ26" i="4"/>
  <c r="G54" i="2" s="1"/>
  <c r="G59" i="2" s="1"/>
  <c r="H22" i="9"/>
  <c r="J22" i="9" s="1"/>
  <c r="H21" i="9"/>
  <c r="W35" i="22"/>
  <c r="W36" i="22" s="1"/>
  <c r="H4" i="9"/>
  <c r="H27" i="9"/>
  <c r="J27" i="9" s="1"/>
  <c r="K27" i="9" s="1"/>
  <c r="R27" i="9" s="1"/>
  <c r="W166" i="6"/>
  <c r="V167" i="6"/>
  <c r="C37" i="2" s="1"/>
  <c r="G32" i="9"/>
  <c r="H25" i="9"/>
  <c r="J25" i="9" s="1"/>
  <c r="H23" i="9"/>
  <c r="J23" i="9" s="1"/>
  <c r="Z25" i="8"/>
  <c r="U26" i="8"/>
  <c r="K110" i="16"/>
  <c r="M121" i="16" s="1"/>
  <c r="AM13" i="8"/>
  <c r="J108" i="16"/>
  <c r="J110" i="16" s="1"/>
  <c r="U19" i="4"/>
  <c r="U11" i="4"/>
  <c r="U7" i="4"/>
  <c r="U14" i="4"/>
  <c r="U10" i="4"/>
  <c r="U18" i="4"/>
  <c r="U6" i="4"/>
  <c r="Y6" i="4" s="1"/>
  <c r="Z6" i="4" s="1"/>
  <c r="AA6" i="4" s="1"/>
  <c r="AB6" i="4" s="1"/>
  <c r="U13" i="4"/>
  <c r="Z17" i="8"/>
  <c r="X107" i="6" s="1"/>
  <c r="V107" i="6"/>
  <c r="W107" i="6" s="1"/>
  <c r="Z9" i="8"/>
  <c r="V102" i="6"/>
  <c r="W102" i="6" s="1"/>
  <c r="U10" i="8"/>
  <c r="T103" i="6"/>
  <c r="U103" i="6" s="1"/>
  <c r="U8" i="8"/>
  <c r="T101" i="6"/>
  <c r="U101" i="6" s="1"/>
  <c r="Z7" i="8"/>
  <c r="AE7" i="8" s="1"/>
  <c r="V100" i="6"/>
  <c r="W100" i="6" s="1"/>
  <c r="Z5" i="8"/>
  <c r="AE5" i="8" s="1"/>
  <c r="V98" i="6"/>
  <c r="W98" i="6" s="1"/>
  <c r="U18" i="8"/>
  <c r="V108" i="6" s="1"/>
  <c r="W108" i="6" s="1"/>
  <c r="T108" i="6"/>
  <c r="U108" i="6" s="1"/>
  <c r="U6" i="8"/>
  <c r="T99" i="6"/>
  <c r="U99" i="6" s="1"/>
  <c r="Y158" i="6"/>
  <c r="C45" i="2"/>
  <c r="Y138" i="6"/>
  <c r="X139" i="6"/>
  <c r="C44" i="2" s="1"/>
  <c r="AL11" i="8"/>
  <c r="AM11" i="8"/>
  <c r="E48" i="2"/>
  <c r="AF15" i="4"/>
  <c r="Z15" i="4"/>
  <c r="AA15" i="4" s="1"/>
  <c r="Y195" i="6"/>
  <c r="Y198" i="6" s="1"/>
  <c r="X198" i="6"/>
  <c r="G48" i="2"/>
  <c r="S25" i="6"/>
  <c r="T25" i="6"/>
  <c r="U4" i="4"/>
  <c r="P17" i="4"/>
  <c r="T38" i="6" s="1"/>
  <c r="U38" i="6" s="1"/>
  <c r="R38" i="6"/>
  <c r="S38" i="6" s="1"/>
  <c r="S70" i="6"/>
  <c r="U12" i="4"/>
  <c r="T33" i="6"/>
  <c r="U33" i="6" s="1"/>
  <c r="R22" i="6"/>
  <c r="C12" i="2" s="1"/>
  <c r="I12" i="2" s="1"/>
  <c r="J12" i="2" s="1"/>
  <c r="K12" i="2" s="1"/>
  <c r="O10" i="16"/>
  <c r="O3" i="16"/>
  <c r="O13" i="16" s="1"/>
  <c r="O14" i="16"/>
  <c r="O23" i="16" s="1"/>
  <c r="O11" i="16"/>
  <c r="O16" i="16"/>
  <c r="O20" i="16"/>
  <c r="O7" i="16"/>
  <c r="O22" i="16"/>
  <c r="O8" i="16"/>
  <c r="O17" i="16"/>
  <c r="O15" i="16"/>
  <c r="O21" i="16"/>
  <c r="O4" i="16"/>
  <c r="H110" i="16"/>
  <c r="L109" i="16" s="1"/>
  <c r="E18" i="2"/>
  <c r="S22" i="6"/>
  <c r="B12" i="2" s="1"/>
  <c r="U19" i="3"/>
  <c r="P24" i="3"/>
  <c r="P26" i="3" s="1"/>
  <c r="P27" i="3" s="1"/>
  <c r="G110" i="16"/>
  <c r="K26" i="3"/>
  <c r="T8" i="6"/>
  <c r="U8" i="6" s="1"/>
  <c r="BT6" i="3"/>
  <c r="Z21" i="3"/>
  <c r="AE21" i="3" s="1"/>
  <c r="Z19" i="6" s="1"/>
  <c r="AA19" i="6" s="1"/>
  <c r="V16" i="6"/>
  <c r="W16" i="6" s="1"/>
  <c r="Z18" i="3"/>
  <c r="AE18" i="3" s="1"/>
  <c r="Z16" i="6" s="1"/>
  <c r="AA16" i="6" s="1"/>
  <c r="V12" i="6"/>
  <c r="W12" i="6" s="1"/>
  <c r="Z13" i="3"/>
  <c r="AE13" i="3" s="1"/>
  <c r="Z12" i="6" s="1"/>
  <c r="AA12" i="6" s="1"/>
  <c r="V5" i="6"/>
  <c r="U10" i="3"/>
  <c r="Z3" i="3"/>
  <c r="AE3" i="3" s="1"/>
  <c r="Z5" i="6" s="1"/>
  <c r="AA5" i="6" s="1"/>
  <c r="V6" i="6"/>
  <c r="W6" i="6" s="1"/>
  <c r="Z4" i="3"/>
  <c r="AE4" i="3" s="1"/>
  <c r="Z14" i="3"/>
  <c r="AE14" i="3" s="1"/>
  <c r="Z20" i="6" s="1"/>
  <c r="V20" i="6"/>
  <c r="W20" i="6" s="1"/>
  <c r="V14" i="6"/>
  <c r="Z16" i="3"/>
  <c r="AE16" i="3" s="1"/>
  <c r="Z14" i="6" s="1"/>
  <c r="U19" i="6"/>
  <c r="W19" i="6"/>
  <c r="B17" i="2"/>
  <c r="D17" i="2" s="1"/>
  <c r="G162" i="6"/>
  <c r="W162" i="6"/>
  <c r="W167" i="6" s="1"/>
  <c r="B37" i="2" s="1"/>
  <c r="G106" i="6"/>
  <c r="H100" i="6"/>
  <c r="I100" i="6" s="1"/>
  <c r="J100" i="6" s="1"/>
  <c r="K100" i="6" s="1"/>
  <c r="L100" i="6" s="1"/>
  <c r="M100" i="6" s="1"/>
  <c r="N100" i="6" s="1"/>
  <c r="O100" i="6" s="1"/>
  <c r="H17" i="6"/>
  <c r="I17" i="6" s="1"/>
  <c r="J17" i="6" s="1"/>
  <c r="K17" i="6" s="1"/>
  <c r="L17" i="6" s="1"/>
  <c r="M17" i="6" s="1"/>
  <c r="N17" i="6" s="1"/>
  <c r="O17" i="6" s="1"/>
  <c r="G16" i="6"/>
  <c r="P174" i="6"/>
  <c r="P150" i="6"/>
  <c r="J29" i="6"/>
  <c r="K29" i="6" s="1"/>
  <c r="L29" i="6" s="1"/>
  <c r="M29" i="6" s="1"/>
  <c r="N29" i="6" s="1"/>
  <c r="O29" i="6" s="1"/>
  <c r="F64" i="6"/>
  <c r="W40" i="6"/>
  <c r="G40" i="6"/>
  <c r="U56" i="6"/>
  <c r="E80" i="6"/>
  <c r="U80" i="6" s="1"/>
  <c r="F79" i="6"/>
  <c r="W55" i="6"/>
  <c r="G55" i="6"/>
  <c r="W34" i="6"/>
  <c r="F58" i="6"/>
  <c r="G34" i="6"/>
  <c r="H34" i="6" s="1"/>
  <c r="F81" i="6"/>
  <c r="W57" i="6"/>
  <c r="G57" i="6"/>
  <c r="U60" i="6"/>
  <c r="E84" i="6"/>
  <c r="F65" i="6"/>
  <c r="W41" i="6"/>
  <c r="G41" i="6"/>
  <c r="H41" i="6" s="1"/>
  <c r="G98" i="6"/>
  <c r="U65" i="6"/>
  <c r="E89" i="6"/>
  <c r="U89" i="6" s="1"/>
  <c r="I11" i="6"/>
  <c r="J11" i="6" s="1"/>
  <c r="K11" i="6" s="1"/>
  <c r="L11" i="6" s="1"/>
  <c r="M11" i="6" s="1"/>
  <c r="N11" i="6" s="1"/>
  <c r="O11" i="6" s="1"/>
  <c r="P11" i="6"/>
  <c r="F60" i="6"/>
  <c r="W36" i="6"/>
  <c r="G36" i="6"/>
  <c r="H36" i="6" s="1"/>
  <c r="H13" i="6"/>
  <c r="I13" i="6" s="1"/>
  <c r="J13" i="6" s="1"/>
  <c r="K13" i="6" s="1"/>
  <c r="L13" i="6" s="1"/>
  <c r="M13" i="6" s="1"/>
  <c r="N13" i="6" s="1"/>
  <c r="O13" i="6" s="1"/>
  <c r="W133" i="6"/>
  <c r="G133" i="6"/>
  <c r="W134" i="6"/>
  <c r="G134" i="6"/>
  <c r="I7" i="6"/>
  <c r="J7" i="6" s="1"/>
  <c r="K7" i="6" s="1"/>
  <c r="L7" i="6" s="1"/>
  <c r="M7" i="6" s="1"/>
  <c r="N7" i="6" s="1"/>
  <c r="O7" i="6" s="1"/>
  <c r="P20" i="6"/>
  <c r="H20" i="6"/>
  <c r="I20" i="6" s="1"/>
  <c r="J20" i="6" s="1"/>
  <c r="K20" i="6" s="1"/>
  <c r="L20" i="6" s="1"/>
  <c r="M20" i="6" s="1"/>
  <c r="N20" i="6" s="1"/>
  <c r="O20" i="6" s="1"/>
  <c r="W132" i="6"/>
  <c r="G132" i="6"/>
  <c r="H132" i="6" s="1"/>
  <c r="I132" i="6" s="1"/>
  <c r="J132" i="6" s="1"/>
  <c r="K132" i="6" s="1"/>
  <c r="L132" i="6" s="1"/>
  <c r="M132" i="6" s="1"/>
  <c r="N132" i="6" s="1"/>
  <c r="O132" i="6" s="1"/>
  <c r="P132" i="6" s="1"/>
  <c r="G5" i="6"/>
  <c r="W126" i="6"/>
  <c r="G126" i="6"/>
  <c r="H126" i="6" s="1"/>
  <c r="I126" i="6" s="1"/>
  <c r="J126" i="6" s="1"/>
  <c r="K126" i="6" s="1"/>
  <c r="L126" i="6" s="1"/>
  <c r="M126" i="6" s="1"/>
  <c r="N126" i="6" s="1"/>
  <c r="O126" i="6" s="1"/>
  <c r="P126" i="6"/>
  <c r="P149" i="6"/>
  <c r="P146" i="6"/>
  <c r="P144" i="6"/>
  <c r="P111" i="6"/>
  <c r="W35" i="6"/>
  <c r="F59" i="6"/>
  <c r="G35" i="6"/>
  <c r="H35" i="6" s="1"/>
  <c r="H19" i="6"/>
  <c r="I19" i="6" s="1"/>
  <c r="J19" i="6" s="1"/>
  <c r="K19" i="6" s="1"/>
  <c r="L19" i="6" s="1"/>
  <c r="M19" i="6" s="1"/>
  <c r="N19" i="6" s="1"/>
  <c r="O19" i="6" s="1"/>
  <c r="H122" i="6"/>
  <c r="I122" i="6" s="1"/>
  <c r="J122" i="6" s="1"/>
  <c r="K122" i="6" s="1"/>
  <c r="L122" i="6" s="1"/>
  <c r="M122" i="6" s="1"/>
  <c r="N122" i="6" s="1"/>
  <c r="O122" i="6" s="1"/>
  <c r="P122" i="6"/>
  <c r="Y8" i="6"/>
  <c r="H8" i="6"/>
  <c r="I8" i="6" s="1"/>
  <c r="J8" i="6" s="1"/>
  <c r="K8" i="6" s="1"/>
  <c r="L8" i="6" s="1"/>
  <c r="M8" i="6" s="1"/>
  <c r="N8" i="6" s="1"/>
  <c r="O8" i="6" s="1"/>
  <c r="H127" i="6"/>
  <c r="I127" i="6" s="1"/>
  <c r="J127" i="6" s="1"/>
  <c r="K127" i="6" s="1"/>
  <c r="L127" i="6" s="1"/>
  <c r="M127" i="6" s="1"/>
  <c r="N127" i="6" s="1"/>
  <c r="O127" i="6" s="1"/>
  <c r="P127" i="6"/>
  <c r="F170" i="6"/>
  <c r="G170" i="6" s="1"/>
  <c r="H170" i="6" s="1"/>
  <c r="I170" i="6" s="1"/>
  <c r="J170" i="6" s="1"/>
  <c r="K170" i="6" s="1"/>
  <c r="L170" i="6" s="1"/>
  <c r="M170" i="6" s="1"/>
  <c r="N170" i="6" s="1"/>
  <c r="O170" i="6" s="1"/>
  <c r="U64" i="6"/>
  <c r="E88" i="6"/>
  <c r="U88" i="6" s="1"/>
  <c r="I97" i="6"/>
  <c r="J97" i="6" s="1"/>
  <c r="K97" i="6" s="1"/>
  <c r="L97" i="6" s="1"/>
  <c r="M97" i="6" s="1"/>
  <c r="N97" i="6" s="1"/>
  <c r="O97" i="6" s="1"/>
  <c r="F77" i="6"/>
  <c r="W53" i="6"/>
  <c r="G53" i="6"/>
  <c r="U58" i="6"/>
  <c r="E82" i="6"/>
  <c r="J31" i="6"/>
  <c r="K31" i="6" s="1"/>
  <c r="L31" i="6" s="1"/>
  <c r="M31" i="6" s="1"/>
  <c r="N31" i="6" s="1"/>
  <c r="O31" i="6" s="1"/>
  <c r="P148" i="6"/>
  <c r="U52" i="6"/>
  <c r="E76" i="6"/>
  <c r="U76" i="6" s="1"/>
  <c r="P156" i="6"/>
  <c r="P163" i="6"/>
  <c r="F86" i="6"/>
  <c r="W62" i="6"/>
  <c r="G62" i="6"/>
  <c r="W123" i="6"/>
  <c r="G123" i="6"/>
  <c r="H123" i="6" s="1"/>
  <c r="I123" i="6" s="1"/>
  <c r="J123" i="6" s="1"/>
  <c r="K123" i="6" s="1"/>
  <c r="L123" i="6" s="1"/>
  <c r="M123" i="6" s="1"/>
  <c r="N123" i="6" s="1"/>
  <c r="O123" i="6" s="1"/>
  <c r="U59" i="6"/>
  <c r="E83" i="6"/>
  <c r="G138" i="6"/>
  <c r="F52" i="6"/>
  <c r="W28" i="6"/>
  <c r="G28" i="6"/>
  <c r="Y33" i="6"/>
  <c r="I33" i="6"/>
  <c r="J33" i="6" s="1"/>
  <c r="K33" i="6" s="1"/>
  <c r="L33" i="6" s="1"/>
  <c r="M33" i="6" s="1"/>
  <c r="N33" i="6" s="1"/>
  <c r="O33" i="6" s="1"/>
  <c r="P153" i="6"/>
  <c r="P63" i="6"/>
  <c r="H130" i="6"/>
  <c r="I130" i="6" s="1"/>
  <c r="J130" i="6" s="1"/>
  <c r="K130" i="6" s="1"/>
  <c r="L130" i="6" s="1"/>
  <c r="M130" i="6" s="1"/>
  <c r="N130" i="6" s="1"/>
  <c r="O130" i="6" s="1"/>
  <c r="P130" i="6" s="1"/>
  <c r="F85" i="6"/>
  <c r="W61" i="6"/>
  <c r="G61" i="6"/>
  <c r="U61" i="6"/>
  <c r="E85" i="6"/>
  <c r="U131" i="6"/>
  <c r="U139" i="6" s="1"/>
  <c r="U14" i="6"/>
  <c r="F14" i="6"/>
  <c r="H101" i="6"/>
  <c r="I101" i="6" s="1"/>
  <c r="J101" i="6" s="1"/>
  <c r="K101" i="6" s="1"/>
  <c r="L101" i="6" s="1"/>
  <c r="M101" i="6" s="1"/>
  <c r="N101" i="6" s="1"/>
  <c r="O101" i="6" s="1"/>
  <c r="P101" i="6"/>
  <c r="P37" i="6"/>
  <c r="W125" i="6"/>
  <c r="G125" i="6"/>
  <c r="H125" i="6" s="1"/>
  <c r="I125" i="6" s="1"/>
  <c r="J125" i="6" s="1"/>
  <c r="K125" i="6" s="1"/>
  <c r="L125" i="6" s="1"/>
  <c r="M125" i="6" s="1"/>
  <c r="N125" i="6" s="1"/>
  <c r="O125" i="6" s="1"/>
  <c r="W115" i="6"/>
  <c r="G115" i="6"/>
  <c r="H115" i="6" s="1"/>
  <c r="I115" i="6" s="1"/>
  <c r="J115" i="6" s="1"/>
  <c r="K115" i="6" s="1"/>
  <c r="L115" i="6" s="1"/>
  <c r="M115" i="6" s="1"/>
  <c r="N115" i="6" s="1"/>
  <c r="O115" i="6" s="1"/>
  <c r="P42" i="6"/>
  <c r="H45" i="6"/>
  <c r="I45" i="6" s="1"/>
  <c r="J45" i="6" s="1"/>
  <c r="K45" i="6" s="1"/>
  <c r="L45" i="6" s="1"/>
  <c r="M45" i="6" s="1"/>
  <c r="N45" i="6" s="1"/>
  <c r="O45" i="6" s="1"/>
  <c r="P45" i="6"/>
  <c r="W117" i="6"/>
  <c r="G117" i="6"/>
  <c r="P142" i="6"/>
  <c r="G137" i="6"/>
  <c r="H137" i="6" s="1"/>
  <c r="I137" i="6" s="1"/>
  <c r="J137" i="6" s="1"/>
  <c r="K137" i="6" s="1"/>
  <c r="L137" i="6" s="1"/>
  <c r="M137" i="6" s="1"/>
  <c r="N137" i="6" s="1"/>
  <c r="O137" i="6" s="1"/>
  <c r="Y9" i="6"/>
  <c r="H9" i="6"/>
  <c r="P158" i="6"/>
  <c r="P116" i="6"/>
  <c r="W124" i="6"/>
  <c r="G124" i="6"/>
  <c r="H44" i="6"/>
  <c r="I44" i="6" s="1"/>
  <c r="J44" i="6" s="1"/>
  <c r="K44" i="6" s="1"/>
  <c r="L44" i="6" s="1"/>
  <c r="M44" i="6" s="1"/>
  <c r="N44" i="6" s="1"/>
  <c r="O44" i="6" s="1"/>
  <c r="P6" i="6"/>
  <c r="H136" i="6"/>
  <c r="I136" i="6" s="1"/>
  <c r="J136" i="6" s="1"/>
  <c r="K136" i="6" s="1"/>
  <c r="L136" i="6" s="1"/>
  <c r="M136" i="6" s="1"/>
  <c r="N136" i="6" s="1"/>
  <c r="O136" i="6" s="1"/>
  <c r="P136" i="6"/>
  <c r="P19" i="6"/>
  <c r="F90" i="6"/>
  <c r="W66" i="6"/>
  <c r="G66" i="6"/>
  <c r="H120" i="6"/>
  <c r="I120" i="6" s="1"/>
  <c r="J120" i="6" s="1"/>
  <c r="K120" i="6" s="1"/>
  <c r="L120" i="6" s="1"/>
  <c r="M120" i="6" s="1"/>
  <c r="N120" i="6" s="1"/>
  <c r="O120" i="6" s="1"/>
  <c r="Y10" i="6"/>
  <c r="H10" i="6"/>
  <c r="D16" i="2"/>
  <c r="H18" i="6"/>
  <c r="I18" i="6" s="1"/>
  <c r="J18" i="6" s="1"/>
  <c r="K18" i="6" s="1"/>
  <c r="L18" i="6" s="1"/>
  <c r="M18" i="6" s="1"/>
  <c r="N18" i="6" s="1"/>
  <c r="O18" i="6" s="1"/>
  <c r="F92" i="6"/>
  <c r="G92" i="6" s="1"/>
  <c r="H92" i="6" s="1"/>
  <c r="I92" i="6" s="1"/>
  <c r="J92" i="6" s="1"/>
  <c r="K92" i="6" s="1"/>
  <c r="L92" i="6" s="1"/>
  <c r="M92" i="6" s="1"/>
  <c r="N92" i="6" s="1"/>
  <c r="O92" i="6" s="1"/>
  <c r="G68" i="6"/>
  <c r="H21" i="6"/>
  <c r="I21" i="6" s="1"/>
  <c r="J21" i="6" s="1"/>
  <c r="K21" i="6" s="1"/>
  <c r="L21" i="6" s="1"/>
  <c r="M21" i="6" s="1"/>
  <c r="N21" i="6" s="1"/>
  <c r="O21" i="6" s="1"/>
  <c r="P21" i="6"/>
  <c r="P43" i="6"/>
  <c r="P109" i="6"/>
  <c r="P56" i="6"/>
  <c r="P91" i="6"/>
  <c r="P75" i="6"/>
  <c r="P78" i="6"/>
  <c r="P80" i="6"/>
  <c r="P93" i="6"/>
  <c r="P87" i="6"/>
  <c r="P73" i="6"/>
  <c r="P69" i="6"/>
  <c r="P54" i="6"/>
  <c r="P51" i="6"/>
  <c r="P50" i="6"/>
  <c r="P25" i="6"/>
  <c r="P32" i="6"/>
  <c r="P39" i="6"/>
  <c r="P30" i="6"/>
  <c r="W34" i="10"/>
  <c r="W35" i="10" s="1"/>
  <c r="W36" i="10" s="1"/>
  <c r="H35" i="9"/>
  <c r="G107" i="6"/>
  <c r="G108" i="6"/>
  <c r="G103" i="6"/>
  <c r="G102" i="6"/>
  <c r="W104" i="6"/>
  <c r="G104" i="6"/>
  <c r="Y106" i="6"/>
  <c r="H106" i="6"/>
  <c r="G105" i="6"/>
  <c r="Z20" i="3"/>
  <c r="AE20" i="3" s="1"/>
  <c r="Z18" i="6" s="1"/>
  <c r="AA18" i="6" s="1"/>
  <c r="O30" i="16"/>
  <c r="O28" i="16"/>
  <c r="O27" i="16"/>
  <c r="F108" i="16"/>
  <c r="O35" i="16"/>
  <c r="O33" i="16"/>
  <c r="O31" i="16"/>
  <c r="O32" i="16"/>
  <c r="O29" i="16"/>
  <c r="O40" i="16"/>
  <c r="O34" i="16"/>
  <c r="O42" i="16"/>
  <c r="O36" i="16"/>
  <c r="O41" i="16"/>
  <c r="O38" i="16"/>
  <c r="O37" i="16"/>
  <c r="O39" i="16"/>
  <c r="J9" i="9"/>
  <c r="W3" i="20"/>
  <c r="R8" i="20"/>
  <c r="R24" i="24"/>
  <c r="R26" i="24" s="1"/>
  <c r="W6" i="24"/>
  <c r="X76" i="6" s="1"/>
  <c r="R7" i="9"/>
  <c r="Q10" i="9"/>
  <c r="R10" i="9"/>
  <c r="S36" i="6"/>
  <c r="K26" i="4"/>
  <c r="K28" i="4" s="1"/>
  <c r="U5" i="4"/>
  <c r="S26" i="6"/>
  <c r="I108" i="16"/>
  <c r="S28" i="6"/>
  <c r="J12" i="9"/>
  <c r="K12" i="9" s="1"/>
  <c r="L12" i="9" s="1"/>
  <c r="S12" i="9" s="1"/>
  <c r="F109" i="16"/>
  <c r="AS8" i="8"/>
  <c r="AU8" i="8" s="1"/>
  <c r="AV8" i="8" s="1"/>
  <c r="AS5" i="8"/>
  <c r="AU5" i="8" s="1"/>
  <c r="AV5" i="8" s="1"/>
  <c r="P22" i="8"/>
  <c r="U22" i="8" s="1"/>
  <c r="AS6" i="8"/>
  <c r="AU6" i="8" s="1"/>
  <c r="AV6" i="8" s="1"/>
  <c r="O65" i="16"/>
  <c r="O71" i="16"/>
  <c r="O60" i="16"/>
  <c r="O70" i="16"/>
  <c r="O68" i="16"/>
  <c r="O72" i="16" s="1"/>
  <c r="O64" i="16"/>
  <c r="I73" i="16"/>
  <c r="I109" i="16"/>
  <c r="K14" i="8"/>
  <c r="R97" i="6"/>
  <c r="P4" i="8"/>
  <c r="O62" i="16"/>
  <c r="O61" i="16"/>
  <c r="O63" i="16"/>
  <c r="E73" i="16"/>
  <c r="E109" i="16"/>
  <c r="E110" i="16" s="1"/>
  <c r="O69" i="16"/>
  <c r="O59" i="16"/>
  <c r="O58" i="16"/>
  <c r="O66" i="16" s="1"/>
  <c r="Q7" i="9"/>
  <c r="AS12" i="8"/>
  <c r="O6" i="16" l="1"/>
  <c r="O5" i="16"/>
  <c r="O9" i="16"/>
  <c r="O19" i="16"/>
  <c r="AB35" i="22"/>
  <c r="AB36" i="22" s="1"/>
  <c r="F37" i="9"/>
  <c r="Z139" i="6"/>
  <c r="C55" i="2" s="1"/>
  <c r="I55" i="2" s="1"/>
  <c r="J55" i="2" s="1"/>
  <c r="AA138" i="6"/>
  <c r="AA139" i="6" s="1"/>
  <c r="B55" i="2" s="1"/>
  <c r="E56" i="2"/>
  <c r="E59" i="2" s="1"/>
  <c r="AF25" i="8"/>
  <c r="AG25" i="8" s="1"/>
  <c r="AE25" i="8"/>
  <c r="AE9" i="8"/>
  <c r="AF5" i="8"/>
  <c r="AG5" i="8" s="1"/>
  <c r="Z98" i="6"/>
  <c r="AA98" i="6" s="1"/>
  <c r="AF7" i="8"/>
  <c r="AG7" i="8" s="1"/>
  <c r="Z100" i="6"/>
  <c r="AA100" i="6" s="1"/>
  <c r="P13" i="6"/>
  <c r="BO4" i="3"/>
  <c r="Z6" i="6"/>
  <c r="AA6" i="6" s="1"/>
  <c r="W8" i="20"/>
  <c r="AB3" i="20"/>
  <c r="Q4" i="9"/>
  <c r="J4" i="9"/>
  <c r="K4" i="9" s="1"/>
  <c r="L4" i="9" s="1"/>
  <c r="S4" i="9" s="1"/>
  <c r="AA20" i="6"/>
  <c r="I44" i="2"/>
  <c r="J44" i="2" s="1"/>
  <c r="K44" i="2" s="1"/>
  <c r="BV23" i="3"/>
  <c r="BO16" i="3"/>
  <c r="BT16" i="3"/>
  <c r="BT18" i="3"/>
  <c r="BO18" i="3"/>
  <c r="BO21" i="3"/>
  <c r="BU21" i="3" s="1"/>
  <c r="BT21" i="3"/>
  <c r="BT14" i="3"/>
  <c r="BO14" i="3"/>
  <c r="X15" i="6"/>
  <c r="Y15" i="6" s="1"/>
  <c r="AE17" i="3"/>
  <c r="Z15" i="6" s="1"/>
  <c r="AA15" i="6" s="1"/>
  <c r="BO3" i="3"/>
  <c r="AE10" i="3"/>
  <c r="Z15" i="3"/>
  <c r="AE15" i="3" s="1"/>
  <c r="Z13" i="6" s="1"/>
  <c r="AA13" i="6" s="1"/>
  <c r="O12" i="16"/>
  <c r="BO20" i="3"/>
  <c r="BP20" i="3" s="1"/>
  <c r="BQ20" i="3" s="1"/>
  <c r="BW20" i="3" s="1"/>
  <c r="BT20" i="3"/>
  <c r="BO13" i="3"/>
  <c r="BP13" i="3" s="1"/>
  <c r="U24" i="3"/>
  <c r="U26" i="3" s="1"/>
  <c r="U27" i="3" s="1"/>
  <c r="BP22" i="3"/>
  <c r="BQ22" i="3" s="1"/>
  <c r="BW22" i="3" s="1"/>
  <c r="BU22" i="3"/>
  <c r="H31" i="9"/>
  <c r="H32" i="9" s="1"/>
  <c r="J35" i="9"/>
  <c r="K35" i="9" s="1"/>
  <c r="R35" i="9" s="1"/>
  <c r="Q35" i="9"/>
  <c r="K25" i="9"/>
  <c r="R25" i="9" s="1"/>
  <c r="K26" i="9"/>
  <c r="R26" i="9" s="1"/>
  <c r="K23" i="9"/>
  <c r="R23" i="9" s="1"/>
  <c r="L6" i="9"/>
  <c r="S6" i="9" s="1"/>
  <c r="K9" i="9"/>
  <c r="L9" i="9" s="1"/>
  <c r="S9" i="9" s="1"/>
  <c r="K22" i="9"/>
  <c r="R22" i="9" s="1"/>
  <c r="V74" i="6"/>
  <c r="W4" i="24"/>
  <c r="X80" i="6"/>
  <c r="Y80" i="6" s="1"/>
  <c r="Y11" i="4"/>
  <c r="V84" i="6"/>
  <c r="W14" i="24"/>
  <c r="V86" i="6"/>
  <c r="W16" i="24"/>
  <c r="W9" i="24"/>
  <c r="V79" i="6"/>
  <c r="W79" i="6" s="1"/>
  <c r="V83" i="6"/>
  <c r="W13" i="24"/>
  <c r="V87" i="6"/>
  <c r="W87" i="6" s="1"/>
  <c r="W17" i="24"/>
  <c r="V90" i="6"/>
  <c r="W20" i="24"/>
  <c r="V85" i="6"/>
  <c r="W15" i="24"/>
  <c r="Y12" i="4"/>
  <c r="AF12" i="4" s="1"/>
  <c r="W7" i="24"/>
  <c r="V77" i="6"/>
  <c r="U74" i="6"/>
  <c r="U170" i="6" s="1"/>
  <c r="U171" i="6" s="1"/>
  <c r="V78" i="6"/>
  <c r="W78" i="6" s="1"/>
  <c r="W8" i="24"/>
  <c r="X78" i="6" s="1"/>
  <c r="Y78" i="6" s="1"/>
  <c r="Y9" i="4"/>
  <c r="V73" i="6"/>
  <c r="W3" i="24"/>
  <c r="V82" i="6"/>
  <c r="W12" i="24"/>
  <c r="T94" i="6"/>
  <c r="U73" i="6"/>
  <c r="J21" i="9"/>
  <c r="Z19" i="3"/>
  <c r="AE19" i="3" s="1"/>
  <c r="Z17" i="6" s="1"/>
  <c r="AA17" i="6" s="1"/>
  <c r="V17" i="6"/>
  <c r="W17" i="6" s="1"/>
  <c r="H17" i="9"/>
  <c r="M127" i="16"/>
  <c r="M141" i="16"/>
  <c r="M131" i="16"/>
  <c r="Z26" i="8"/>
  <c r="U17" i="4"/>
  <c r="U26" i="4" s="1"/>
  <c r="P26" i="4"/>
  <c r="P28" i="4" s="1"/>
  <c r="M117" i="16"/>
  <c r="M126" i="16"/>
  <c r="M136" i="16"/>
  <c r="M122" i="16"/>
  <c r="M120" i="16"/>
  <c r="M138" i="16"/>
  <c r="M139" i="16"/>
  <c r="M133" i="16"/>
  <c r="M115" i="16"/>
  <c r="M130" i="16"/>
  <c r="M123" i="16"/>
  <c r="M135" i="16"/>
  <c r="M119" i="16"/>
  <c r="M137" i="16"/>
  <c r="M114" i="16"/>
  <c r="M118" i="16"/>
  <c r="M132" i="16"/>
  <c r="M142" i="16"/>
  <c r="M134" i="16"/>
  <c r="M113" i="16"/>
  <c r="M116" i="16"/>
  <c r="M125" i="16"/>
  <c r="M140" i="16"/>
  <c r="M124" i="16"/>
  <c r="M129" i="16"/>
  <c r="M128" i="16"/>
  <c r="Q5" i="9"/>
  <c r="J24" i="9"/>
  <c r="Q26" i="9"/>
  <c r="Q23" i="9"/>
  <c r="Q22" i="9"/>
  <c r="D37" i="2"/>
  <c r="Q27" i="9"/>
  <c r="Q25" i="9"/>
  <c r="AK25" i="8"/>
  <c r="X104" i="6"/>
  <c r="Y104" i="6" s="1"/>
  <c r="AL13" i="8"/>
  <c r="BT3" i="3"/>
  <c r="X18" i="6"/>
  <c r="Y18" i="6" s="1"/>
  <c r="D12" i="2"/>
  <c r="O24" i="16"/>
  <c r="X98" i="6"/>
  <c r="Y98" i="6" s="1"/>
  <c r="AK5" i="8"/>
  <c r="X100" i="6"/>
  <c r="Y100" i="6" s="1"/>
  <c r="AK7" i="8"/>
  <c r="Z8" i="8"/>
  <c r="V101" i="6"/>
  <c r="W101" i="6" s="1"/>
  <c r="Z10" i="8"/>
  <c r="V103" i="6"/>
  <c r="W103" i="6" s="1"/>
  <c r="Z6" i="8"/>
  <c r="AE6" i="8" s="1"/>
  <c r="V99" i="6"/>
  <c r="W99" i="6" s="1"/>
  <c r="U4" i="8"/>
  <c r="T97" i="6"/>
  <c r="X102" i="6"/>
  <c r="Y102" i="6" s="1"/>
  <c r="AK9" i="8"/>
  <c r="AG15" i="4"/>
  <c r="AB15" i="4"/>
  <c r="AH15" i="4" s="1"/>
  <c r="U25" i="6"/>
  <c r="U46" i="6" s="1"/>
  <c r="T46" i="6"/>
  <c r="R46" i="6"/>
  <c r="X19" i="6"/>
  <c r="Y19" i="6" s="1"/>
  <c r="X13" i="6"/>
  <c r="Y13" i="6" s="1"/>
  <c r="K28" i="3"/>
  <c r="K27" i="3"/>
  <c r="W5" i="6"/>
  <c r="T22" i="6"/>
  <c r="C22" i="2" s="1"/>
  <c r="X5" i="6"/>
  <c r="Y5" i="6" s="1"/>
  <c r="X14" i="6"/>
  <c r="X12" i="6"/>
  <c r="Y12" i="6" s="1"/>
  <c r="BT13" i="3"/>
  <c r="U22" i="6"/>
  <c r="B22" i="2" s="1"/>
  <c r="X16" i="6"/>
  <c r="Y16" i="6" s="1"/>
  <c r="Z10" i="3"/>
  <c r="X6" i="6"/>
  <c r="Y6" i="6" s="1"/>
  <c r="BT4" i="3"/>
  <c r="X20" i="6"/>
  <c r="Y20" i="6" s="1"/>
  <c r="Y162" i="6"/>
  <c r="Y167" i="6" s="1"/>
  <c r="B45" i="2" s="1"/>
  <c r="D45" i="2" s="1"/>
  <c r="H162" i="6"/>
  <c r="I162" i="6" s="1"/>
  <c r="J162" i="6" s="1"/>
  <c r="K162" i="6" s="1"/>
  <c r="L162" i="6" s="1"/>
  <c r="M162" i="6" s="1"/>
  <c r="N162" i="6" s="1"/>
  <c r="O162" i="6" s="1"/>
  <c r="P162" i="6"/>
  <c r="H133" i="6"/>
  <c r="I133" i="6" s="1"/>
  <c r="J133" i="6" s="1"/>
  <c r="K133" i="6" s="1"/>
  <c r="L133" i="6" s="1"/>
  <c r="M133" i="6" s="1"/>
  <c r="N133" i="6" s="1"/>
  <c r="O133" i="6" s="1"/>
  <c r="Y133" i="6"/>
  <c r="H134" i="6"/>
  <c r="Y134" i="6"/>
  <c r="P18" i="6"/>
  <c r="P137" i="6"/>
  <c r="P115" i="6"/>
  <c r="W131" i="6"/>
  <c r="W139" i="6" s="1"/>
  <c r="G131" i="6"/>
  <c r="H62" i="6"/>
  <c r="I62" i="6" s="1"/>
  <c r="J62" i="6" s="1"/>
  <c r="K62" i="6" s="1"/>
  <c r="L62" i="6" s="1"/>
  <c r="M62" i="6" s="1"/>
  <c r="N62" i="6" s="1"/>
  <c r="O62" i="6" s="1"/>
  <c r="Y62" i="6"/>
  <c r="Y41" i="6"/>
  <c r="I41" i="6"/>
  <c r="H55" i="6"/>
  <c r="I55" i="6" s="1"/>
  <c r="J55" i="6" s="1"/>
  <c r="K55" i="6" s="1"/>
  <c r="L55" i="6" s="1"/>
  <c r="M55" i="6" s="1"/>
  <c r="N55" i="6" s="1"/>
  <c r="O55" i="6" s="1"/>
  <c r="P55" i="6" s="1"/>
  <c r="Y55" i="6"/>
  <c r="P125" i="6"/>
  <c r="U85" i="6"/>
  <c r="H28" i="6"/>
  <c r="W86" i="6"/>
  <c r="G86" i="6"/>
  <c r="Y53" i="6"/>
  <c r="H53" i="6"/>
  <c r="P8" i="6"/>
  <c r="H16" i="6"/>
  <c r="W46" i="6"/>
  <c r="P7" i="6"/>
  <c r="Y36" i="6"/>
  <c r="I36" i="6"/>
  <c r="F89" i="6"/>
  <c r="W65" i="6"/>
  <c r="G65" i="6"/>
  <c r="G79" i="6"/>
  <c r="P92" i="6"/>
  <c r="I10" i="6"/>
  <c r="J10" i="6" s="1"/>
  <c r="K10" i="6" s="1"/>
  <c r="L10" i="6" s="1"/>
  <c r="M10" i="6" s="1"/>
  <c r="N10" i="6" s="1"/>
  <c r="O10" i="6" s="1"/>
  <c r="P10" i="6"/>
  <c r="P44" i="6"/>
  <c r="Y61" i="6"/>
  <c r="H61" i="6"/>
  <c r="W52" i="6"/>
  <c r="F76" i="6"/>
  <c r="G52" i="6"/>
  <c r="W77" i="6"/>
  <c r="G77" i="6"/>
  <c r="U84" i="6"/>
  <c r="P97" i="6"/>
  <c r="F84" i="6"/>
  <c r="W60" i="6"/>
  <c r="G60" i="6"/>
  <c r="P17" i="6"/>
  <c r="F82" i="6"/>
  <c r="W58" i="6"/>
  <c r="G58" i="6"/>
  <c r="H124" i="6"/>
  <c r="I124" i="6" s="1"/>
  <c r="J124" i="6" s="1"/>
  <c r="K124" i="6" s="1"/>
  <c r="L124" i="6" s="1"/>
  <c r="M124" i="6" s="1"/>
  <c r="N124" i="6" s="1"/>
  <c r="O124" i="6" s="1"/>
  <c r="H117" i="6"/>
  <c r="I117" i="6" s="1"/>
  <c r="J117" i="6" s="1"/>
  <c r="K117" i="6" s="1"/>
  <c r="L117" i="6" s="1"/>
  <c r="M117" i="6" s="1"/>
  <c r="N117" i="6" s="1"/>
  <c r="O117" i="6" s="1"/>
  <c r="W85" i="6"/>
  <c r="G85" i="6"/>
  <c r="H138" i="6"/>
  <c r="U70" i="6"/>
  <c r="Y57" i="6"/>
  <c r="H57" i="6"/>
  <c r="H40" i="6"/>
  <c r="P120" i="6"/>
  <c r="U83" i="6"/>
  <c r="H5" i="6"/>
  <c r="I5" i="6" s="1"/>
  <c r="J5" i="6" s="1"/>
  <c r="K5" i="6" s="1"/>
  <c r="L5" i="6" s="1"/>
  <c r="M5" i="6" s="1"/>
  <c r="N5" i="6" s="1"/>
  <c r="O5" i="6" s="1"/>
  <c r="P5" i="6"/>
  <c r="P100" i="6"/>
  <c r="H66" i="6"/>
  <c r="I66" i="6" s="1"/>
  <c r="J66" i="6" s="1"/>
  <c r="K66" i="6" s="1"/>
  <c r="L66" i="6" s="1"/>
  <c r="M66" i="6" s="1"/>
  <c r="N66" i="6" s="1"/>
  <c r="O66" i="6" s="1"/>
  <c r="Y66" i="6"/>
  <c r="P66" i="6"/>
  <c r="P33" i="6"/>
  <c r="W81" i="6"/>
  <c r="G81" i="6"/>
  <c r="F88" i="6"/>
  <c r="W64" i="6"/>
  <c r="G64" i="6"/>
  <c r="W14" i="6"/>
  <c r="P123" i="6"/>
  <c r="P31" i="6"/>
  <c r="P170" i="6"/>
  <c r="Y35" i="6"/>
  <c r="I35" i="6"/>
  <c r="P133" i="6"/>
  <c r="Y34" i="6"/>
  <c r="I34" i="6"/>
  <c r="P29" i="6"/>
  <c r="H68" i="6"/>
  <c r="I68" i="6" s="1"/>
  <c r="J68" i="6" s="1"/>
  <c r="K68" i="6" s="1"/>
  <c r="L68" i="6" s="1"/>
  <c r="M68" i="6" s="1"/>
  <c r="N68" i="6" s="1"/>
  <c r="O68" i="6" s="1"/>
  <c r="P68" i="6"/>
  <c r="W90" i="6"/>
  <c r="G90" i="6"/>
  <c r="I9" i="6"/>
  <c r="J9" i="6" s="1"/>
  <c r="K9" i="6" s="1"/>
  <c r="L9" i="6" s="1"/>
  <c r="M9" i="6" s="1"/>
  <c r="N9" i="6" s="1"/>
  <c r="O9" i="6" s="1"/>
  <c r="P9" i="6"/>
  <c r="U82" i="6"/>
  <c r="U94" i="6" s="1"/>
  <c r="F83" i="6"/>
  <c r="W59" i="6"/>
  <c r="G59" i="6"/>
  <c r="H98" i="6"/>
  <c r="H36" i="9"/>
  <c r="G36" i="9"/>
  <c r="G37" i="9" s="1"/>
  <c r="G38" i="9" s="1"/>
  <c r="AL12" i="8"/>
  <c r="AM12" i="8"/>
  <c r="H104" i="6"/>
  <c r="I104" i="6" s="1"/>
  <c r="J104" i="6" s="1"/>
  <c r="K104" i="6" s="1"/>
  <c r="L104" i="6" s="1"/>
  <c r="M104" i="6" s="1"/>
  <c r="N104" i="6" s="1"/>
  <c r="O104" i="6" s="1"/>
  <c r="P104" i="6"/>
  <c r="H102" i="6"/>
  <c r="H103" i="6"/>
  <c r="I103" i="6" s="1"/>
  <c r="J103" i="6" s="1"/>
  <c r="K103" i="6" s="1"/>
  <c r="L103" i="6" s="1"/>
  <c r="M103" i="6" s="1"/>
  <c r="N103" i="6" s="1"/>
  <c r="O103" i="6" s="1"/>
  <c r="Y108" i="6"/>
  <c r="H108" i="6"/>
  <c r="I106" i="6"/>
  <c r="J106" i="6" s="1"/>
  <c r="K106" i="6" s="1"/>
  <c r="L106" i="6" s="1"/>
  <c r="M106" i="6" s="1"/>
  <c r="N106" i="6" s="1"/>
  <c r="O106" i="6" s="1"/>
  <c r="P106" i="6" s="1"/>
  <c r="Y107" i="6"/>
  <c r="H107" i="6"/>
  <c r="H105" i="6"/>
  <c r="I105" i="6" s="1"/>
  <c r="J105" i="6" s="1"/>
  <c r="K105" i="6" s="1"/>
  <c r="L105" i="6" s="1"/>
  <c r="M105" i="6" s="1"/>
  <c r="N105" i="6" s="1"/>
  <c r="O105" i="6" s="1"/>
  <c r="F110" i="16"/>
  <c r="Z21" i="4"/>
  <c r="AA21" i="4" s="1"/>
  <c r="AF21" i="4"/>
  <c r="AF6" i="4"/>
  <c r="S46" i="6"/>
  <c r="I110" i="16"/>
  <c r="L108" i="16" s="1"/>
  <c r="L110" i="16" s="1"/>
  <c r="AS4" i="8"/>
  <c r="AU4" i="8" s="1"/>
  <c r="AV4" i="8" s="1"/>
  <c r="Z22" i="8"/>
  <c r="R112" i="6"/>
  <c r="C15" i="2" s="1"/>
  <c r="S97" i="6"/>
  <c r="O73" i="16"/>
  <c r="P14" i="8"/>
  <c r="K28" i="8"/>
  <c r="K29" i="8" s="1"/>
  <c r="F38" i="9" l="1"/>
  <c r="Z24" i="3"/>
  <c r="X17" i="6"/>
  <c r="Y17" i="6" s="1"/>
  <c r="D55" i="2"/>
  <c r="Z104" i="6"/>
  <c r="AA104" i="6" s="1"/>
  <c r="AE26" i="8"/>
  <c r="AF9" i="8"/>
  <c r="AG9" i="8" s="1"/>
  <c r="Z102" i="6"/>
  <c r="AA102" i="6" s="1"/>
  <c r="AE10" i="8"/>
  <c r="AE8" i="8"/>
  <c r="AF6" i="8"/>
  <c r="AG6" i="8" s="1"/>
  <c r="Z99" i="6"/>
  <c r="AA99" i="6" s="1"/>
  <c r="AB8" i="20"/>
  <c r="X5" i="4"/>
  <c r="X26" i="4" s="1"/>
  <c r="Z170" i="6"/>
  <c r="Z22" i="6"/>
  <c r="C53" i="2" s="1"/>
  <c r="I53" i="2" s="1"/>
  <c r="K55" i="2"/>
  <c r="BV22" i="3"/>
  <c r="BV20" i="3"/>
  <c r="BQ13" i="3"/>
  <c r="BW13" i="3" s="1"/>
  <c r="BT17" i="3"/>
  <c r="BO17" i="3"/>
  <c r="BU17" i="3" s="1"/>
  <c r="BP14" i="3"/>
  <c r="BU14" i="3"/>
  <c r="BO19" i="3"/>
  <c r="BP19" i="3" s="1"/>
  <c r="BQ19" i="3" s="1"/>
  <c r="BW19" i="3" s="1"/>
  <c r="BT19" i="3"/>
  <c r="AE24" i="3"/>
  <c r="AE26" i="3" s="1"/>
  <c r="BO15" i="3"/>
  <c r="BT15" i="3"/>
  <c r="BU16" i="3"/>
  <c r="BP16" i="3"/>
  <c r="K31" i="9"/>
  <c r="R31" i="9" s="1"/>
  <c r="Q31" i="9"/>
  <c r="J31" i="9"/>
  <c r="R4" i="9"/>
  <c r="K24" i="9"/>
  <c r="R24" i="9" s="1"/>
  <c r="L5" i="9"/>
  <c r="S5" i="9" s="1"/>
  <c r="K21" i="9"/>
  <c r="R21" i="9" s="1"/>
  <c r="R6" i="9"/>
  <c r="Z11" i="4"/>
  <c r="AF11" i="4"/>
  <c r="Y4" i="4"/>
  <c r="Z4" i="4" s="1"/>
  <c r="AA4" i="4" s="1"/>
  <c r="AB4" i="4" s="1"/>
  <c r="X73" i="6"/>
  <c r="Y10" i="4"/>
  <c r="X79" i="6"/>
  <c r="W73" i="6"/>
  <c r="V94" i="6"/>
  <c r="X85" i="6"/>
  <c r="Y18" i="4"/>
  <c r="AF9" i="4"/>
  <c r="Z9" i="4"/>
  <c r="AA9" i="4" s="1"/>
  <c r="AB9" i="4" s="1"/>
  <c r="X86" i="6"/>
  <c r="Y19" i="4"/>
  <c r="X90" i="6"/>
  <c r="Y23" i="4"/>
  <c r="Y17" i="4"/>
  <c r="X84" i="6"/>
  <c r="B23" i="2"/>
  <c r="X87" i="6"/>
  <c r="Y87" i="6" s="1"/>
  <c r="Y20" i="4"/>
  <c r="Z12" i="4"/>
  <c r="X83" i="6"/>
  <c r="X74" i="6"/>
  <c r="W24" i="24"/>
  <c r="W26" i="24" s="1"/>
  <c r="X82" i="6"/>
  <c r="Y13" i="4"/>
  <c r="Y8" i="4"/>
  <c r="X77" i="6"/>
  <c r="W74" i="6"/>
  <c r="W170" i="6" s="1"/>
  <c r="W171" i="6" s="1"/>
  <c r="V170" i="6"/>
  <c r="V171" i="6" s="1"/>
  <c r="Q21" i="9"/>
  <c r="V22" i="6"/>
  <c r="C32" i="2" s="1"/>
  <c r="H37" i="9"/>
  <c r="W22" i="6"/>
  <c r="B32" i="2" s="1"/>
  <c r="AK6" i="8"/>
  <c r="X99" i="6"/>
  <c r="Y99" i="6" s="1"/>
  <c r="X103" i="6"/>
  <c r="Y103" i="6" s="1"/>
  <c r="AK10" i="8"/>
  <c r="X101" i="6"/>
  <c r="Y101" i="6" s="1"/>
  <c r="AK8" i="8"/>
  <c r="T112" i="6"/>
  <c r="C25" i="2" s="1"/>
  <c r="U97" i="6"/>
  <c r="U112" i="6" s="1"/>
  <c r="B25" i="2" s="1"/>
  <c r="Z4" i="8"/>
  <c r="V97" i="6"/>
  <c r="C23" i="2"/>
  <c r="D23" i="2" s="1"/>
  <c r="C13" i="2"/>
  <c r="D22" i="2"/>
  <c r="X22" i="6"/>
  <c r="C42" i="2" s="1"/>
  <c r="I42" i="2" s="1"/>
  <c r="J42" i="2" s="1"/>
  <c r="BV13" i="3"/>
  <c r="BU13" i="3"/>
  <c r="BU18" i="3"/>
  <c r="BP18" i="3"/>
  <c r="Z26" i="3"/>
  <c r="Z27" i="3" s="1"/>
  <c r="I134" i="6"/>
  <c r="J134" i="6" s="1"/>
  <c r="K134" i="6" s="1"/>
  <c r="L134" i="6" s="1"/>
  <c r="M134" i="6" s="1"/>
  <c r="N134" i="6" s="1"/>
  <c r="O134" i="6" s="1"/>
  <c r="P134" i="6"/>
  <c r="H131" i="6"/>
  <c r="Y131" i="6"/>
  <c r="Y139" i="6" s="1"/>
  <c r="B44" i="2" s="1"/>
  <c r="D44" i="2" s="1"/>
  <c r="P124" i="6"/>
  <c r="H77" i="6"/>
  <c r="I77" i="6" s="1"/>
  <c r="J77" i="6" s="1"/>
  <c r="K77" i="6" s="1"/>
  <c r="L77" i="6" s="1"/>
  <c r="M77" i="6" s="1"/>
  <c r="N77" i="6" s="1"/>
  <c r="O77" i="6" s="1"/>
  <c r="Y77" i="6"/>
  <c r="P77" i="6"/>
  <c r="H79" i="6"/>
  <c r="Y79" i="6"/>
  <c r="I53" i="6"/>
  <c r="J53" i="6" s="1"/>
  <c r="K53" i="6" s="1"/>
  <c r="L53" i="6" s="1"/>
  <c r="M53" i="6" s="1"/>
  <c r="N53" i="6" s="1"/>
  <c r="O53" i="6" s="1"/>
  <c r="J41" i="6"/>
  <c r="K41" i="6" s="1"/>
  <c r="L41" i="6" s="1"/>
  <c r="M41" i="6" s="1"/>
  <c r="N41" i="6" s="1"/>
  <c r="O41" i="6" s="1"/>
  <c r="P41" i="6"/>
  <c r="I40" i="6"/>
  <c r="Y40" i="6"/>
  <c r="H58" i="6"/>
  <c r="Y58" i="6"/>
  <c r="H52" i="6"/>
  <c r="I52" i="6" s="1"/>
  <c r="J52" i="6" s="1"/>
  <c r="K52" i="6" s="1"/>
  <c r="L52" i="6" s="1"/>
  <c r="M52" i="6" s="1"/>
  <c r="N52" i="6" s="1"/>
  <c r="O52" i="6" s="1"/>
  <c r="Y52" i="6"/>
  <c r="P52" i="6"/>
  <c r="H65" i="6"/>
  <c r="I65" i="6" s="1"/>
  <c r="J65" i="6" s="1"/>
  <c r="K65" i="6" s="1"/>
  <c r="L65" i="6" s="1"/>
  <c r="M65" i="6" s="1"/>
  <c r="N65" i="6" s="1"/>
  <c r="O65" i="6" s="1"/>
  <c r="Y65" i="6"/>
  <c r="P65" i="6"/>
  <c r="Y86" i="6"/>
  <c r="H86" i="6"/>
  <c r="I86" i="6" s="1"/>
  <c r="J86" i="6" s="1"/>
  <c r="K86" i="6" s="1"/>
  <c r="L86" i="6" s="1"/>
  <c r="M86" i="6" s="1"/>
  <c r="N86" i="6" s="1"/>
  <c r="O86" i="6" s="1"/>
  <c r="P86" i="6"/>
  <c r="J35" i="6"/>
  <c r="K35" i="6" s="1"/>
  <c r="L35" i="6" s="1"/>
  <c r="M35" i="6" s="1"/>
  <c r="N35" i="6" s="1"/>
  <c r="O35" i="6" s="1"/>
  <c r="I57" i="6"/>
  <c r="J57" i="6" s="1"/>
  <c r="K57" i="6" s="1"/>
  <c r="L57" i="6" s="1"/>
  <c r="M57" i="6" s="1"/>
  <c r="N57" i="6" s="1"/>
  <c r="O57" i="6" s="1"/>
  <c r="P57" i="6"/>
  <c r="W76" i="6"/>
  <c r="G76" i="6"/>
  <c r="W82" i="6"/>
  <c r="G82" i="6"/>
  <c r="W70" i="6"/>
  <c r="W89" i="6"/>
  <c r="G89" i="6"/>
  <c r="P62" i="6"/>
  <c r="I98" i="6"/>
  <c r="J98" i="6" s="1"/>
  <c r="K98" i="6" s="1"/>
  <c r="L98" i="6" s="1"/>
  <c r="M98" i="6" s="1"/>
  <c r="N98" i="6" s="1"/>
  <c r="O98" i="6" s="1"/>
  <c r="P98" i="6"/>
  <c r="Y14" i="6"/>
  <c r="Y22" i="6" s="1"/>
  <c r="B42" i="2" s="1"/>
  <c r="H14" i="6"/>
  <c r="AA14" i="6" s="1"/>
  <c r="AA22" i="6" s="1"/>
  <c r="B53" i="2" s="1"/>
  <c r="I61" i="6"/>
  <c r="J61" i="6" s="1"/>
  <c r="K61" i="6" s="1"/>
  <c r="L61" i="6" s="1"/>
  <c r="M61" i="6" s="1"/>
  <c r="N61" i="6" s="1"/>
  <c r="O61" i="6" s="1"/>
  <c r="P61" i="6"/>
  <c r="J36" i="6"/>
  <c r="K36" i="6" s="1"/>
  <c r="L36" i="6" s="1"/>
  <c r="M36" i="6" s="1"/>
  <c r="N36" i="6" s="1"/>
  <c r="O36" i="6" s="1"/>
  <c r="P36" i="6"/>
  <c r="Y28" i="6"/>
  <c r="I28" i="6"/>
  <c r="I138" i="6"/>
  <c r="J138" i="6" s="1"/>
  <c r="K138" i="6" s="1"/>
  <c r="L138" i="6" s="1"/>
  <c r="M138" i="6" s="1"/>
  <c r="N138" i="6" s="1"/>
  <c r="O138" i="6" s="1"/>
  <c r="P138" i="6"/>
  <c r="Y60" i="6"/>
  <c r="H60" i="6"/>
  <c r="Y64" i="6"/>
  <c r="H64" i="6"/>
  <c r="I64" i="6" s="1"/>
  <c r="J64" i="6" s="1"/>
  <c r="K64" i="6" s="1"/>
  <c r="L64" i="6" s="1"/>
  <c r="M64" i="6" s="1"/>
  <c r="N64" i="6" s="1"/>
  <c r="O64" i="6" s="1"/>
  <c r="P64" i="6"/>
  <c r="H85" i="6"/>
  <c r="Y85" i="6"/>
  <c r="W84" i="6"/>
  <c r="G84" i="6"/>
  <c r="P103" i="6"/>
  <c r="J34" i="6"/>
  <c r="K34" i="6" s="1"/>
  <c r="L34" i="6" s="1"/>
  <c r="M34" i="6" s="1"/>
  <c r="N34" i="6" s="1"/>
  <c r="O34" i="6" s="1"/>
  <c r="W83" i="6"/>
  <c r="G83" i="6"/>
  <c r="W88" i="6"/>
  <c r="G88" i="6"/>
  <c r="I16" i="6"/>
  <c r="J16" i="6" s="1"/>
  <c r="K16" i="6" s="1"/>
  <c r="L16" i="6" s="1"/>
  <c r="M16" i="6" s="1"/>
  <c r="N16" i="6" s="1"/>
  <c r="O16" i="6" s="1"/>
  <c r="H90" i="6"/>
  <c r="I90" i="6" s="1"/>
  <c r="J90" i="6" s="1"/>
  <c r="K90" i="6" s="1"/>
  <c r="L90" i="6" s="1"/>
  <c r="M90" i="6" s="1"/>
  <c r="N90" i="6" s="1"/>
  <c r="O90" i="6" s="1"/>
  <c r="Y90" i="6"/>
  <c r="P90" i="6"/>
  <c r="Y59" i="6"/>
  <c r="H59" i="6"/>
  <c r="I59" i="6" s="1"/>
  <c r="J59" i="6" s="1"/>
  <c r="K59" i="6" s="1"/>
  <c r="L59" i="6" s="1"/>
  <c r="M59" i="6" s="1"/>
  <c r="N59" i="6" s="1"/>
  <c r="O59" i="6" s="1"/>
  <c r="S112" i="6"/>
  <c r="Y81" i="6"/>
  <c r="H81" i="6"/>
  <c r="I81" i="6" s="1"/>
  <c r="J81" i="6" s="1"/>
  <c r="K81" i="6" s="1"/>
  <c r="L81" i="6" s="1"/>
  <c r="M81" i="6" s="1"/>
  <c r="N81" i="6" s="1"/>
  <c r="O81" i="6" s="1"/>
  <c r="P81" i="6"/>
  <c r="P117" i="6"/>
  <c r="AH25" i="8"/>
  <c r="AM25" i="8" s="1"/>
  <c r="AL25" i="8"/>
  <c r="P105" i="6"/>
  <c r="I108" i="6"/>
  <c r="J108" i="6" s="1"/>
  <c r="K108" i="6" s="1"/>
  <c r="L108" i="6" s="1"/>
  <c r="M108" i="6" s="1"/>
  <c r="N108" i="6" s="1"/>
  <c r="O108" i="6" s="1"/>
  <c r="I102" i="6"/>
  <c r="J102" i="6" s="1"/>
  <c r="K102" i="6" s="1"/>
  <c r="L102" i="6" s="1"/>
  <c r="M102" i="6" s="1"/>
  <c r="N102" i="6" s="1"/>
  <c r="O102" i="6" s="1"/>
  <c r="P102" i="6"/>
  <c r="I107" i="6"/>
  <c r="J107" i="6" s="1"/>
  <c r="K107" i="6" s="1"/>
  <c r="L107" i="6" s="1"/>
  <c r="M107" i="6" s="1"/>
  <c r="N107" i="6" s="1"/>
  <c r="O107" i="6" s="1"/>
  <c r="P107" i="6"/>
  <c r="AG21" i="4"/>
  <c r="AN21" i="4" s="1"/>
  <c r="AP21" i="4" s="1"/>
  <c r="AQ21" i="4" s="1"/>
  <c r="AB21" i="4"/>
  <c r="AH21" i="4" s="1"/>
  <c r="BU20" i="3"/>
  <c r="AG6" i="4"/>
  <c r="AN6" i="4" s="1"/>
  <c r="AP6" i="4" s="1"/>
  <c r="AQ6" i="4" s="1"/>
  <c r="AH6" i="4"/>
  <c r="Y7" i="4"/>
  <c r="V26" i="4"/>
  <c r="V28" i="4" s="1"/>
  <c r="U14" i="8"/>
  <c r="P28" i="8"/>
  <c r="P29" i="8" s="1"/>
  <c r="I15" i="2"/>
  <c r="J15" i="2" s="1"/>
  <c r="AE27" i="3" l="1"/>
  <c r="BO27" i="3"/>
  <c r="H38" i="9"/>
  <c r="J37" i="9"/>
  <c r="D53" i="2"/>
  <c r="Z103" i="6"/>
  <c r="AA103" i="6" s="1"/>
  <c r="AF10" i="8"/>
  <c r="AG10" i="8" s="1"/>
  <c r="Z101" i="6"/>
  <c r="AA101" i="6" s="1"/>
  <c r="AF8" i="8"/>
  <c r="AG8" i="8" s="1"/>
  <c r="AK4" i="8"/>
  <c r="AE4" i="8"/>
  <c r="Z171" i="6"/>
  <c r="C54" i="2" s="1"/>
  <c r="AA170" i="6"/>
  <c r="AA171" i="6" s="1"/>
  <c r="B54" i="2" s="1"/>
  <c r="BQ16" i="3"/>
  <c r="BW16" i="3" s="1"/>
  <c r="BQ14" i="3"/>
  <c r="BW14" i="3" s="1"/>
  <c r="J53" i="2"/>
  <c r="BP17" i="3"/>
  <c r="BV17" i="3" s="1"/>
  <c r="BV19" i="3"/>
  <c r="BV14" i="3"/>
  <c r="BV18" i="3"/>
  <c r="BQ18" i="3"/>
  <c r="BW18" i="3" s="1"/>
  <c r="BV16" i="3"/>
  <c r="BP15" i="3"/>
  <c r="BU15" i="3"/>
  <c r="D32" i="2"/>
  <c r="BU19" i="3"/>
  <c r="R5" i="9"/>
  <c r="Z17" i="4"/>
  <c r="AF17" i="4"/>
  <c r="AA12" i="4"/>
  <c r="AB12" i="4" s="1"/>
  <c r="AH12" i="4" s="1"/>
  <c r="AH9" i="4"/>
  <c r="AG9" i="4"/>
  <c r="AN9" i="4" s="1"/>
  <c r="AP9" i="4" s="1"/>
  <c r="AQ9" i="4" s="1"/>
  <c r="Z20" i="4"/>
  <c r="AA20" i="4" s="1"/>
  <c r="AF20" i="4"/>
  <c r="AF18" i="4"/>
  <c r="Z18" i="4"/>
  <c r="AA18" i="4" s="1"/>
  <c r="C33" i="2"/>
  <c r="Z8" i="4"/>
  <c r="AA8" i="4" s="1"/>
  <c r="AF8" i="4"/>
  <c r="AF13" i="4"/>
  <c r="Z13" i="4"/>
  <c r="AA13" i="4" s="1"/>
  <c r="AF23" i="4"/>
  <c r="Z23" i="4"/>
  <c r="AA23" i="4" s="1"/>
  <c r="AF10" i="4"/>
  <c r="Z10" i="4"/>
  <c r="AA10" i="4" s="1"/>
  <c r="X94" i="6"/>
  <c r="C43" i="2" s="1"/>
  <c r="I43" i="2" s="1"/>
  <c r="J43" i="2" s="1"/>
  <c r="K43" i="2" s="1"/>
  <c r="Y73" i="6"/>
  <c r="S74" i="6"/>
  <c r="Y5" i="4"/>
  <c r="AF4" i="4"/>
  <c r="X170" i="6"/>
  <c r="X171" i="6" s="1"/>
  <c r="Y74" i="6"/>
  <c r="Y170" i="6" s="1"/>
  <c r="Y171" i="6" s="1"/>
  <c r="AF19" i="4"/>
  <c r="Z19" i="4"/>
  <c r="AA19" i="4" s="1"/>
  <c r="S83" i="6"/>
  <c r="Y14" i="4"/>
  <c r="AA11" i="4"/>
  <c r="AB11" i="4" s="1"/>
  <c r="AH11" i="4" s="1"/>
  <c r="C28" i="2"/>
  <c r="D25" i="2"/>
  <c r="D28" i="2" s="1"/>
  <c r="AM9" i="8"/>
  <c r="AL9" i="8"/>
  <c r="AM5" i="8"/>
  <c r="AL5" i="8"/>
  <c r="V112" i="6"/>
  <c r="C35" i="2" s="1"/>
  <c r="W97" i="6"/>
  <c r="W112" i="6" s="1"/>
  <c r="B35" i="2" s="1"/>
  <c r="X97" i="6"/>
  <c r="B15" i="2"/>
  <c r="D15" i="2" s="1"/>
  <c r="B28" i="2"/>
  <c r="AM7" i="8"/>
  <c r="AL7" i="8"/>
  <c r="K42" i="2"/>
  <c r="D42" i="2"/>
  <c r="I131" i="6"/>
  <c r="J131" i="6" s="1"/>
  <c r="K131" i="6" s="1"/>
  <c r="L131" i="6" s="1"/>
  <c r="M131" i="6" s="1"/>
  <c r="N131" i="6" s="1"/>
  <c r="O131" i="6" s="1"/>
  <c r="P131" i="6"/>
  <c r="J28" i="6"/>
  <c r="K28" i="6" s="1"/>
  <c r="L28" i="6" s="1"/>
  <c r="M28" i="6" s="1"/>
  <c r="N28" i="6" s="1"/>
  <c r="O28" i="6" s="1"/>
  <c r="P28" i="6"/>
  <c r="P53" i="6"/>
  <c r="Y82" i="6"/>
  <c r="H82" i="6"/>
  <c r="P16" i="6"/>
  <c r="Y88" i="6"/>
  <c r="H88" i="6"/>
  <c r="Y76" i="6"/>
  <c r="H76" i="6"/>
  <c r="I76" i="6" s="1"/>
  <c r="J76" i="6" s="1"/>
  <c r="K76" i="6" s="1"/>
  <c r="L76" i="6" s="1"/>
  <c r="M76" i="6" s="1"/>
  <c r="N76" i="6" s="1"/>
  <c r="O76" i="6" s="1"/>
  <c r="P76" i="6" s="1"/>
  <c r="I79" i="6"/>
  <c r="J79" i="6" s="1"/>
  <c r="K79" i="6" s="1"/>
  <c r="L79" i="6" s="1"/>
  <c r="M79" i="6" s="1"/>
  <c r="N79" i="6" s="1"/>
  <c r="O79" i="6" s="1"/>
  <c r="P79" i="6" s="1"/>
  <c r="I85" i="6"/>
  <c r="J85" i="6" s="1"/>
  <c r="K85" i="6" s="1"/>
  <c r="L85" i="6" s="1"/>
  <c r="M85" i="6" s="1"/>
  <c r="N85" i="6" s="1"/>
  <c r="O85" i="6" s="1"/>
  <c r="P85" i="6"/>
  <c r="I14" i="6"/>
  <c r="J14" i="6" s="1"/>
  <c r="K14" i="6" s="1"/>
  <c r="L14" i="6" s="1"/>
  <c r="M14" i="6" s="1"/>
  <c r="N14" i="6" s="1"/>
  <c r="O14" i="6" s="1"/>
  <c r="W94" i="6"/>
  <c r="B33" i="2" s="1"/>
  <c r="Y70" i="6"/>
  <c r="J40" i="6"/>
  <c r="K40" i="6" s="1"/>
  <c r="L40" i="6" s="1"/>
  <c r="M40" i="6" s="1"/>
  <c r="N40" i="6" s="1"/>
  <c r="O40" i="6" s="1"/>
  <c r="P40" i="6"/>
  <c r="Y89" i="6"/>
  <c r="H89" i="6"/>
  <c r="P59" i="6"/>
  <c r="H83" i="6"/>
  <c r="Y83" i="6"/>
  <c r="Y84" i="6"/>
  <c r="H84" i="6"/>
  <c r="Y46" i="6"/>
  <c r="I60" i="6"/>
  <c r="J60" i="6" s="1"/>
  <c r="K60" i="6" s="1"/>
  <c r="L60" i="6" s="1"/>
  <c r="M60" i="6" s="1"/>
  <c r="N60" i="6" s="1"/>
  <c r="O60" i="6" s="1"/>
  <c r="P34" i="6"/>
  <c r="P35" i="6"/>
  <c r="I58" i="6"/>
  <c r="J58" i="6" s="1"/>
  <c r="K58" i="6" s="1"/>
  <c r="L58" i="6" s="1"/>
  <c r="M58" i="6" s="1"/>
  <c r="N58" i="6" s="1"/>
  <c r="O58" i="6" s="1"/>
  <c r="P58" i="6"/>
  <c r="P108" i="6"/>
  <c r="Z7" i="4"/>
  <c r="AA7" i="4" s="1"/>
  <c r="AB7" i="4" s="1"/>
  <c r="S76" i="6"/>
  <c r="S94" i="6" s="1"/>
  <c r="B13" i="2" s="1"/>
  <c r="R94" i="6"/>
  <c r="AA17" i="4"/>
  <c r="AB17" i="4" s="1"/>
  <c r="Z14" i="8"/>
  <c r="U28" i="8"/>
  <c r="K15" i="2"/>
  <c r="Z97" i="6" l="1"/>
  <c r="AF4" i="8"/>
  <c r="AG4" i="8" s="1"/>
  <c r="AL4" i="8" s="1"/>
  <c r="Z28" i="8"/>
  <c r="AE14" i="8"/>
  <c r="AE28" i="8" s="1"/>
  <c r="AI29" i="8" s="1"/>
  <c r="P14" i="6"/>
  <c r="D54" i="2"/>
  <c r="I54" i="2"/>
  <c r="BQ15" i="3"/>
  <c r="BW15" i="3" s="1"/>
  <c r="K53" i="2"/>
  <c r="D33" i="2"/>
  <c r="C38" i="2"/>
  <c r="BQ17" i="3"/>
  <c r="BW17" i="3" s="1"/>
  <c r="BV15" i="3"/>
  <c r="Y28" i="4"/>
  <c r="Y29" i="4" s="1"/>
  <c r="AH8" i="4"/>
  <c r="AG8" i="4"/>
  <c r="AN8" i="4" s="1"/>
  <c r="AP8" i="4" s="1"/>
  <c r="AQ8" i="4" s="1"/>
  <c r="AB18" i="4"/>
  <c r="AH18" i="4" s="1"/>
  <c r="AG18" i="4"/>
  <c r="AN18" i="4" s="1"/>
  <c r="AP18" i="4" s="1"/>
  <c r="AQ18" i="4" s="1"/>
  <c r="Z14" i="4"/>
  <c r="AA14" i="4" s="1"/>
  <c r="AF14" i="4"/>
  <c r="AF5" i="4"/>
  <c r="Z5" i="4"/>
  <c r="AA5" i="4" s="1"/>
  <c r="AG11" i="4"/>
  <c r="AN11" i="4" s="1"/>
  <c r="AP11" i="4" s="1"/>
  <c r="AQ11" i="4" s="1"/>
  <c r="AB20" i="4"/>
  <c r="AH20" i="4" s="1"/>
  <c r="AG20" i="4"/>
  <c r="AN20" i="4" s="1"/>
  <c r="AP20" i="4" s="1"/>
  <c r="AQ20" i="4" s="1"/>
  <c r="AB19" i="4"/>
  <c r="AH19" i="4" s="1"/>
  <c r="AG19" i="4"/>
  <c r="AN19" i="4" s="1"/>
  <c r="AP19" i="4" s="1"/>
  <c r="AQ19" i="4" s="1"/>
  <c r="AB10" i="4"/>
  <c r="AH10" i="4" s="1"/>
  <c r="AG10" i="4"/>
  <c r="AN10" i="4" s="1"/>
  <c r="AP10" i="4" s="1"/>
  <c r="AQ10" i="4" s="1"/>
  <c r="Y94" i="6"/>
  <c r="B43" i="2" s="1"/>
  <c r="D43" i="2" s="1"/>
  <c r="AG13" i="4"/>
  <c r="AN13" i="4" s="1"/>
  <c r="AP13" i="4" s="1"/>
  <c r="AQ13" i="4" s="1"/>
  <c r="AB13" i="4"/>
  <c r="AH13" i="4" s="1"/>
  <c r="AG12" i="4"/>
  <c r="AN12" i="4" s="1"/>
  <c r="AP12" i="4" s="1"/>
  <c r="AQ12" i="4" s="1"/>
  <c r="AG23" i="4"/>
  <c r="AB23" i="4"/>
  <c r="AH23" i="4" s="1"/>
  <c r="AH4" i="4"/>
  <c r="AG4" i="4"/>
  <c r="AN4" i="4" s="1"/>
  <c r="AP4" i="4" s="1"/>
  <c r="AQ4" i="4" s="1"/>
  <c r="Y97" i="6"/>
  <c r="Y112" i="6" s="1"/>
  <c r="B46" i="2" s="1"/>
  <c r="X112" i="6"/>
  <c r="C46" i="2" s="1"/>
  <c r="B38" i="2"/>
  <c r="D35" i="2"/>
  <c r="AM8" i="8"/>
  <c r="AL8" i="8"/>
  <c r="AL6" i="8"/>
  <c r="AM6" i="8"/>
  <c r="AM10" i="8"/>
  <c r="AL10" i="8"/>
  <c r="I83" i="6"/>
  <c r="J83" i="6" s="1"/>
  <c r="K83" i="6" s="1"/>
  <c r="L83" i="6" s="1"/>
  <c r="M83" i="6" s="1"/>
  <c r="N83" i="6" s="1"/>
  <c r="O83" i="6" s="1"/>
  <c r="I88" i="6"/>
  <c r="J88" i="6" s="1"/>
  <c r="K88" i="6" s="1"/>
  <c r="L88" i="6" s="1"/>
  <c r="M88" i="6" s="1"/>
  <c r="N88" i="6" s="1"/>
  <c r="O88" i="6" s="1"/>
  <c r="P88" i="6"/>
  <c r="I89" i="6"/>
  <c r="J89" i="6" s="1"/>
  <c r="K89" i="6" s="1"/>
  <c r="L89" i="6" s="1"/>
  <c r="M89" i="6" s="1"/>
  <c r="N89" i="6" s="1"/>
  <c r="O89" i="6" s="1"/>
  <c r="P89" i="6"/>
  <c r="I82" i="6"/>
  <c r="J82" i="6" s="1"/>
  <c r="K82" i="6" s="1"/>
  <c r="L82" i="6" s="1"/>
  <c r="M82" i="6" s="1"/>
  <c r="N82" i="6" s="1"/>
  <c r="O82" i="6" s="1"/>
  <c r="P82" i="6"/>
  <c r="I84" i="6"/>
  <c r="J84" i="6" s="1"/>
  <c r="K84" i="6" s="1"/>
  <c r="L84" i="6" s="1"/>
  <c r="M84" i="6" s="1"/>
  <c r="N84" i="6" s="1"/>
  <c r="O84" i="6" s="1"/>
  <c r="P84" i="6"/>
  <c r="P60" i="6"/>
  <c r="AG7" i="4"/>
  <c r="AN7" i="4" s="1"/>
  <c r="AP7" i="4" s="1"/>
  <c r="AQ7" i="4" s="1"/>
  <c r="AH7" i="4"/>
  <c r="AG17" i="4"/>
  <c r="AN17" i="4" s="1"/>
  <c r="AP17" i="4" s="1"/>
  <c r="AQ17" i="4" s="1"/>
  <c r="AH17" i="4"/>
  <c r="I13" i="2"/>
  <c r="J13" i="2" s="1"/>
  <c r="C18" i="2"/>
  <c r="D13" i="2"/>
  <c r="D18" i="2" s="1"/>
  <c r="B18" i="2"/>
  <c r="AA97" i="6" l="1"/>
  <c r="AA112" i="6" s="1"/>
  <c r="B57" i="2" s="1"/>
  <c r="Z112" i="6"/>
  <c r="C57" i="2" s="1"/>
  <c r="J54" i="2"/>
  <c r="AF26" i="4"/>
  <c r="AB5" i="4"/>
  <c r="AH5" i="4" s="1"/>
  <c r="AG5" i="4"/>
  <c r="AN5" i="4" s="1"/>
  <c r="AP5" i="4" s="1"/>
  <c r="AQ5" i="4" s="1"/>
  <c r="AG14" i="4"/>
  <c r="AN14" i="4" s="1"/>
  <c r="AP14" i="4" s="1"/>
  <c r="AQ14" i="4" s="1"/>
  <c r="AB14" i="4"/>
  <c r="AH14" i="4" s="1"/>
  <c r="Z26" i="4"/>
  <c r="I46" i="2"/>
  <c r="C48" i="2"/>
  <c r="E49" i="2" s="1"/>
  <c r="B48" i="2"/>
  <c r="D46" i="2"/>
  <c r="P83" i="6"/>
  <c r="K13" i="2"/>
  <c r="J18" i="2"/>
  <c r="K18" i="2" s="1"/>
  <c r="I57" i="2" l="1"/>
  <c r="C59" i="2"/>
  <c r="E60" i="2" s="1"/>
  <c r="D57" i="2"/>
  <c r="B59" i="2"/>
  <c r="K54" i="2"/>
  <c r="J46" i="2"/>
  <c r="I48" i="2"/>
  <c r="J57" i="2" l="1"/>
  <c r="I59" i="2"/>
  <c r="K46" i="2"/>
  <c r="J48" i="2"/>
  <c r="K57" i="2" l="1"/>
  <c r="J5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tc={A9CD8B5B-D656-4114-A3BD-79779EFB7EE8}</author>
    <author>tc={D9A349B8-1871-41B1-95B0-8C3F7E40B972}</author>
    <author>tc={22E85299-1677-4007-8141-7E85EA9781AD}</author>
    <author>tc={97B8CBD1-B956-42FC-9B44-DDFDCA315C95}</author>
    <author>tc={7B4B691E-31AC-4BE3-B650-A41D919FF731}</author>
    <author>tc={7C9A9B4F-4C07-4936-BA23-0B12346EF735}</author>
    <author>tc={3D6276A5-B379-4620-ACA6-A98C3468406C}</author>
    <author>tc={FCA31272-FBF3-4E38-9CF3-56CEAB8E7B5F}</author>
    <author>tc={DC55C0E9-51DD-406B-A9CC-8A57AC287F65}</author>
    <author>tc={51AFDA73-C5B0-44BF-8FD0-A6D9EBFDC514}</author>
    <author>tc={E8A50D71-AAEF-4C51-8B2F-FE810F4FF833}</author>
  </authors>
  <commentList>
    <comment ref="D12" authorId="0" shapeId="0" xr:uid="{A9CD8B5B-D656-4114-A3BD-79779EFB7EE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C-102 Y C-107
</t>
      </text>
    </comment>
    <comment ref="D13" authorId="1" shapeId="0" xr:uid="{D9A349B8-1871-41B1-95B0-8C3F7E40B9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C-102 Y C-104</t>
      </text>
    </comment>
    <comment ref="D18" authorId="2" shapeId="0" xr:uid="{22E85299-1677-4007-8141-7E85EA9781A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C-102
</t>
      </text>
    </comment>
    <comment ref="D25" authorId="3" shapeId="0" xr:uid="{97B8CBD1-B956-42FC-9B44-DDFDCA315C9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C-418
</t>
      </text>
    </comment>
    <comment ref="F25" authorId="4" shapeId="0" xr:uid="{7B4B691E-31AC-4BE3-B650-A41D919FF7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C-424</t>
      </text>
    </comment>
    <comment ref="D35" authorId="5" shapeId="0" xr:uid="{7C9A9B4F-4C07-4936-BA23-0B12346EF73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C-418
</t>
      </text>
    </comment>
    <comment ref="D128" authorId="6" shapeId="0" xr:uid="{3D6276A5-B379-4620-ACA6-A98C3468406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C-106
</t>
      </text>
    </comment>
    <comment ref="F130" authorId="7" shapeId="0" xr:uid="{FCA31272-FBF3-4E38-9CF3-56CEAB8E7B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C-108</t>
      </text>
    </comment>
    <comment ref="D177" authorId="8" shapeId="0" xr:uid="{DC55C0E9-51DD-406B-A9CC-8A57AC287F6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C-418
</t>
      </text>
    </comment>
    <comment ref="F177" authorId="9" shapeId="0" xr:uid="{51AFDA73-C5B0-44BF-8FD0-A6D9EBFDC5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C-424</t>
      </text>
    </comment>
    <comment ref="D187" authorId="10" shapeId="0" xr:uid="{E8A50D71-AAEF-4C51-8B2F-FE810F4FF83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C-418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trafico</author>
    <author>tc={92AA9659-F3AF-4F64-8A9A-70C92EDA2001}</author>
    <author>asesoria</author>
    <author>tc={C9D84825-E12F-440B-8E28-8C6DC1C945F3}</author>
  </authors>
  <commentList>
    <comment ref="B4" authorId="0" shapeId="0" xr:uid="{851B622E-6725-44CE-B460-066F671B2405}">
      <text>
        <r>
          <rPr>
            <b/>
            <sz val="9"/>
            <color indexed="81"/>
            <rFont val="Tahoma"/>
            <family val="2"/>
          </rPr>
          <t>trafico: SUSTITUYÓ AL CÓDIGO 804106</t>
        </r>
      </text>
    </comment>
    <comment ref="B5" authorId="0" shapeId="0" xr:uid="{73F22F05-E1AD-4D4C-886D-E3565447F221}">
      <text>
        <r>
          <rPr>
            <b/>
            <sz val="9"/>
            <color indexed="81"/>
            <rFont val="Tahoma"/>
            <family val="2"/>
          </rPr>
          <t>TRAFICO
VA SER SUSTITUIDO POR EL CÓDIGO 806980.</t>
        </r>
      </text>
    </comment>
    <comment ref="B52" authorId="1" shapeId="0" xr:uid="{92AA9659-F3AF-4F64-8A9A-70C92EDA20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NUEVA SUPER CRUNCH</t>
      </text>
    </comment>
    <comment ref="M103" authorId="2" shapeId="0" xr:uid="{91815B90-4AAA-4D6B-83F6-52DE3B5CE426}">
      <text>
        <r>
          <rPr>
            <b/>
            <sz val="9"/>
            <color indexed="81"/>
            <rFont val="Tahoma"/>
            <family val="2"/>
          </rPr>
          <t>SE ESTÁ FACTURANDO COMO 102013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2" authorId="3" shapeId="0" xr:uid="{C9D84825-E12F-440B-8E28-8C6DC1C945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NUEVA SUPER CRUNCH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asesoria</author>
  </authors>
  <commentList>
    <comment ref="H13" authorId="0" shapeId="0" xr:uid="{3E0C1F5C-BF11-46E6-85F9-7903FFCE0EB6}">
      <text>
        <r>
          <rPr>
            <b/>
            <sz val="9"/>
            <color indexed="81"/>
            <rFont val="Tahoma"/>
            <family val="2"/>
          </rPr>
          <t>C-104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5" authorId="0" shapeId="0" xr:uid="{D773AB11-FD83-4051-8255-53F7E5CF958B}">
      <text>
        <r>
          <rPr>
            <b/>
            <sz val="9"/>
            <color indexed="81"/>
            <rFont val="Tahoma"/>
            <family val="2"/>
          </rPr>
          <t>C-104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0" authorId="0" shapeId="0" xr:uid="{E2A509FA-8429-490E-8228-F4627AF50EFC}">
      <text>
        <r>
          <rPr>
            <b/>
            <sz val="9"/>
            <color indexed="81"/>
            <rFont val="Tahoma"/>
            <family val="2"/>
          </rPr>
          <t>C-104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tc={F42B04FE-D7A0-4C11-B0D3-ABB3CE6EB0B6}</author>
  </authors>
  <commentList>
    <comment ref="E3" authorId="0" shapeId="0" xr:uid="{F42B04FE-D7A0-4C11-B0D3-ABB3CE6EB0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C-418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asesoria</author>
    <author>tc={9D5FB391-CC2A-4B88-BCF9-0EB4C5E56BDF}</author>
  </authors>
  <commentList>
    <comment ref="D20" authorId="0" shapeId="0" xr:uid="{B469D834-5258-42DB-9302-D13431339E63}">
      <text>
        <r>
          <rPr>
            <b/>
            <sz val="9"/>
            <color indexed="81"/>
            <rFont val="Tahoma"/>
            <family val="2"/>
          </rPr>
          <t>C-106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3" authorId="1" shapeId="0" xr:uid="{9D5FB391-CC2A-4B88-BCF9-0EB4C5E56B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KAIDA 11</t>
      </text>
    </comment>
  </commentList>
</comments>
</file>

<file path=xl/sharedStrings.xml><?xml version="1.0" encoding="utf-8"?>
<sst xmlns="http://schemas.openxmlformats.org/spreadsheetml/2006/main" count="1562" uniqueCount="300">
  <si>
    <t>DICIEMBRE  . 2025</t>
  </si>
  <si>
    <t>Cliente / Bodega</t>
  </si>
  <si>
    <t>Valo inventario</t>
  </si>
  <si>
    <t>Cajas en inventario</t>
  </si>
  <si>
    <t>Costo promedio</t>
  </si>
  <si>
    <t>Venta de cajas del mes</t>
  </si>
  <si>
    <t>Llegadas</t>
  </si>
  <si>
    <t>Ventas estimadas</t>
  </si>
  <si>
    <t>Inv actual + llegadas</t>
  </si>
  <si>
    <t>Inv - ventas estimadas</t>
  </si>
  <si>
    <t>Abastos logicos</t>
  </si>
  <si>
    <t>CDMX: Arcosa | Fresco | Frigarsa | Canbelt</t>
  </si>
  <si>
    <t>Bajo Cero</t>
  </si>
  <si>
    <t>Frjalisco</t>
  </si>
  <si>
    <t>Alfrimex</t>
  </si>
  <si>
    <t>Vulpes</t>
  </si>
  <si>
    <t>Importe Total</t>
  </si>
  <si>
    <t>ENERO  . 2026</t>
  </si>
  <si>
    <t>Valo invent</t>
  </si>
  <si>
    <t>Cajas invent</t>
  </si>
  <si>
    <t>costo prom</t>
  </si>
  <si>
    <t>vta cajas mes</t>
  </si>
  <si>
    <t>FEBRERO  . 2026</t>
  </si>
  <si>
    <t>MARZO  . 2026</t>
  </si>
  <si>
    <t>ULTIMO COSTO 2025</t>
  </si>
  <si>
    <t>COSTO ENE</t>
  </si>
  <si>
    <t>COSTO FEB.</t>
  </si>
  <si>
    <t>COSTO MAR</t>
  </si>
  <si>
    <t>COSTO ABR</t>
  </si>
  <si>
    <t>COSTO MAY</t>
  </si>
  <si>
    <t>COSTO JUN</t>
  </si>
  <si>
    <t>COSTO JUL</t>
  </si>
  <si>
    <t>COSTO AGO</t>
  </si>
  <si>
    <t>COSTO SEP</t>
  </si>
  <si>
    <t>COSTO OCT</t>
  </si>
  <si>
    <t>COSTO NOV</t>
  </si>
  <si>
    <t>COSTO DIC</t>
  </si>
  <si>
    <t>COSTO PROMEDIO</t>
  </si>
  <si>
    <t>INV ENERO</t>
  </si>
  <si>
    <t xml:space="preserve">COSTO TOTAL </t>
  </si>
  <si>
    <t>INV FEBRERO</t>
  </si>
  <si>
    <t>INV MARZO</t>
  </si>
  <si>
    <t>INV ABRIL</t>
  </si>
  <si>
    <t>INV MAYO</t>
  </si>
  <si>
    <t>INV JUNIO</t>
  </si>
  <si>
    <t>INV JULIO</t>
  </si>
  <si>
    <t>INV AGOSTO</t>
  </si>
  <si>
    <t>INV SEPTIEMBRE</t>
  </si>
  <si>
    <t>INV OCTUBRE</t>
  </si>
  <si>
    <t>INV NOVIEMBRE</t>
  </si>
  <si>
    <t>INV DICIEMBRE</t>
  </si>
  <si>
    <t>ALMACEN ABASTOS LOGICOS (CANCÚN)</t>
  </si>
  <si>
    <t>CÓDIGO</t>
  </si>
  <si>
    <t>DESCRIPCIÓN</t>
  </si>
  <si>
    <t>TRIANGLE HASHBROW  63G/40PZ BAG APPROX) 4 X 2.5KG</t>
  </si>
  <si>
    <t>HASBROWNS ROUNDS - FRYER 4X2500G</t>
  </si>
  <si>
    <t>Aviko H Pommes Frites 11mm 7/16 4x2500g</t>
  </si>
  <si>
    <t>AVIKO H PREM.CRUNCH SHOESTRING 7MM 4X2270G</t>
  </si>
  <si>
    <t>10 MM NATURAL</t>
  </si>
  <si>
    <t>10 MM CON COBERTURA</t>
  </si>
  <si>
    <t>7 MM CON COBERTURA</t>
  </si>
  <si>
    <t>7 MM NATURAL</t>
  </si>
  <si>
    <t>10 MM CON COBERTURA Y CASCARA</t>
  </si>
  <si>
    <t>GAJOS SAZONADOS</t>
  </si>
  <si>
    <t>ONDULADA</t>
  </si>
  <si>
    <t>3/8 VIMA FOODS</t>
  </si>
  <si>
    <t>TOTAL CANCUN</t>
  </si>
  <si>
    <t>AVIKO CRINKLE CUT 12MM 4 X 2.5 KG</t>
  </si>
  <si>
    <t>AVIKO SUPER CRUNCH 9.5mm 3/8 4x2500g</t>
  </si>
  <si>
    <t>HASHBROWN TRIANG</t>
  </si>
  <si>
    <t>AVIKO H PREM CRUNCH 9.5 mm 3/8 4x2270g</t>
  </si>
  <si>
    <t>AVIKO SHOESTRING 5x2500g</t>
  </si>
  <si>
    <t>AVIKO SPICY JACKET WEDGES 4x2500g</t>
  </si>
  <si>
    <t>AROS DE CEBOLLA 1X1000g</t>
  </si>
  <si>
    <t>CASTEL STRAIGHT CUT FRIES 4X2500g</t>
  </si>
  <si>
    <t>AVIKO STEAK FRIES  4X2500G 4X5.5 LBS</t>
  </si>
  <si>
    <t>AVIKO H SUPER CRUNCH 15mm 6x2500g</t>
  </si>
  <si>
    <t>PAPAS FRITAS CORTE REG 10 X 1000G</t>
  </si>
  <si>
    <t>AVIKO ORIGINAL 20X450G</t>
  </si>
  <si>
    <t>PAPAS FRITAS ZIGZAG 12/750GRS</t>
  </si>
  <si>
    <t>AVIKO SPICY WEDGES 20X500G</t>
  </si>
  <si>
    <t>AVIKO AROS DE CEBOLLA PREFRITOS 25/400g</t>
  </si>
  <si>
    <t>Aviko H Super Crunch 14x600g</t>
  </si>
  <si>
    <t>Aviko SC Airfr. PommesFrites 10x750</t>
  </si>
  <si>
    <t>TOTAL ARCOSA</t>
  </si>
  <si>
    <t>ALMACEN FRESCO</t>
  </si>
  <si>
    <t>TOTAL FRESCO</t>
  </si>
  <si>
    <t>ALMACEN FRIGARSA</t>
  </si>
  <si>
    <t>TOTAL FRIGARSA</t>
  </si>
  <si>
    <t>ALMACEN FRIJALISCO</t>
  </si>
  <si>
    <t>TOTAL FRIJALISCO</t>
  </si>
  <si>
    <t>ALMACEN BAJO CERO</t>
  </si>
  <si>
    <t>AVIKO STRAIGHT CUT 3/8 4x2500g</t>
  </si>
  <si>
    <t>806982/809943</t>
  </si>
  <si>
    <t>AVIKO BREADED ONION RINGS 6x1000g</t>
  </si>
  <si>
    <t>10 MM NATURAL-KAIDA</t>
  </si>
  <si>
    <t>TOTAL BAJO CERO</t>
  </si>
  <si>
    <t>ALMACEN VULPES</t>
  </si>
  <si>
    <t>TOTAL VULPES</t>
  </si>
  <si>
    <t>ALMACEN CANBELT</t>
  </si>
  <si>
    <t>ALMACEN ALFRIMEX</t>
  </si>
  <si>
    <t>CASTEL STRAIGTH CUT FRIES 4x2500g</t>
  </si>
  <si>
    <t>VENTAS x ALMACÉN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</si>
  <si>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</si>
  <si>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</si>
  <si>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</si>
  <si>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</si>
  <si>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</si>
  <si>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</si>
  <si>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</si>
  <si>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</si>
  <si>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PROMEDIO</t>
  </si>
  <si>
    <t>%</t>
  </si>
  <si>
    <t>ABASTOS LOGICOS</t>
  </si>
  <si>
    <t xml:space="preserve">STRAIGHT CUT 3/8 4X2500 </t>
  </si>
  <si>
    <t>H PREMIUM CRUNCH 9.5MM 3/8 4X2500G</t>
  </si>
  <si>
    <t>SPICY JACKET WEDGES 4X2500G</t>
  </si>
  <si>
    <t xml:space="preserve"> ONION RINGS BREADED EXTRUDED (60 PZ BAG APROXX)  6X1KG</t>
  </si>
  <si>
    <t>MEGA WEDGES  (8CUT) SKIN ON 4X2.5 KG</t>
  </si>
  <si>
    <t>CASTEL STRAIGHT CUT FRIES 4X2500G 9.5MM</t>
  </si>
  <si>
    <t>TOTAL AVIKO</t>
  </si>
  <si>
    <t>straight cut 10 mm 4/2500</t>
  </si>
  <si>
    <t>straight cut 7 mm 4/2500</t>
  </si>
  <si>
    <t>Coated 10mm 4/2500</t>
  </si>
  <si>
    <t>Coated Julienne 7 mm 4/2500</t>
  </si>
  <si>
    <t>Seasonned (spicy) wedges</t>
  </si>
  <si>
    <t>Hashbrown triangles 14x600</t>
  </si>
  <si>
    <t>Potato with cream cheese &amp; herbs</t>
  </si>
  <si>
    <t xml:space="preserve">CRINKLE CUT PREMIER GOLD 12MM 4X2.5KG </t>
  </si>
  <si>
    <t>straight cut 10 mm 4/2500 PRMOCIÓN</t>
  </si>
  <si>
    <t>TOTAL WERNSING</t>
  </si>
  <si>
    <t>TOTAL ABASTOS LOGICOS</t>
  </si>
  <si>
    <t>MEXIDELI | FRIGARSA | CANBELT</t>
  </si>
  <si>
    <t>AVIKO STRAIGHT CUT 3/8</t>
  </si>
  <si>
    <t>HASHBROWN TRIANGULOS</t>
  </si>
  <si>
    <t>AVIKO GRATINS MUSHROONS</t>
  </si>
  <si>
    <t>AVIKO MINI GRATINS</t>
  </si>
  <si>
    <t>AVIKO WAFFLE CUT 5X1500G</t>
  </si>
  <si>
    <t>AVIKO STRAIGHT CHURROS 6x1000g</t>
  </si>
  <si>
    <t>AVIKO ROSTIKO ROUNDS 4X2500</t>
  </si>
  <si>
    <t>TOTAL  CDMX</t>
  </si>
  <si>
    <t>FRESCO</t>
  </si>
  <si>
    <t>AVIKO H SUPER CRUNCH 9-5 mmdkin on 4x2 boog</t>
  </si>
  <si>
    <t>AROS EMPANADOS DE CEBOLLA CON CERVEZA</t>
  </si>
  <si>
    <t xml:space="preserve">TOTAL FRESCO </t>
  </si>
  <si>
    <t>FRIJALISCO</t>
  </si>
  <si>
    <t>10 MM STRAIGHT CUT  4x2.5kg</t>
  </si>
  <si>
    <t>10 MM STRAIGHT CUT COATED 4x2.5kg</t>
  </si>
  <si>
    <t>FROZEN FRENCH FRIES 4X2.5KG 8X8MM COATED JULIENNE PREMIER GOLD</t>
  </si>
  <si>
    <t>FROZEN FRENCH FRIES 4X2.5KG 7.5X7.5MM JULIENNE PREMIER GOLD</t>
  </si>
  <si>
    <t>FROZEN FRENCH FRIES 4X2.5KG COATED 10MM SKIN-ON PREMIER GOLD</t>
  </si>
  <si>
    <t>Spicy wedges</t>
  </si>
  <si>
    <t>PREMIER GOLD CRINKLE 12MM 4X2.5KG</t>
  </si>
  <si>
    <r>
      <t xml:space="preserve">10 MM STRAIGHT CUT  4x2.5kg </t>
    </r>
    <r>
      <rPr>
        <b/>
        <sz val="10"/>
        <color theme="1"/>
        <rFont val="Aptos Narrow"/>
        <family val="2"/>
        <scheme val="minor"/>
      </rPr>
      <t>PROMOCIÓN</t>
    </r>
  </si>
  <si>
    <t>AVIKO H POMMES FRITES 11mm 7/16 4x2500g</t>
  </si>
  <si>
    <t>AVIKO H SUPER LONG 9.5 MM SKIN ON 4x2500g</t>
  </si>
  <si>
    <t>TOTAL  FRIJALISCO</t>
  </si>
  <si>
    <t>LEÓN</t>
  </si>
  <si>
    <t>AVIKO ORIGINAL 20x450g</t>
  </si>
  <si>
    <t>AVIKO SPICY JACKET WEDGES 20X500G</t>
  </si>
  <si>
    <t>AVIKO PAPAS FRITAS CORTE RECTO 10x1000g</t>
  </si>
  <si>
    <t>AVIKO ROSTI BITES</t>
  </si>
  <si>
    <t>AVIKO HASHBROWNS TRIANGLES 4x2500g</t>
  </si>
  <si>
    <t>AVIKO CRISPY CHURROS 4x1000g</t>
  </si>
  <si>
    <t>AVIKO GRATINS CREAM&amp;CHEESE 6x3.3lbs</t>
  </si>
  <si>
    <t>01AGL01</t>
  </si>
  <si>
    <t>PAPA ONDULADA 1/2 LUTOSA</t>
  </si>
  <si>
    <t>10 MM STRAIGHT CUT 4x2.5kg</t>
  </si>
  <si>
    <t>FROZEN SPICY COATED WEDGES 4X2.5KG PREMIER GOLD</t>
  </si>
  <si>
    <t>TRIANGLE HASH BROWNS</t>
  </si>
  <si>
    <t>PEPPER WAVES // REJILLA</t>
  </si>
  <si>
    <t>PATATE A FETTE 4x2.5 kg</t>
  </si>
  <si>
    <t>10 MM STRAIGHT CUT 4x2.5kg PROMOCIÓN</t>
  </si>
  <si>
    <t>TOTAL  LEÓN</t>
  </si>
  <si>
    <t>GRAN TOTAL AVIKO</t>
  </si>
  <si>
    <t>GRAN TOTAL WERNSING</t>
  </si>
  <si>
    <t>GRAN TOTAL  VENTAS</t>
  </si>
  <si>
    <t>Porcentaje de venta por producto</t>
  </si>
  <si>
    <t>Fecha</t>
  </si>
  <si>
    <t>Valor USD DOF</t>
  </si>
  <si>
    <t>Valor EUR Banco de México</t>
  </si>
  <si>
    <t>Valor EUR Investing</t>
  </si>
  <si>
    <t>Hora</t>
  </si>
  <si>
    <t>prom m¿del mes</t>
  </si>
  <si>
    <t>prom 10 dias</t>
  </si>
  <si>
    <t>prom5dias</t>
  </si>
  <si>
    <t>12.52 pm</t>
  </si>
  <si>
    <t>11.45 am</t>
  </si>
  <si>
    <t>1.40 pm</t>
  </si>
  <si>
    <t>PROMEDIOS</t>
  </si>
  <si>
    <t>CONTENEDORES EN TRANSITO</t>
  </si>
  <si>
    <t>Cjas x Tarima</t>
  </si>
  <si>
    <t>INV DICIEMBRE 2025</t>
  </si>
  <si>
    <t>COMPRAS</t>
  </si>
  <si>
    <t>Entradas</t>
  </si>
  <si>
    <t>Salidas</t>
  </si>
  <si>
    <t>VENTAS</t>
  </si>
  <si>
    <t>INV ENERO 2026</t>
  </si>
  <si>
    <t>INV FEBRERO 2026</t>
  </si>
  <si>
    <t>INV MARZO 2026</t>
  </si>
  <si>
    <t>INV ABRIL 2026</t>
  </si>
  <si>
    <t>INV MAYO 2026</t>
  </si>
  <si>
    <t>INV JUNIO 2026</t>
  </si>
  <si>
    <t>INV JULIO 2026</t>
  </si>
  <si>
    <t>INV AGOSTO 2026</t>
  </si>
  <si>
    <t>INV SEPTIEMBRE 2026</t>
  </si>
  <si>
    <t>INV OCTUBRE 2026</t>
  </si>
  <si>
    <t>INV NOVIEMBRE 2026</t>
  </si>
  <si>
    <t>INV DICIEMBRE 2026</t>
  </si>
  <si>
    <t>ACTUAL</t>
  </si>
  <si>
    <t>PALLET</t>
  </si>
  <si>
    <t>CAJAS</t>
  </si>
  <si>
    <t>C-112 PTO 13-05</t>
  </si>
  <si>
    <t>C-114 PTO 13-05</t>
  </si>
  <si>
    <t>C-112</t>
  </si>
  <si>
    <t>C-114</t>
  </si>
  <si>
    <t>112</t>
  </si>
  <si>
    <t>114</t>
  </si>
  <si>
    <t>RESUMEN DEL TOTAL DE PAPAS</t>
  </si>
  <si>
    <t>ESPACIOS</t>
  </si>
  <si>
    <t>INV FEB 2026</t>
  </si>
  <si>
    <t>FRIGARSA</t>
  </si>
  <si>
    <t>MEXIDELI</t>
  </si>
  <si>
    <t>TOTAL CDMX</t>
  </si>
  <si>
    <t xml:space="preserve">TOTAL AVIKO </t>
  </si>
  <si>
    <t>INV JUNIO  2026</t>
  </si>
  <si>
    <t>Cajas x pallet</t>
  </si>
  <si>
    <t>R00640</t>
  </si>
  <si>
    <t>AROS DE CEBOLLA SUSTITUTO</t>
  </si>
  <si>
    <t>R00641</t>
  </si>
  <si>
    <t xml:space="preserve"> </t>
  </si>
  <si>
    <t>SUSTITUTO</t>
  </si>
  <si>
    <t>ROT</t>
  </si>
  <si>
    <t>PROV</t>
  </si>
  <si>
    <t>INV FEB  2026</t>
  </si>
  <si>
    <t>AVIKO</t>
  </si>
  <si>
    <t>VULPES</t>
  </si>
  <si>
    <t>BAJO CERO</t>
  </si>
  <si>
    <t>TOTAL INVENTARIO</t>
  </si>
  <si>
    <t>MENUDEO</t>
  </si>
  <si>
    <t>MAYOREO</t>
  </si>
  <si>
    <t>R - PAPAS FRITAS CORTE REG 10 X 1000G</t>
  </si>
  <si>
    <t>R - AVIKO ORIGINAL 20X450G</t>
  </si>
  <si>
    <t>R - PAPAS FRITAS ZIGZAG 12/750GRS</t>
  </si>
  <si>
    <t>R - AVIKO SPICY WEDGES 20X500G</t>
  </si>
  <si>
    <t>01KFS02</t>
  </si>
  <si>
    <t>PAPA ON DULADA SUSTITUTO</t>
  </si>
  <si>
    <t>01KFS03</t>
  </si>
  <si>
    <t>PAPA 1/4 NATURAL SUSTITUTO</t>
  </si>
  <si>
    <t>01RCA01</t>
  </si>
  <si>
    <t>PAPA CHIPPERBEC</t>
  </si>
  <si>
    <t>01RCA02</t>
  </si>
  <si>
    <t>PAPA RECTA 3/8 SUSTITUTO</t>
  </si>
  <si>
    <t>AROS SUSTITUTO</t>
  </si>
  <si>
    <t>C-426</t>
  </si>
  <si>
    <t>RETAIL</t>
  </si>
  <si>
    <t>ABRIL  . 2026</t>
  </si>
  <si>
    <t>C-426 PTO 31/05</t>
  </si>
  <si>
    <t>TOTAL CANBELT</t>
  </si>
  <si>
    <t xml:space="preserve">ALMACEN ARCOSA </t>
  </si>
  <si>
    <t>ALMACEN MEXIDELI</t>
  </si>
  <si>
    <t>PAPA ONDULADA SUSTITUTO DE 102419</t>
  </si>
  <si>
    <t>10 MM NATURAL, MISMO PRODUCTO 102013</t>
  </si>
  <si>
    <t>10 MM NATURAL, MISMO PRODUCTO 105632</t>
  </si>
  <si>
    <t>7 MM NATURAL SUA SUSTITUTO DE 102211</t>
  </si>
  <si>
    <t>PAPA RECTA 3/8 SUSTITUTO 102013</t>
  </si>
  <si>
    <t>PAPA CHIPPERBEC SUSTITUTO 102211</t>
  </si>
  <si>
    <t>Consumo mensual, Promedio año en curso</t>
  </si>
  <si>
    <t>ACTIVO</t>
  </si>
  <si>
    <t>SUSTITUTO - 102419</t>
  </si>
  <si>
    <t>SUSTITUTO - 102211</t>
  </si>
  <si>
    <t>ESTATUS DE PRODUCTOS</t>
  </si>
  <si>
    <t>ESTATUS DEL PRODUCTO</t>
  </si>
  <si>
    <t>11 MM CON COBERTURA, SUSTITUTO 102341 PRODUCTO NUEVO</t>
  </si>
  <si>
    <t>INV ACTUAL + CONTENEDORES EN TRANSITO - VENTAS</t>
  </si>
  <si>
    <t>INV. ACTUAL</t>
  </si>
  <si>
    <t>Duracion de Inv. En Meses Considerando Inv Actual + Contenedores en Transito - Ventas</t>
  </si>
  <si>
    <t>OPORTUNIDAD</t>
  </si>
  <si>
    <t>Oportunidad</t>
  </si>
  <si>
    <t>C-116</t>
  </si>
  <si>
    <t>INACTIVO</t>
  </si>
  <si>
    <t>WERSING</t>
  </si>
  <si>
    <t>WERISNG</t>
  </si>
  <si>
    <t>KAIDA</t>
  </si>
  <si>
    <t>PROVEEDOR</t>
  </si>
  <si>
    <t>PRVEEDOR</t>
  </si>
  <si>
    <t xml:space="preserve"> C-116 PTO ASAP</t>
  </si>
  <si>
    <t>C-429</t>
  </si>
  <si>
    <t>TRIANGLE HASHBROW  63G/40PZ BAG APPROX) 4 X 2.5KG, SUSTITUTO 804104</t>
  </si>
  <si>
    <t>PROMEDIO DÍAS DE TRANSITO</t>
  </si>
  <si>
    <t>SUGERENCIA DE PEDIDOS, DE CONTENEDOR A 21 PALLET</t>
  </si>
  <si>
    <t>Proyeccion de Ventas, con 10% al promedio del consumo mensual</t>
  </si>
  <si>
    <t>C-429 PTO 20/06</t>
  </si>
  <si>
    <t>INV MAYO ARCOSA 2026</t>
  </si>
  <si>
    <t>INV MAYO  2026</t>
  </si>
  <si>
    <t>TOTAL INVENTARIO MAYO</t>
  </si>
  <si>
    <t>VENTAS DEL MES DE MAYO</t>
  </si>
  <si>
    <t>SUGERIDO</t>
  </si>
  <si>
    <t>MAYO  . 2026</t>
  </si>
  <si>
    <t>Proyeccion de Ventas, con 20% al promedio del consumo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</si>
</sst>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0.0"/>
    <numFmt numFmtId="166" formatCode="_-* #,##0.0_-;\-* #,##0.0_-;_-* &quot;-&quot;??_-;_-@_-"/>
    <numFmt numFmtId="167" formatCode="dd/mmm/yyyy"/>
    <numFmt numFmtId="168" formatCode="_-* #,##0.0000_-;\-* #,##0.0000_-;_-* &quot;-&quot;??_-;_-@_-"/>
  </numFmts>
  <fonts count="6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i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indexed="81"/>
      <name val="Tahoma"/>
      <family val="2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Verdana"/>
      <family val="2"/>
    </font>
    <font>
      <sz val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Verdana"/>
      <family val="2"/>
    </font>
    <font>
      <b/>
      <sz val="14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1"/>
      <name val="Aptos Narrow"/>
      <family val="2"/>
      <scheme val="minor"/>
    </font>
    <font>
      <b/>
      <sz val="14"/>
      <name val="Aptos Narrow"/>
      <family val="2"/>
      <scheme val="minor"/>
    </font>
    <font>
      <b/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i/>
      <sz val="11"/>
      <color rgb="FF99000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i/>
      <sz val="10"/>
      <color theme="1"/>
      <name val="Verdana"/>
      <family val="2"/>
    </font>
    <font>
      <i/>
      <sz val="10"/>
      <color theme="1"/>
      <name val="Verdana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Verdana"/>
      <family val="2"/>
    </font>
    <font>
      <sz val="11"/>
      <color rgb="FFFF0000"/>
      <name val="Aptos Narrow"/>
      <family val="2"/>
      <scheme val="minor"/>
    </font>
    <font>
      <b/>
      <sz val="11"/>
      <color theme="3" tint="9.9978637043366805E-2"/>
      <name val="Aptos Narrow"/>
      <family val="2"/>
      <scheme val="minor"/>
    </font>
    <font>
      <b/>
      <i/>
      <sz val="12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9.9"/>
      <color rgb="FF2F2F2F"/>
      <name val="Arial"/>
      <family val="2"/>
    </font>
    <font>
      <b/>
      <sz val="10"/>
      <color rgb="FFFFFFFF"/>
      <name val="Arial"/>
      <family val="2"/>
    </font>
    <font>
      <b/>
      <sz val="9.9"/>
      <color rgb="FFFF0000"/>
      <name val="Arial"/>
      <family val="2"/>
    </font>
    <font>
      <b/>
      <i/>
      <sz val="11"/>
      <color rgb="FF00000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7" tint="-0.249977111117893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sz val="10"/>
      <color rgb="FFB9E4FF"/>
      <name val="Aptos Narrow"/>
      <family val="2"/>
      <scheme val="minor"/>
    </font>
    <font>
      <b/>
      <sz val="10"/>
      <color rgb="FFFBF743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7"/>
      <name val="Aptos Narrow"/>
      <family val="2"/>
      <scheme val="minor"/>
    </font>
    <font>
      <b/>
      <sz val="8"/>
      <color theme="1"/>
      <name val="Verdana"/>
      <family val="2"/>
    </font>
    <font>
      <b/>
      <i/>
      <sz val="10"/>
      <name val="Aptos Narrow"/>
      <family val="2"/>
      <scheme val="minor"/>
    </font>
    <font>
      <b/>
      <sz val="11"/>
      <color theme="1"/>
      <name val="Aptos"/>
      <family val="2"/>
    </font>
    <font>
      <b/>
      <sz val="10"/>
      <color theme="6" tint="0.39997558519241921"/>
      <name val="Aptos Narrow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rgb="FFE1FFF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EB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99FF6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4C80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6D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89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8F9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9E4FF"/>
        <bgColor indexed="64"/>
      </patternFill>
    </fill>
    <fill>
      <patternFill patternType="solid">
        <fgColor rgb="FFFEFECA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rgb="FFFBF743"/>
        <bgColor indexed="64"/>
      </patternFill>
    </fill>
    <fill>
      <patternFill patternType="solid">
        <fgColor rgb="FFFBF743"/>
        <bgColor rgb="FF000000"/>
      </patternFill>
    </fill>
    <fill>
      <patternFill patternType="solid">
        <fgColor rgb="FFB9E4FF"/>
        <bgColor rgb="FF000000"/>
      </patternFill>
    </fill>
    <fill>
      <patternFill patternType="solid">
        <fgColor rgb="FFE9F7FD"/>
        <bgColor indexed="64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BE905"/>
        <bgColor rgb="FF000000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3"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11" fillId="19" borderId="1" xfId="0" applyFont="1" applyFill="1" applyBorder="1" applyAlignment="1">
      <alignment horizontal="left" vertical="center"/>
    </xf>
    <xf numFmtId="0" fontId="5" fillId="19" borderId="1" xfId="1" applyNumberFormat="1" applyFont="1" applyFill="1" applyBorder="1" applyAlignment="1">
      <alignment horizontal="center" vertical="center"/>
    </xf>
    <xf numFmtId="164" fontId="11" fillId="5" borderId="1" xfId="1" applyNumberFormat="1" applyFont="1" applyFill="1" applyBorder="1" applyAlignment="1">
      <alignment horizontal="left" vertical="center"/>
    </xf>
    <xf numFmtId="164" fontId="11" fillId="5" borderId="5" xfId="1" applyNumberFormat="1" applyFont="1" applyFill="1" applyBorder="1" applyAlignment="1">
      <alignment horizontal="left" vertical="center"/>
    </xf>
    <xf numFmtId="164" fontId="11" fillId="8" borderId="1" xfId="1" applyNumberFormat="1" applyFont="1" applyFill="1" applyBorder="1" applyAlignment="1">
      <alignment horizontal="center" vertical="center" wrapText="1"/>
    </xf>
    <xf numFmtId="165" fontId="11" fillId="0" borderId="1" xfId="0" applyNumberFormat="1" applyFont="1" applyBorder="1"/>
    <xf numFmtId="0" fontId="11" fillId="0" borderId="0" xfId="0" applyFont="1"/>
    <xf numFmtId="164" fontId="11" fillId="4" borderId="1" xfId="1" applyNumberFormat="1" applyFont="1" applyFill="1" applyBorder="1" applyAlignment="1">
      <alignment horizontal="center" vertical="center"/>
    </xf>
    <xf numFmtId="0" fontId="11" fillId="4" borderId="1" xfId="1" applyNumberFormat="1" applyFont="1" applyFill="1" applyBorder="1" applyAlignment="1">
      <alignment horizontal="center" vertical="center"/>
    </xf>
    <xf numFmtId="164" fontId="11" fillId="4" borderId="1" xfId="1" applyNumberFormat="1" applyFont="1" applyFill="1" applyBorder="1" applyAlignment="1">
      <alignment horizontal="center" vertical="center" wrapText="1"/>
    </xf>
    <xf numFmtId="164" fontId="11" fillId="19" borderId="1" xfId="1" applyNumberFormat="1" applyFont="1" applyFill="1" applyBorder="1" applyAlignment="1">
      <alignment horizontal="left" vertical="center"/>
    </xf>
    <xf numFmtId="164" fontId="11" fillId="4" borderId="2" xfId="1" applyNumberFormat="1" applyFont="1" applyFill="1" applyBorder="1" applyAlignment="1">
      <alignment horizontal="center" vertical="center" wrapText="1"/>
    </xf>
    <xf numFmtId="0" fontId="5" fillId="19" borderId="5" xfId="1" applyNumberFormat="1" applyFont="1" applyFill="1" applyBorder="1" applyAlignment="1">
      <alignment horizontal="center" vertical="center"/>
    </xf>
    <xf numFmtId="15" fontId="11" fillId="10" borderId="1" xfId="1" applyNumberFormat="1" applyFont="1" applyFill="1" applyBorder="1" applyAlignment="1">
      <alignment horizontal="center" vertical="center" wrapText="1"/>
    </xf>
    <xf numFmtId="0" fontId="17" fillId="0" borderId="0" xfId="0" applyFont="1"/>
    <xf numFmtId="1" fontId="11" fillId="0" borderId="1" xfId="1" applyNumberFormat="1" applyFont="1" applyFill="1" applyBorder="1" applyAlignment="1">
      <alignment horizontal="center" vertical="center" wrapText="1"/>
    </xf>
    <xf numFmtId="1" fontId="11" fillId="0" borderId="1" xfId="1" applyNumberFormat="1" applyFont="1" applyFill="1" applyBorder="1" applyAlignment="1">
      <alignment horizontal="center" vertical="center"/>
    </xf>
    <xf numFmtId="1" fontId="11" fillId="25" borderId="2" xfId="1" applyNumberFormat="1" applyFont="1" applyFill="1" applyBorder="1" applyAlignment="1">
      <alignment horizontal="center" vertical="center"/>
    </xf>
    <xf numFmtId="1" fontId="12" fillId="9" borderId="1" xfId="1" applyNumberFormat="1" applyFont="1" applyFill="1" applyBorder="1"/>
    <xf numFmtId="1" fontId="12" fillId="9" borderId="5" xfId="1" applyNumberFormat="1" applyFont="1" applyFill="1" applyBorder="1"/>
    <xf numFmtId="1" fontId="11" fillId="0" borderId="1" xfId="1" applyNumberFormat="1" applyFont="1" applyBorder="1"/>
    <xf numFmtId="1" fontId="11" fillId="0" borderId="1" xfId="0" applyNumberFormat="1" applyFont="1" applyBorder="1"/>
    <xf numFmtId="164" fontId="13" fillId="0" borderId="1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right"/>
    </xf>
    <xf numFmtId="164" fontId="11" fillId="4" borderId="0" xfId="1" applyNumberFormat="1" applyFont="1" applyFill="1"/>
    <xf numFmtId="0" fontId="11" fillId="4" borderId="0" xfId="1" applyNumberFormat="1" applyFont="1" applyFill="1"/>
    <xf numFmtId="0" fontId="11" fillId="0" borderId="0" xfId="0" applyFont="1" applyAlignment="1">
      <alignment horizontal="center"/>
    </xf>
    <xf numFmtId="1" fontId="11" fillId="24" borderId="1" xfId="1" applyNumberFormat="1" applyFont="1" applyFill="1" applyBorder="1"/>
    <xf numFmtId="1" fontId="13" fillId="0" borderId="1" xfId="1" applyNumberFormat="1" applyFont="1" applyFill="1" applyBorder="1" applyAlignment="1">
      <alignment horizontal="center" vertical="center"/>
    </xf>
    <xf numFmtId="1" fontId="11" fillId="0" borderId="1" xfId="1" applyNumberFormat="1" applyFont="1" applyFill="1" applyBorder="1" applyAlignment="1">
      <alignment horizontal="center"/>
    </xf>
    <xf numFmtId="1" fontId="13" fillId="0" borderId="1" xfId="1" applyNumberFormat="1" applyFont="1" applyFill="1" applyBorder="1" applyAlignment="1">
      <alignment horizontal="center" wrapText="1"/>
    </xf>
    <xf numFmtId="1" fontId="13" fillId="0" borderId="1" xfId="1" applyNumberFormat="1" applyFont="1" applyFill="1" applyBorder="1" applyAlignment="1">
      <alignment horizontal="center"/>
    </xf>
    <xf numFmtId="1" fontId="11" fillId="23" borderId="1" xfId="1" applyNumberFormat="1" applyFont="1" applyFill="1" applyBorder="1" applyAlignment="1">
      <alignment horizontal="center" vertical="center"/>
    </xf>
    <xf numFmtId="1" fontId="11" fillId="0" borderId="4" xfId="1" applyNumberFormat="1" applyFont="1" applyFill="1" applyBorder="1" applyAlignment="1">
      <alignment horizontal="center" vertical="center"/>
    </xf>
    <xf numFmtId="1" fontId="5" fillId="0" borderId="11" xfId="1" applyNumberFormat="1" applyFont="1" applyFill="1" applyBorder="1" applyAlignment="1">
      <alignment horizontal="center" vertical="center"/>
    </xf>
    <xf numFmtId="164" fontId="13" fillId="0" borderId="1" xfId="1" applyNumberFormat="1" applyFont="1" applyFill="1" applyBorder="1" applyAlignment="1">
      <alignment horizontal="center" vertical="center" wrapText="1"/>
    </xf>
    <xf numFmtId="164" fontId="11" fillId="19" borderId="5" xfId="1" applyNumberFormat="1" applyFont="1" applyFill="1" applyBorder="1" applyAlignment="1">
      <alignment horizontal="left" vertical="center"/>
    </xf>
    <xf numFmtId="1" fontId="13" fillId="4" borderId="1" xfId="1" applyNumberFormat="1" applyFont="1" applyFill="1" applyBorder="1" applyAlignment="1">
      <alignment horizontal="center" wrapText="1"/>
    </xf>
    <xf numFmtId="1" fontId="13" fillId="4" borderId="2" xfId="1" applyNumberFormat="1" applyFont="1" applyFill="1" applyBorder="1" applyAlignment="1">
      <alignment horizontal="center" wrapText="1"/>
    </xf>
    <xf numFmtId="1" fontId="13" fillId="0" borderId="2" xfId="1" applyNumberFormat="1" applyFont="1" applyFill="1" applyBorder="1" applyAlignment="1">
      <alignment horizontal="center" wrapText="1"/>
    </xf>
    <xf numFmtId="1" fontId="13" fillId="0" borderId="5" xfId="1" applyNumberFormat="1" applyFont="1" applyFill="1" applyBorder="1" applyAlignment="1">
      <alignment horizontal="center" wrapText="1"/>
    </xf>
    <xf numFmtId="1" fontId="13" fillId="0" borderId="8" xfId="1" applyNumberFormat="1" applyFont="1" applyFill="1" applyBorder="1" applyAlignment="1">
      <alignment horizontal="center" wrapText="1"/>
    </xf>
    <xf numFmtId="1" fontId="13" fillId="0" borderId="17" xfId="1" applyNumberFormat="1" applyFont="1" applyFill="1" applyBorder="1" applyAlignment="1">
      <alignment horizontal="center" wrapText="1"/>
    </xf>
    <xf numFmtId="1" fontId="13" fillId="0" borderId="16" xfId="1" applyNumberFormat="1" applyFont="1" applyFill="1" applyBorder="1" applyAlignment="1">
      <alignment horizontal="center" wrapText="1"/>
    </xf>
    <xf numFmtId="0" fontId="13" fillId="5" borderId="5" xfId="0" applyFont="1" applyFill="1" applyBorder="1" applyAlignment="1">
      <alignment horizontal="left" vertical="center"/>
    </xf>
    <xf numFmtId="0" fontId="11" fillId="19" borderId="5" xfId="0" applyFont="1" applyFill="1" applyBorder="1" applyAlignment="1">
      <alignment horizontal="left" vertical="center"/>
    </xf>
    <xf numFmtId="1" fontId="5" fillId="9" borderId="1" xfId="1" applyNumberFormat="1" applyFont="1" applyFill="1" applyBorder="1"/>
    <xf numFmtId="0" fontId="25" fillId="0" borderId="0" xfId="0" applyFont="1" applyAlignment="1">
      <alignment horizontal="center" vertical="center"/>
    </xf>
    <xf numFmtId="0" fontId="6" fillId="16" borderId="1" xfId="1" applyNumberFormat="1" applyFont="1" applyFill="1" applyBorder="1" applyAlignment="1">
      <alignment horizontal="center" vertical="center" wrapText="1"/>
    </xf>
    <xf numFmtId="43" fontId="13" fillId="11" borderId="1" xfId="1" applyFont="1" applyFill="1" applyBorder="1"/>
    <xf numFmtId="164" fontId="15" fillId="11" borderId="1" xfId="1" applyNumberFormat="1" applyFont="1" applyFill="1" applyBorder="1"/>
    <xf numFmtId="164" fontId="24" fillId="15" borderId="1" xfId="1" applyNumberFormat="1" applyFont="1" applyFill="1" applyBorder="1"/>
    <xf numFmtId="164" fontId="6" fillId="0" borderId="1" xfId="1" applyNumberFormat="1" applyFont="1" applyFill="1" applyBorder="1"/>
    <xf numFmtId="164" fontId="6" fillId="16" borderId="1" xfId="1" applyNumberFormat="1" applyFont="1" applyFill="1" applyBorder="1"/>
    <xf numFmtId="165" fontId="15" fillId="0" borderId="1" xfId="0" applyNumberFormat="1" applyFont="1" applyBorder="1"/>
    <xf numFmtId="43" fontId="24" fillId="0" borderId="0" xfId="1" applyFont="1" applyFill="1" applyBorder="1"/>
    <xf numFmtId="164" fontId="24" fillId="15" borderId="8" xfId="1" applyNumberFormat="1" applyFont="1" applyFill="1" applyBorder="1"/>
    <xf numFmtId="0" fontId="13" fillId="0" borderId="1" xfId="0" applyFont="1" applyBorder="1"/>
    <xf numFmtId="0" fontId="13" fillId="0" borderId="5" xfId="0" applyFont="1" applyBorder="1"/>
    <xf numFmtId="43" fontId="19" fillId="0" borderId="0" xfId="1" applyFont="1" applyFill="1" applyBorder="1"/>
    <xf numFmtId="0" fontId="0" fillId="11" borderId="0" xfId="0" applyFill="1"/>
    <xf numFmtId="164" fontId="0" fillId="11" borderId="0" xfId="1" applyNumberFormat="1" applyFont="1" applyFill="1" applyBorder="1"/>
    <xf numFmtId="2" fontId="0" fillId="0" borderId="0" xfId="0" applyNumberFormat="1"/>
    <xf numFmtId="166" fontId="19" fillId="0" borderId="0" xfId="1" applyNumberFormat="1" applyFont="1" applyFill="1" applyBorder="1"/>
    <xf numFmtId="165" fontId="0" fillId="11" borderId="0" xfId="0" applyNumberFormat="1" applyFill="1"/>
    <xf numFmtId="0" fontId="13" fillId="11" borderId="1" xfId="0" applyFont="1" applyFill="1" applyBorder="1" applyAlignment="1">
      <alignment horizontal="center" vertical="center" wrapText="1"/>
    </xf>
    <xf numFmtId="15" fontId="13" fillId="12" borderId="1" xfId="1" applyNumberFormat="1" applyFont="1" applyFill="1" applyBorder="1" applyAlignment="1">
      <alignment horizontal="center" vertical="center" wrapText="1"/>
    </xf>
    <xf numFmtId="164" fontId="6" fillId="15" borderId="1" xfId="1" applyNumberFormat="1" applyFont="1" applyFill="1" applyBorder="1"/>
    <xf numFmtId="164" fontId="6" fillId="15" borderId="5" xfId="1" applyNumberFormat="1" applyFont="1" applyFill="1" applyBorder="1"/>
    <xf numFmtId="164" fontId="13" fillId="15" borderId="1" xfId="1" applyNumberFormat="1" applyFont="1" applyFill="1" applyBorder="1"/>
    <xf numFmtId="0" fontId="13" fillId="16" borderId="1" xfId="1" applyNumberFormat="1" applyFont="1" applyFill="1" applyBorder="1" applyAlignment="1">
      <alignment horizontal="center" vertical="center" wrapText="1"/>
    </xf>
    <xf numFmtId="0" fontId="13" fillId="0" borderId="0" xfId="0" applyFont="1"/>
    <xf numFmtId="1" fontId="16" fillId="9" borderId="1" xfId="1" applyNumberFormat="1" applyFont="1" applyFill="1" applyBorder="1" applyAlignment="1">
      <alignment horizontal="center"/>
    </xf>
    <xf numFmtId="1" fontId="11" fillId="23" borderId="1" xfId="1" applyNumberFormat="1" applyFont="1" applyFill="1" applyBorder="1" applyAlignment="1">
      <alignment horizontal="center"/>
    </xf>
    <xf numFmtId="1" fontId="16" fillId="9" borderId="5" xfId="1" applyNumberFormat="1" applyFont="1" applyFill="1" applyBorder="1" applyAlignment="1">
      <alignment horizontal="center"/>
    </xf>
    <xf numFmtId="1" fontId="11" fillId="23" borderId="5" xfId="1" applyNumberFormat="1" applyFont="1" applyFill="1" applyBorder="1" applyAlignment="1">
      <alignment horizontal="center"/>
    </xf>
    <xf numFmtId="0" fontId="5" fillId="19" borderId="8" xfId="1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5" fillId="4" borderId="8" xfId="0" applyFont="1" applyFill="1" applyBorder="1" applyAlignment="1">
      <alignment horizontal="center" vertical="center"/>
    </xf>
    <xf numFmtId="165" fontId="11" fillId="0" borderId="4" xfId="0" applyNumberFormat="1" applyFont="1" applyBorder="1" applyAlignment="1">
      <alignment horizontal="center"/>
    </xf>
    <xf numFmtId="0" fontId="2" fillId="0" borderId="0" xfId="0" applyFont="1"/>
    <xf numFmtId="0" fontId="5" fillId="4" borderId="17" xfId="0" applyFont="1" applyFill="1" applyBorder="1" applyAlignment="1">
      <alignment horizontal="center" vertical="center" wrapText="1"/>
    </xf>
    <xf numFmtId="44" fontId="0" fillId="0" borderId="1" xfId="2" applyFont="1" applyBorder="1"/>
    <xf numFmtId="2" fontId="0" fillId="0" borderId="1" xfId="2" applyNumberFormat="1" applyFont="1" applyBorder="1"/>
    <xf numFmtId="2" fontId="0" fillId="31" borderId="1" xfId="2" applyNumberFormat="1" applyFont="1" applyFill="1" applyBorder="1" applyAlignment="1">
      <alignment horizontal="center" vertical="center" wrapText="1"/>
    </xf>
    <xf numFmtId="2" fontId="0" fillId="27" borderId="1" xfId="2" applyNumberFormat="1" applyFont="1" applyFill="1" applyBorder="1" applyAlignment="1">
      <alignment horizontal="center" vertical="center" wrapText="1"/>
    </xf>
    <xf numFmtId="2" fontId="0" fillId="34" borderId="1" xfId="2" applyNumberFormat="1" applyFont="1" applyFill="1" applyBorder="1" applyAlignment="1">
      <alignment horizontal="center" vertical="center" wrapText="1"/>
    </xf>
    <xf numFmtId="2" fontId="0" fillId="35" borderId="1" xfId="2" applyNumberFormat="1" applyFont="1" applyFill="1" applyBorder="1" applyAlignment="1">
      <alignment horizontal="center" vertical="center" wrapText="1"/>
    </xf>
    <xf numFmtId="2" fontId="15" fillId="37" borderId="1" xfId="2" applyNumberFormat="1" applyFont="1" applyFill="1" applyBorder="1" applyAlignment="1">
      <alignment horizontal="center" vertical="center" wrapText="1"/>
    </xf>
    <xf numFmtId="2" fontId="0" fillId="29" borderId="1" xfId="2" applyNumberFormat="1" applyFont="1" applyFill="1" applyBorder="1" applyAlignment="1">
      <alignment horizontal="center" vertical="center" wrapText="1"/>
    </xf>
    <xf numFmtId="2" fontId="0" fillId="25" borderId="1" xfId="2" applyNumberFormat="1" applyFont="1" applyFill="1" applyBorder="1" applyAlignment="1">
      <alignment horizontal="center" vertical="center" wrapText="1"/>
    </xf>
    <xf numFmtId="2" fontId="0" fillId="30" borderId="1" xfId="2" applyNumberFormat="1" applyFont="1" applyFill="1" applyBorder="1" applyAlignment="1">
      <alignment horizontal="center" vertical="center" wrapText="1"/>
    </xf>
    <xf numFmtId="2" fontId="0" fillId="32" borderId="1" xfId="2" applyNumberFormat="1" applyFont="1" applyFill="1" applyBorder="1" applyAlignment="1">
      <alignment horizontal="center" vertical="center" wrapText="1"/>
    </xf>
    <xf numFmtId="2" fontId="0" fillId="38" borderId="1" xfId="2" applyNumberFormat="1" applyFont="1" applyFill="1" applyBorder="1" applyAlignment="1">
      <alignment horizontal="center" vertical="center" wrapText="1"/>
    </xf>
    <xf numFmtId="2" fontId="0" fillId="0" borderId="5" xfId="2" applyNumberFormat="1" applyFont="1" applyBorder="1"/>
    <xf numFmtId="44" fontId="0" fillId="36" borderId="1" xfId="2" applyFont="1" applyFill="1" applyBorder="1" applyAlignment="1">
      <alignment horizontal="center" vertical="center" wrapText="1"/>
    </xf>
    <xf numFmtId="44" fontId="0" fillId="0" borderId="5" xfId="2" applyFont="1" applyBorder="1"/>
    <xf numFmtId="44" fontId="0" fillId="0" borderId="0" xfId="2" applyFont="1"/>
    <xf numFmtId="44" fontId="0" fillId="31" borderId="1" xfId="2" applyFont="1" applyFill="1" applyBorder="1" applyAlignment="1">
      <alignment horizontal="center" vertical="center" wrapText="1"/>
    </xf>
    <xf numFmtId="44" fontId="0" fillId="27" borderId="1" xfId="2" applyFont="1" applyFill="1" applyBorder="1" applyAlignment="1">
      <alignment horizontal="center" vertical="center" wrapText="1"/>
    </xf>
    <xf numFmtId="44" fontId="0" fillId="34" borderId="1" xfId="2" applyFont="1" applyFill="1" applyBorder="1" applyAlignment="1">
      <alignment horizontal="center" vertical="center" wrapText="1"/>
    </xf>
    <xf numFmtId="44" fontId="0" fillId="35" borderId="1" xfId="2" applyFont="1" applyFill="1" applyBorder="1" applyAlignment="1">
      <alignment horizontal="center" vertical="center" wrapText="1"/>
    </xf>
    <xf numFmtId="44" fontId="15" fillId="37" borderId="1" xfId="2" applyFont="1" applyFill="1" applyBorder="1" applyAlignment="1">
      <alignment horizontal="center" vertical="center" wrapText="1"/>
    </xf>
    <xf numFmtId="44" fontId="0" fillId="29" borderId="1" xfId="2" applyFont="1" applyFill="1" applyBorder="1" applyAlignment="1">
      <alignment horizontal="center" vertical="center" wrapText="1"/>
    </xf>
    <xf numFmtId="44" fontId="0" fillId="25" borderId="1" xfId="2" applyFont="1" applyFill="1" applyBorder="1" applyAlignment="1">
      <alignment horizontal="center" vertical="center" wrapText="1"/>
    </xf>
    <xf numFmtId="44" fontId="0" fillId="30" borderId="1" xfId="2" applyFont="1" applyFill="1" applyBorder="1" applyAlignment="1">
      <alignment horizontal="center" vertical="center" wrapText="1"/>
    </xf>
    <xf numFmtId="44" fontId="0" fillId="38" borderId="1" xfId="2" applyFont="1" applyFill="1" applyBorder="1" applyAlignment="1">
      <alignment horizontal="center" vertical="center" wrapText="1"/>
    </xf>
    <xf numFmtId="44" fontId="2" fillId="0" borderId="6" xfId="2" applyFont="1" applyBorder="1"/>
    <xf numFmtId="44" fontId="2" fillId="0" borderId="14" xfId="2" applyFont="1" applyBorder="1"/>
    <xf numFmtId="2" fontId="2" fillId="0" borderId="14" xfId="2" applyNumberFormat="1" applyFont="1" applyBorder="1"/>
    <xf numFmtId="44" fontId="2" fillId="0" borderId="7" xfId="2" applyFont="1" applyBorder="1"/>
    <xf numFmtId="2" fontId="0" fillId="0" borderId="0" xfId="0" applyNumberFormat="1" applyAlignment="1">
      <alignment horizontal="center"/>
    </xf>
    <xf numFmtId="2" fontId="0" fillId="0" borderId="1" xfId="2" applyNumberFormat="1" applyFont="1" applyBorder="1" applyAlignment="1">
      <alignment horizontal="center"/>
    </xf>
    <xf numFmtId="2" fontId="0" fillId="0" borderId="5" xfId="2" applyNumberFormat="1" applyFont="1" applyBorder="1" applyAlignment="1">
      <alignment horizontal="center"/>
    </xf>
    <xf numFmtId="2" fontId="2" fillId="0" borderId="14" xfId="2" applyNumberFormat="1" applyFont="1" applyBorder="1" applyAlignment="1">
      <alignment horizontal="center"/>
    </xf>
    <xf numFmtId="0" fontId="21" fillId="0" borderId="0" xfId="0" applyFont="1"/>
    <xf numFmtId="0" fontId="21" fillId="0" borderId="1" xfId="0" applyFont="1" applyBorder="1"/>
    <xf numFmtId="164" fontId="15" fillId="0" borderId="1" xfId="0" applyNumberFormat="1" applyFont="1" applyBorder="1"/>
    <xf numFmtId="164" fontId="21" fillId="0" borderId="1" xfId="0" applyNumberFormat="1" applyFont="1" applyBorder="1"/>
    <xf numFmtId="0" fontId="19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1" fillId="0" borderId="5" xfId="0" applyFont="1" applyBorder="1"/>
    <xf numFmtId="164" fontId="15" fillId="0" borderId="5" xfId="0" applyNumberFormat="1" applyFont="1" applyBorder="1"/>
    <xf numFmtId="0" fontId="19" fillId="2" borderId="6" xfId="0" applyFont="1" applyFill="1" applyBorder="1"/>
    <xf numFmtId="43" fontId="19" fillId="2" borderId="14" xfId="0" applyNumberFormat="1" applyFont="1" applyFill="1" applyBorder="1"/>
    <xf numFmtId="49" fontId="26" fillId="14" borderId="8" xfId="1" applyNumberFormat="1" applyFont="1" applyFill="1" applyBorder="1" applyAlignment="1">
      <alignment horizontal="center" vertical="center" wrapText="1"/>
    </xf>
    <xf numFmtId="49" fontId="13" fillId="17" borderId="1" xfId="1" applyNumberFormat="1" applyFont="1" applyFill="1" applyBorder="1" applyAlignment="1">
      <alignment horizontal="center" vertical="center" wrapText="1"/>
    </xf>
    <xf numFmtId="164" fontId="15" fillId="11" borderId="0" xfId="1" applyNumberFormat="1" applyFont="1" applyFill="1" applyBorder="1"/>
    <xf numFmtId="164" fontId="21" fillId="11" borderId="0" xfId="1" applyNumberFormat="1" applyFont="1" applyFill="1" applyBorder="1"/>
    <xf numFmtId="0" fontId="24" fillId="0" borderId="0" xfId="0" applyFont="1" applyAlignment="1">
      <alignment horizontal="center" vertical="center"/>
    </xf>
    <xf numFmtId="1" fontId="5" fillId="23" borderId="1" xfId="1" applyNumberFormat="1" applyFont="1" applyFill="1" applyBorder="1" applyAlignment="1">
      <alignment horizontal="center"/>
    </xf>
    <xf numFmtId="165" fontId="11" fillId="0" borderId="1" xfId="1" applyNumberFormat="1" applyFont="1" applyFill="1" applyBorder="1" applyAlignment="1">
      <alignment horizontal="center"/>
    </xf>
    <xf numFmtId="0" fontId="2" fillId="6" borderId="12" xfId="0" applyFont="1" applyFill="1" applyBorder="1"/>
    <xf numFmtId="0" fontId="2" fillId="6" borderId="19" xfId="0" applyFont="1" applyFill="1" applyBorder="1"/>
    <xf numFmtId="165" fontId="11" fillId="0" borderId="1" xfId="0" applyNumberFormat="1" applyFont="1" applyBorder="1" applyAlignment="1">
      <alignment horizontal="center"/>
    </xf>
    <xf numFmtId="0" fontId="6" fillId="5" borderId="8" xfId="0" applyFont="1" applyFill="1" applyBorder="1" applyAlignment="1">
      <alignment horizontal="center" vertical="center"/>
    </xf>
    <xf numFmtId="164" fontId="11" fillId="5" borderId="8" xfId="1" applyNumberFormat="1" applyFont="1" applyFill="1" applyBorder="1" applyAlignment="1">
      <alignment horizontal="left" vertical="center"/>
    </xf>
    <xf numFmtId="2" fontId="11" fillId="0" borderId="1" xfId="1" applyNumberFormat="1" applyFont="1" applyFill="1" applyBorder="1" applyAlignment="1">
      <alignment horizontal="center"/>
    </xf>
    <xf numFmtId="0" fontId="6" fillId="28" borderId="14" xfId="0" applyFont="1" applyFill="1" applyBorder="1" applyAlignment="1">
      <alignment horizontal="center" vertical="center"/>
    </xf>
    <xf numFmtId="164" fontId="11" fillId="28" borderId="15" xfId="1" applyNumberFormat="1" applyFont="1" applyFill="1" applyBorder="1" applyAlignment="1">
      <alignment horizontal="left" vertical="center"/>
    </xf>
    <xf numFmtId="164" fontId="19" fillId="3" borderId="1" xfId="0" applyNumberFormat="1" applyFont="1" applyFill="1" applyBorder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166" fontId="11" fillId="0" borderId="1" xfId="1" applyNumberFormat="1" applyFont="1" applyFill="1" applyBorder="1"/>
    <xf numFmtId="0" fontId="20" fillId="16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19" borderId="8" xfId="0" applyFont="1" applyFill="1" applyBorder="1" applyAlignment="1">
      <alignment horizontal="left" vertical="center"/>
    </xf>
    <xf numFmtId="0" fontId="11" fillId="4" borderId="8" xfId="1" applyNumberFormat="1" applyFont="1" applyFill="1" applyBorder="1" applyAlignment="1">
      <alignment horizontal="center" vertical="center"/>
    </xf>
    <xf numFmtId="164" fontId="11" fillId="4" borderId="8" xfId="1" applyNumberFormat="1" applyFont="1" applyFill="1" applyBorder="1" applyAlignment="1">
      <alignment horizontal="center" vertical="center" wrapText="1"/>
    </xf>
    <xf numFmtId="0" fontId="14" fillId="4" borderId="8" xfId="1" applyNumberFormat="1" applyFont="1" applyFill="1" applyBorder="1" applyAlignment="1">
      <alignment horizontal="center" vertical="center"/>
    </xf>
    <xf numFmtId="164" fontId="14" fillId="4" borderId="8" xfId="1" applyNumberFormat="1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/>
    </xf>
    <xf numFmtId="0" fontId="5" fillId="4" borderId="8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43" fontId="2" fillId="0" borderId="6" xfId="0" applyNumberFormat="1" applyFont="1" applyBorder="1" applyAlignment="1">
      <alignment horizontal="center"/>
    </xf>
    <xf numFmtId="0" fontId="24" fillId="6" borderId="14" xfId="0" applyFont="1" applyFill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0" fontId="2" fillId="30" borderId="14" xfId="0" applyFont="1" applyFill="1" applyBorder="1" applyAlignment="1">
      <alignment horizontal="center"/>
    </xf>
    <xf numFmtId="0" fontId="2" fillId="31" borderId="14" xfId="0" applyFont="1" applyFill="1" applyBorder="1" applyAlignment="1">
      <alignment horizontal="center"/>
    </xf>
    <xf numFmtId="0" fontId="2" fillId="39" borderId="14" xfId="0" applyFont="1" applyFill="1" applyBorder="1" applyAlignment="1">
      <alignment horizontal="center"/>
    </xf>
    <xf numFmtId="0" fontId="35" fillId="0" borderId="0" xfId="0" applyFont="1" applyAlignment="1">
      <alignment horizontal="center"/>
    </xf>
    <xf numFmtId="0" fontId="2" fillId="26" borderId="14" xfId="0" applyFont="1" applyFill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1" fontId="2" fillId="40" borderId="6" xfId="0" applyNumberFormat="1" applyFont="1" applyFill="1" applyBorder="1" applyAlignment="1">
      <alignment horizontal="center"/>
    </xf>
    <xf numFmtId="1" fontId="2" fillId="40" borderId="14" xfId="0" applyNumberFormat="1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2" fillId="40" borderId="7" xfId="0" applyNumberFormat="1" applyFont="1" applyFill="1" applyBorder="1" applyAlignment="1">
      <alignment horizontal="center"/>
    </xf>
    <xf numFmtId="0" fontId="11" fillId="23" borderId="1" xfId="1" applyNumberFormat="1" applyFont="1" applyFill="1" applyBorder="1" applyAlignment="1">
      <alignment horizontal="center" vertical="center" wrapText="1"/>
    </xf>
    <xf numFmtId="1" fontId="11" fillId="23" borderId="1" xfId="1" applyNumberFormat="1" applyFont="1" applyFill="1" applyBorder="1"/>
    <xf numFmtId="9" fontId="34" fillId="0" borderId="18" xfId="3" applyFont="1" applyBorder="1" applyAlignment="1">
      <alignment horizontal="center"/>
    </xf>
    <xf numFmtId="9" fontId="2" fillId="26" borderId="14" xfId="3" applyFont="1" applyFill="1" applyBorder="1" applyAlignment="1">
      <alignment horizontal="center"/>
    </xf>
    <xf numFmtId="9" fontId="35" fillId="0" borderId="8" xfId="3" applyFont="1" applyBorder="1" applyAlignment="1">
      <alignment horizontal="center"/>
    </xf>
    <xf numFmtId="9" fontId="35" fillId="0" borderId="1" xfId="3" applyFont="1" applyBorder="1" applyAlignment="1">
      <alignment horizontal="center"/>
    </xf>
    <xf numFmtId="9" fontId="2" fillId="0" borderId="6" xfId="3" applyFont="1" applyBorder="1" applyAlignment="1">
      <alignment horizontal="center"/>
    </xf>
    <xf numFmtId="9" fontId="24" fillId="6" borderId="14" xfId="3" applyFont="1" applyFill="1" applyBorder="1" applyAlignment="1">
      <alignment horizontal="center"/>
    </xf>
    <xf numFmtId="9" fontId="2" fillId="30" borderId="14" xfId="3" applyFont="1" applyFill="1" applyBorder="1" applyAlignment="1">
      <alignment horizontal="center"/>
    </xf>
    <xf numFmtId="9" fontId="2" fillId="31" borderId="14" xfId="3" applyFont="1" applyFill="1" applyBorder="1" applyAlignment="1">
      <alignment horizontal="center"/>
    </xf>
    <xf numFmtId="9" fontId="2" fillId="0" borderId="14" xfId="3" applyFont="1" applyBorder="1" applyAlignment="1">
      <alignment horizontal="center"/>
    </xf>
    <xf numFmtId="9" fontId="2" fillId="39" borderId="14" xfId="3" applyFont="1" applyFill="1" applyBorder="1" applyAlignment="1">
      <alignment horizontal="center"/>
    </xf>
    <xf numFmtId="9" fontId="0" fillId="0" borderId="0" xfId="3" applyFont="1" applyAlignment="1">
      <alignment horizontal="center"/>
    </xf>
    <xf numFmtId="2" fontId="28" fillId="40" borderId="1" xfId="2" applyNumberFormat="1" applyFont="1" applyFill="1" applyBorder="1" applyAlignment="1">
      <alignment horizontal="center" vertical="center" wrapText="1"/>
    </xf>
    <xf numFmtId="0" fontId="42" fillId="0" borderId="0" xfId="0" applyFont="1"/>
    <xf numFmtId="43" fontId="42" fillId="0" borderId="0" xfId="0" applyNumberFormat="1" applyFont="1"/>
    <xf numFmtId="0" fontId="43" fillId="0" borderId="1" xfId="0" applyFont="1" applyBorder="1"/>
    <xf numFmtId="166" fontId="11" fillId="0" borderId="0" xfId="1" applyNumberFormat="1" applyFont="1"/>
    <xf numFmtId="166" fontId="20" fillId="16" borderId="1" xfId="1" applyNumberFormat="1" applyFont="1" applyFill="1" applyBorder="1" applyAlignment="1">
      <alignment horizontal="center" vertical="center" wrapText="1"/>
    </xf>
    <xf numFmtId="166" fontId="11" fillId="0" borderId="1" xfId="1" applyNumberFormat="1" applyFont="1" applyFill="1" applyBorder="1" applyAlignment="1">
      <alignment horizontal="center"/>
    </xf>
    <xf numFmtId="166" fontId="11" fillId="0" borderId="5" xfId="1" applyNumberFormat="1" applyFont="1" applyFill="1" applyBorder="1" applyAlignment="1">
      <alignment horizontal="center"/>
    </xf>
    <xf numFmtId="0" fontId="34" fillId="0" borderId="18" xfId="0" applyFont="1" applyBorder="1" applyAlignment="1">
      <alignment horizontal="center"/>
    </xf>
    <xf numFmtId="2" fontId="35" fillId="0" borderId="8" xfId="0" applyNumberFormat="1" applyFont="1" applyBorder="1" applyAlignment="1">
      <alignment horizontal="center"/>
    </xf>
    <xf numFmtId="2" fontId="35" fillId="0" borderId="1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2" fontId="24" fillId="6" borderId="14" xfId="0" applyNumberFormat="1" applyFont="1" applyFill="1" applyBorder="1" applyAlignment="1">
      <alignment horizontal="center"/>
    </xf>
    <xf numFmtId="2" fontId="2" fillId="30" borderId="14" xfId="0" applyNumberFormat="1" applyFont="1" applyFill="1" applyBorder="1" applyAlignment="1">
      <alignment horizontal="center"/>
    </xf>
    <xf numFmtId="2" fontId="2" fillId="31" borderId="14" xfId="0" applyNumberFormat="1" applyFont="1" applyFill="1" applyBorder="1" applyAlignment="1">
      <alignment horizontal="center"/>
    </xf>
    <xf numFmtId="2" fontId="2" fillId="0" borderId="14" xfId="0" applyNumberFormat="1" applyFont="1" applyBorder="1" applyAlignment="1">
      <alignment horizontal="center"/>
    </xf>
    <xf numFmtId="2" fontId="2" fillId="39" borderId="14" xfId="0" applyNumberFormat="1" applyFont="1" applyFill="1" applyBorder="1" applyAlignment="1">
      <alignment horizontal="center"/>
    </xf>
    <xf numFmtId="9" fontId="37" fillId="0" borderId="1" xfId="3" applyFont="1" applyBorder="1" applyAlignment="1">
      <alignment horizontal="center"/>
    </xf>
    <xf numFmtId="164" fontId="28" fillId="3" borderId="1" xfId="0" applyNumberFormat="1" applyFont="1" applyFill="1" applyBorder="1" applyAlignment="1">
      <alignment horizontal="center"/>
    </xf>
    <xf numFmtId="2" fontId="30" fillId="0" borderId="0" xfId="0" applyNumberFormat="1" applyFont="1" applyAlignment="1">
      <alignment horizontal="center"/>
    </xf>
    <xf numFmtId="14" fontId="44" fillId="43" borderId="1" xfId="0" applyNumberFormat="1" applyFont="1" applyFill="1" applyBorder="1" applyAlignment="1">
      <alignment horizontal="center" vertical="center" wrapText="1"/>
    </xf>
    <xf numFmtId="168" fontId="44" fillId="43" borderId="1" xfId="1" applyNumberFormat="1" applyFont="1" applyFill="1" applyBorder="1" applyAlignment="1">
      <alignment horizontal="center" vertical="center" wrapText="1"/>
    </xf>
    <xf numFmtId="0" fontId="45" fillId="44" borderId="1" xfId="0" applyFont="1" applyFill="1" applyBorder="1" applyAlignment="1">
      <alignment horizontal="center" vertical="center" wrapText="1"/>
    </xf>
    <xf numFmtId="18" fontId="44" fillId="43" borderId="1" xfId="1" applyNumberFormat="1" applyFont="1" applyFill="1" applyBorder="1" applyAlignment="1">
      <alignment horizontal="center" vertical="center" wrapText="1"/>
    </xf>
    <xf numFmtId="168" fontId="44" fillId="45" borderId="1" xfId="1" applyNumberFormat="1" applyFont="1" applyFill="1" applyBorder="1" applyAlignment="1">
      <alignment horizontal="center" vertical="center" wrapText="1"/>
    </xf>
    <xf numFmtId="14" fontId="46" fillId="43" borderId="1" xfId="0" applyNumberFormat="1" applyFont="1" applyFill="1" applyBorder="1" applyAlignment="1">
      <alignment horizontal="center" vertical="center" wrapText="1"/>
    </xf>
    <xf numFmtId="0" fontId="45" fillId="44" borderId="9" xfId="0" applyFont="1" applyFill="1" applyBorder="1" applyAlignment="1">
      <alignment horizontal="center" vertical="center" wrapText="1"/>
    </xf>
    <xf numFmtId="168" fontId="0" fillId="0" borderId="0" xfId="0" applyNumberFormat="1"/>
    <xf numFmtId="165" fontId="11" fillId="0" borderId="0" xfId="0" applyNumberFormat="1" applyFont="1"/>
    <xf numFmtId="43" fontId="0" fillId="0" borderId="8" xfId="0" applyNumberFormat="1" applyBorder="1" applyAlignment="1">
      <alignment horizontal="center"/>
    </xf>
    <xf numFmtId="2" fontId="5" fillId="0" borderId="1" xfId="1" applyNumberFormat="1" applyFont="1" applyFill="1" applyBorder="1" applyAlignment="1">
      <alignment horizontal="center"/>
    </xf>
    <xf numFmtId="1" fontId="22" fillId="4" borderId="1" xfId="1" applyNumberFormat="1" applyFont="1" applyFill="1" applyBorder="1" applyAlignment="1">
      <alignment horizontal="center" wrapText="1"/>
    </xf>
    <xf numFmtId="1" fontId="11" fillId="0" borderId="2" xfId="1" applyNumberFormat="1" applyFont="1" applyFill="1" applyBorder="1" applyAlignment="1">
      <alignment horizontal="center" vertical="center"/>
    </xf>
    <xf numFmtId="164" fontId="11" fillId="21" borderId="1" xfId="1" applyNumberFormat="1" applyFont="1" applyFill="1" applyBorder="1" applyAlignment="1">
      <alignment horizontal="center" vertical="center" wrapText="1"/>
    </xf>
    <xf numFmtId="1" fontId="29" fillId="4" borderId="1" xfId="1" applyNumberFormat="1" applyFont="1" applyFill="1" applyBorder="1" applyAlignment="1">
      <alignment horizontal="center" wrapText="1"/>
    </xf>
    <xf numFmtId="2" fontId="39" fillId="0" borderId="0" xfId="0" applyNumberFormat="1" applyFont="1" applyAlignment="1">
      <alignment horizontal="center"/>
    </xf>
    <xf numFmtId="0" fontId="47" fillId="0" borderId="1" xfId="0" applyFont="1" applyBorder="1"/>
    <xf numFmtId="2" fontId="0" fillId="0" borderId="4" xfId="2" applyNumberFormat="1" applyFont="1" applyBorder="1"/>
    <xf numFmtId="1" fontId="29" fillId="0" borderId="8" xfId="1" applyNumberFormat="1" applyFont="1" applyFill="1" applyBorder="1" applyAlignment="1">
      <alignment horizontal="center" wrapText="1"/>
    </xf>
    <xf numFmtId="2" fontId="15" fillId="36" borderId="1" xfId="2" applyNumberFormat="1" applyFont="1" applyFill="1" applyBorder="1" applyAlignment="1">
      <alignment horizontal="center" vertical="center" wrapText="1"/>
    </xf>
    <xf numFmtId="2" fontId="15" fillId="31" borderId="1" xfId="2" applyNumberFormat="1" applyFont="1" applyFill="1" applyBorder="1" applyAlignment="1">
      <alignment horizontal="center" vertical="center" wrapText="1"/>
    </xf>
    <xf numFmtId="2" fontId="15" fillId="27" borderId="1" xfId="2" applyNumberFormat="1" applyFont="1" applyFill="1" applyBorder="1" applyAlignment="1">
      <alignment horizontal="center" vertical="center" wrapText="1"/>
    </xf>
    <xf numFmtId="2" fontId="15" fillId="29" borderId="1" xfId="2" applyNumberFormat="1" applyFont="1" applyFill="1" applyBorder="1" applyAlignment="1">
      <alignment horizontal="center" vertical="center" wrapText="1"/>
    </xf>
    <xf numFmtId="2" fontId="15" fillId="25" borderId="1" xfId="2" applyNumberFormat="1" applyFont="1" applyFill="1" applyBorder="1" applyAlignment="1">
      <alignment horizontal="center" vertical="center" wrapText="1"/>
    </xf>
    <xf numFmtId="2" fontId="15" fillId="30" borderId="1" xfId="2" applyNumberFormat="1" applyFont="1" applyFill="1" applyBorder="1" applyAlignment="1">
      <alignment horizontal="center" vertical="center" wrapText="1"/>
    </xf>
    <xf numFmtId="2" fontId="15" fillId="34" borderId="1" xfId="2" applyNumberFormat="1" applyFont="1" applyFill="1" applyBorder="1" applyAlignment="1">
      <alignment horizontal="center" vertical="center" wrapText="1"/>
    </xf>
    <xf numFmtId="2" fontId="15" fillId="32" borderId="1" xfId="2" applyNumberFormat="1" applyFont="1" applyFill="1" applyBorder="1" applyAlignment="1">
      <alignment horizontal="center" vertical="center" wrapText="1"/>
    </xf>
    <xf numFmtId="2" fontId="15" fillId="35" borderId="1" xfId="2" applyNumberFormat="1" applyFont="1" applyFill="1" applyBorder="1" applyAlignment="1">
      <alignment horizontal="center" vertical="center" wrapText="1"/>
    </xf>
    <xf numFmtId="43" fontId="24" fillId="47" borderId="2" xfId="1" applyFont="1" applyFill="1" applyBorder="1" applyAlignment="1">
      <alignment wrapText="1"/>
    </xf>
    <xf numFmtId="43" fontId="24" fillId="47" borderId="16" xfId="1" applyFont="1" applyFill="1" applyBorder="1" applyAlignment="1">
      <alignment wrapText="1"/>
    </xf>
    <xf numFmtId="164" fontId="24" fillId="48" borderId="14" xfId="1" applyNumberFormat="1" applyFont="1" applyFill="1" applyBorder="1" applyAlignment="1">
      <alignment horizontal="center" vertical="center" wrapText="1"/>
    </xf>
    <xf numFmtId="0" fontId="6" fillId="49" borderId="1" xfId="0" applyFont="1" applyFill="1" applyBorder="1" applyAlignment="1">
      <alignment horizontal="center" vertical="center"/>
    </xf>
    <xf numFmtId="0" fontId="13" fillId="49" borderId="1" xfId="0" applyFont="1" applyFill="1" applyBorder="1" applyAlignment="1">
      <alignment horizontal="left" vertical="center"/>
    </xf>
    <xf numFmtId="0" fontId="11" fillId="49" borderId="1" xfId="0" applyFont="1" applyFill="1" applyBorder="1" applyAlignment="1">
      <alignment horizontal="left" vertical="center"/>
    </xf>
    <xf numFmtId="164" fontId="24" fillId="50" borderId="2" xfId="1" applyNumberFormat="1" applyFont="1" applyFill="1" applyBorder="1" applyAlignment="1">
      <alignment horizontal="center" vertical="center" wrapText="1"/>
    </xf>
    <xf numFmtId="43" fontId="24" fillId="49" borderId="14" xfId="1" applyFont="1" applyFill="1" applyBorder="1"/>
    <xf numFmtId="164" fontId="24" fillId="51" borderId="2" xfId="1" applyNumberFormat="1" applyFont="1" applyFill="1" applyBorder="1" applyAlignment="1">
      <alignment horizontal="center" vertical="center" wrapText="1"/>
    </xf>
    <xf numFmtId="164" fontId="24" fillId="51" borderId="14" xfId="1" applyNumberFormat="1" applyFont="1" applyFill="1" applyBorder="1" applyAlignment="1">
      <alignment horizontal="center" vertical="center" wrapText="1"/>
    </xf>
    <xf numFmtId="164" fontId="6" fillId="46" borderId="14" xfId="1" applyNumberFormat="1" applyFont="1" applyFill="1" applyBorder="1" applyAlignment="1">
      <alignment horizontal="center" vertical="center" wrapText="1"/>
    </xf>
    <xf numFmtId="43" fontId="6" fillId="51" borderId="14" xfId="1" applyFont="1" applyFill="1" applyBorder="1"/>
    <xf numFmtId="164" fontId="6" fillId="51" borderId="14" xfId="1" applyNumberFormat="1" applyFont="1" applyFill="1" applyBorder="1"/>
    <xf numFmtId="43" fontId="24" fillId="46" borderId="14" xfId="1" applyFont="1" applyFill="1" applyBorder="1"/>
    <xf numFmtId="43" fontId="6" fillId="51" borderId="7" xfId="1" applyFont="1" applyFill="1" applyBorder="1"/>
    <xf numFmtId="0" fontId="5" fillId="46" borderId="1" xfId="1" applyNumberFormat="1" applyFont="1" applyFill="1" applyBorder="1" applyAlignment="1">
      <alignment horizontal="center" vertical="center"/>
    </xf>
    <xf numFmtId="0" fontId="11" fillId="46" borderId="1" xfId="0" applyFont="1" applyFill="1" applyBorder="1" applyAlignment="1">
      <alignment horizontal="left" vertical="center"/>
    </xf>
    <xf numFmtId="0" fontId="5" fillId="46" borderId="5" xfId="1" applyNumberFormat="1" applyFont="1" applyFill="1" applyBorder="1" applyAlignment="1">
      <alignment horizontal="center" vertical="center"/>
    </xf>
    <xf numFmtId="0" fontId="11" fillId="46" borderId="5" xfId="0" applyFont="1" applyFill="1" applyBorder="1" applyAlignment="1">
      <alignment horizontal="left" vertical="center"/>
    </xf>
    <xf numFmtId="43" fontId="24" fillId="52" borderId="2" xfId="1" applyFont="1" applyFill="1" applyBorder="1" applyAlignment="1">
      <alignment wrapText="1"/>
    </xf>
    <xf numFmtId="43" fontId="24" fillId="52" borderId="16" xfId="1" applyFont="1" applyFill="1" applyBorder="1" applyAlignment="1">
      <alignment wrapText="1"/>
    </xf>
    <xf numFmtId="164" fontId="24" fillId="50" borderId="1" xfId="1" applyNumberFormat="1" applyFont="1" applyFill="1" applyBorder="1" applyAlignment="1">
      <alignment horizontal="center" vertical="center" wrapText="1"/>
    </xf>
    <xf numFmtId="43" fontId="24" fillId="47" borderId="1" xfId="1" applyFont="1" applyFill="1" applyBorder="1" applyAlignment="1">
      <alignment wrapText="1"/>
    </xf>
    <xf numFmtId="0" fontId="6" fillId="49" borderId="5" xfId="0" applyFont="1" applyFill="1" applyBorder="1" applyAlignment="1">
      <alignment horizontal="center" vertical="center"/>
    </xf>
    <xf numFmtId="0" fontId="13" fillId="49" borderId="5" xfId="0" applyFont="1" applyFill="1" applyBorder="1" applyAlignment="1">
      <alignment horizontal="left" vertical="center"/>
    </xf>
    <xf numFmtId="1" fontId="13" fillId="0" borderId="5" xfId="1" applyNumberFormat="1" applyFont="1" applyFill="1" applyBorder="1" applyAlignment="1">
      <alignment horizontal="center"/>
    </xf>
    <xf numFmtId="43" fontId="24" fillId="47" borderId="5" xfId="1" applyFont="1" applyFill="1" applyBorder="1" applyAlignment="1">
      <alignment wrapText="1"/>
    </xf>
    <xf numFmtId="0" fontId="6" fillId="49" borderId="8" xfId="0" applyFont="1" applyFill="1" applyBorder="1" applyAlignment="1">
      <alignment horizontal="center" vertical="center"/>
    </xf>
    <xf numFmtId="0" fontId="13" fillId="49" borderId="8" xfId="0" applyFont="1" applyFill="1" applyBorder="1" applyAlignment="1">
      <alignment horizontal="left" vertical="center"/>
    </xf>
    <xf numFmtId="1" fontId="6" fillId="49" borderId="14" xfId="0" applyNumberFormat="1" applyFont="1" applyFill="1" applyBorder="1" applyAlignment="1">
      <alignment horizontal="center" vertical="center"/>
    </xf>
    <xf numFmtId="1" fontId="6" fillId="49" borderId="15" xfId="0" applyNumberFormat="1" applyFont="1" applyFill="1" applyBorder="1" applyAlignment="1">
      <alignment horizontal="center" vertical="center"/>
    </xf>
    <xf numFmtId="1" fontId="5" fillId="49" borderId="14" xfId="0" applyNumberFormat="1" applyFont="1" applyFill="1" applyBorder="1"/>
    <xf numFmtId="1" fontId="18" fillId="46" borderId="14" xfId="1" applyNumberFormat="1" applyFont="1" applyFill="1" applyBorder="1" applyAlignment="1">
      <alignment horizontal="center" vertical="center" wrapText="1"/>
    </xf>
    <xf numFmtId="165" fontId="18" fillId="46" borderId="14" xfId="1" applyNumberFormat="1" applyFont="1" applyFill="1" applyBorder="1" applyAlignment="1">
      <alignment horizontal="center" vertical="center" wrapText="1"/>
    </xf>
    <xf numFmtId="0" fontId="10" fillId="49" borderId="1" xfId="1" applyNumberFormat="1" applyFont="1" applyFill="1" applyBorder="1" applyAlignment="1">
      <alignment horizontal="center" vertical="center"/>
    </xf>
    <xf numFmtId="167" fontId="38" fillId="7" borderId="1" xfId="1" applyNumberFormat="1" applyFont="1" applyFill="1" applyBorder="1" applyAlignment="1">
      <alignment horizontal="center" vertical="center" wrapText="1"/>
    </xf>
    <xf numFmtId="164" fontId="11" fillId="49" borderId="1" xfId="1" applyNumberFormat="1" applyFont="1" applyFill="1" applyBorder="1" applyAlignment="1">
      <alignment horizontal="center" vertical="center"/>
    </xf>
    <xf numFmtId="164" fontId="11" fillId="49" borderId="2" xfId="1" applyNumberFormat="1" applyFont="1" applyFill="1" applyBorder="1" applyAlignment="1">
      <alignment horizontal="left" vertical="center"/>
    </xf>
    <xf numFmtId="164" fontId="11" fillId="49" borderId="5" xfId="1" applyNumberFormat="1" applyFont="1" applyFill="1" applyBorder="1" applyAlignment="1">
      <alignment horizontal="center" vertical="center"/>
    </xf>
    <xf numFmtId="164" fontId="11" fillId="49" borderId="16" xfId="1" applyNumberFormat="1" applyFont="1" applyFill="1" applyBorder="1" applyAlignment="1">
      <alignment horizontal="left" vertical="center"/>
    </xf>
    <xf numFmtId="1" fontId="5" fillId="49" borderId="15" xfId="1" applyNumberFormat="1" applyFont="1" applyFill="1" applyBorder="1" applyAlignment="1">
      <alignment horizontal="center" wrapText="1"/>
    </xf>
    <xf numFmtId="1" fontId="5" fillId="46" borderId="26" xfId="1" applyNumberFormat="1" applyFont="1" applyFill="1" applyBorder="1" applyAlignment="1">
      <alignment horizontal="center" wrapText="1"/>
    </xf>
    <xf numFmtId="1" fontId="5" fillId="46" borderId="20" xfId="1" applyNumberFormat="1" applyFont="1" applyFill="1" applyBorder="1" applyAlignment="1">
      <alignment horizontal="center" wrapText="1"/>
    </xf>
    <xf numFmtId="1" fontId="5" fillId="46" borderId="14" xfId="1" applyNumberFormat="1" applyFont="1" applyFill="1" applyBorder="1" applyAlignment="1">
      <alignment horizontal="center" wrapText="1"/>
    </xf>
    <xf numFmtId="165" fontId="5" fillId="46" borderId="14" xfId="1" applyNumberFormat="1" applyFont="1" applyFill="1" applyBorder="1" applyAlignment="1">
      <alignment horizontal="center" wrapText="1"/>
    </xf>
    <xf numFmtId="1" fontId="6" fillId="49" borderId="14" xfId="1" applyNumberFormat="1" applyFont="1" applyFill="1" applyBorder="1" applyAlignment="1">
      <alignment horizontal="center" vertical="center" wrapText="1"/>
    </xf>
    <xf numFmtId="1" fontId="6" fillId="46" borderId="14" xfId="1" applyNumberFormat="1" applyFont="1" applyFill="1" applyBorder="1" applyAlignment="1">
      <alignment horizontal="center" wrapText="1"/>
    </xf>
    <xf numFmtId="0" fontId="5" fillId="26" borderId="1" xfId="1" applyNumberFormat="1" applyFont="1" applyFill="1" applyBorder="1" applyAlignment="1">
      <alignment horizontal="center" vertical="center"/>
    </xf>
    <xf numFmtId="0" fontId="11" fillId="26" borderId="1" xfId="0" applyFont="1" applyFill="1" applyBorder="1" applyAlignment="1">
      <alignment horizontal="left" vertical="center"/>
    </xf>
    <xf numFmtId="1" fontId="6" fillId="26" borderId="14" xfId="1" applyNumberFormat="1" applyFont="1" applyFill="1" applyBorder="1" applyAlignment="1">
      <alignment horizontal="center" wrapText="1"/>
    </xf>
    <xf numFmtId="43" fontId="24" fillId="49" borderId="20" xfId="1" applyFont="1" applyFill="1" applyBorder="1"/>
    <xf numFmtId="43" fontId="24" fillId="49" borderId="18" xfId="1" applyFont="1" applyFill="1" applyBorder="1"/>
    <xf numFmtId="2" fontId="0" fillId="0" borderId="1" xfId="0" applyNumberFormat="1" applyBorder="1" applyAlignment="1">
      <alignment horizontal="center"/>
    </xf>
    <xf numFmtId="2" fontId="2" fillId="0" borderId="20" xfId="2" applyNumberFormat="1" applyFont="1" applyBorder="1"/>
    <xf numFmtId="43" fontId="2" fillId="0" borderId="14" xfId="1" applyFont="1" applyBorder="1"/>
    <xf numFmtId="2" fontId="0" fillId="38" borderId="2" xfId="2" applyNumberFormat="1" applyFont="1" applyFill="1" applyBorder="1" applyAlignment="1">
      <alignment horizontal="center" vertical="center" wrapText="1"/>
    </xf>
    <xf numFmtId="2" fontId="0" fillId="0" borderId="2" xfId="2" applyNumberFormat="1" applyFont="1" applyBorder="1" applyAlignment="1">
      <alignment horizontal="center"/>
    </xf>
    <xf numFmtId="2" fontId="2" fillId="0" borderId="15" xfId="2" applyNumberFormat="1" applyFont="1" applyBorder="1" applyAlignment="1">
      <alignment horizontal="center"/>
    </xf>
    <xf numFmtId="2" fontId="0" fillId="36" borderId="4" xfId="2" applyNumberFormat="1" applyFont="1" applyFill="1" applyBorder="1" applyAlignment="1">
      <alignment horizontal="center" vertical="center" wrapText="1"/>
    </xf>
    <xf numFmtId="2" fontId="0" fillId="0" borderId="21" xfId="2" applyNumberFormat="1" applyFont="1" applyBorder="1"/>
    <xf numFmtId="2" fontId="0" fillId="0" borderId="2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55" borderId="1" xfId="2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wrapText="1"/>
    </xf>
    <xf numFmtId="0" fontId="20" fillId="0" borderId="1" xfId="0" applyFont="1" applyBorder="1" applyAlignment="1">
      <alignment horizontal="center" vertical="center"/>
    </xf>
    <xf numFmtId="2" fontId="0" fillId="42" borderId="0" xfId="0" applyNumberFormat="1" applyFill="1" applyAlignment="1">
      <alignment horizontal="center"/>
    </xf>
    <xf numFmtId="2" fontId="2" fillId="42" borderId="32" xfId="2" applyNumberFormat="1" applyFont="1" applyFill="1" applyBorder="1" applyAlignment="1">
      <alignment horizontal="center" vertical="center" wrapText="1"/>
    </xf>
    <xf numFmtId="0" fontId="0" fillId="42" borderId="0" xfId="0" applyFill="1"/>
    <xf numFmtId="2" fontId="0" fillId="42" borderId="3" xfId="2" applyNumberFormat="1" applyFont="1" applyFill="1" applyBorder="1" applyAlignment="1">
      <alignment horizontal="center"/>
    </xf>
    <xf numFmtId="2" fontId="0" fillId="42" borderId="28" xfId="2" applyNumberFormat="1" applyFont="1" applyFill="1" applyBorder="1" applyAlignment="1">
      <alignment horizontal="center"/>
    </xf>
    <xf numFmtId="2" fontId="2" fillId="42" borderId="19" xfId="2" applyNumberFormat="1" applyFont="1" applyFill="1" applyBorder="1" applyAlignment="1">
      <alignment horizontal="center"/>
    </xf>
    <xf numFmtId="2" fontId="0" fillId="42" borderId="32" xfId="2" applyNumberFormat="1" applyFont="1" applyFill="1" applyBorder="1" applyAlignment="1">
      <alignment horizontal="center"/>
    </xf>
    <xf numFmtId="2" fontId="0" fillId="42" borderId="32" xfId="0" applyNumberFormat="1" applyFill="1" applyBorder="1" applyAlignment="1">
      <alignment horizontal="center"/>
    </xf>
    <xf numFmtId="2" fontId="0" fillId="42" borderId="3" xfId="0" applyNumberFormat="1" applyFill="1" applyBorder="1" applyAlignment="1">
      <alignment horizontal="center"/>
    </xf>
    <xf numFmtId="0" fontId="13" fillId="49" borderId="1" xfId="0" applyFont="1" applyFill="1" applyBorder="1" applyAlignment="1">
      <alignment horizontal="center" vertical="center"/>
    </xf>
    <xf numFmtId="0" fontId="6" fillId="49" borderId="1" xfId="0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43" fontId="24" fillId="50" borderId="1" xfId="1" applyFont="1" applyFill="1" applyBorder="1" applyAlignment="1">
      <alignment horizontal="center" vertical="center" wrapText="1"/>
    </xf>
    <xf numFmtId="43" fontId="6" fillId="47" borderId="11" xfId="1" applyFont="1" applyFill="1" applyBorder="1" applyAlignment="1">
      <alignment horizontal="center" wrapText="1"/>
    </xf>
    <xf numFmtId="43" fontId="6" fillId="49" borderId="14" xfId="1" applyFont="1" applyFill="1" applyBorder="1" applyAlignment="1">
      <alignment horizontal="center" vertical="center" wrapText="1"/>
    </xf>
    <xf numFmtId="43" fontId="24" fillId="51" borderId="1" xfId="1" applyFont="1" applyFill="1" applyBorder="1" applyAlignment="1">
      <alignment horizontal="center" vertical="center" wrapText="1"/>
    </xf>
    <xf numFmtId="43" fontId="6" fillId="52" borderId="13" xfId="1" applyFont="1" applyFill="1" applyBorder="1" applyAlignment="1">
      <alignment horizontal="center" wrapText="1"/>
    </xf>
    <xf numFmtId="43" fontId="6" fillId="52" borderId="11" xfId="1" applyFont="1" applyFill="1" applyBorder="1" applyAlignment="1">
      <alignment horizontal="center" wrapText="1"/>
    </xf>
    <xf numFmtId="43" fontId="6" fillId="52" borderId="22" xfId="1" applyFont="1" applyFill="1" applyBorder="1" applyAlignment="1">
      <alignment horizontal="center" wrapText="1"/>
    </xf>
    <xf numFmtId="43" fontId="6" fillId="46" borderId="14" xfId="1" applyFont="1" applyFill="1" applyBorder="1" applyAlignment="1">
      <alignment horizontal="center" wrapText="1"/>
    </xf>
    <xf numFmtId="43" fontId="24" fillId="53" borderId="1" xfId="1" applyFont="1" applyFill="1" applyBorder="1" applyAlignment="1">
      <alignment horizontal="center" vertical="center" wrapText="1"/>
    </xf>
    <xf numFmtId="43" fontId="6" fillId="54" borderId="13" xfId="1" applyFont="1" applyFill="1" applyBorder="1" applyAlignment="1">
      <alignment horizontal="center" wrapText="1"/>
    </xf>
    <xf numFmtId="43" fontId="6" fillId="26" borderId="14" xfId="1" applyFont="1" applyFill="1" applyBorder="1" applyAlignment="1">
      <alignment horizontal="center" wrapText="1"/>
    </xf>
    <xf numFmtId="43" fontId="0" fillId="0" borderId="0" xfId="1" applyFont="1"/>
    <xf numFmtId="43" fontId="24" fillId="50" borderId="2" xfId="1" applyFont="1" applyFill="1" applyBorder="1" applyAlignment="1">
      <alignment horizontal="center" vertical="center" wrapText="1"/>
    </xf>
    <xf numFmtId="43" fontId="24" fillId="51" borderId="2" xfId="1" applyFont="1" applyFill="1" applyBorder="1" applyAlignment="1">
      <alignment horizontal="center" vertical="center" wrapText="1"/>
    </xf>
    <xf numFmtId="43" fontId="24" fillId="53" borderId="2" xfId="1" applyFont="1" applyFill="1" applyBorder="1" applyAlignment="1">
      <alignment horizontal="center" vertical="center" wrapText="1"/>
    </xf>
    <xf numFmtId="43" fontId="26" fillId="0" borderId="0" xfId="1" applyFont="1"/>
    <xf numFmtId="43" fontId="17" fillId="0" borderId="0" xfId="1" applyFont="1"/>
    <xf numFmtId="43" fontId="13" fillId="11" borderId="1" xfId="1" applyFont="1" applyFill="1" applyBorder="1" applyAlignment="1">
      <alignment horizontal="center" vertical="center" wrapText="1"/>
    </xf>
    <xf numFmtId="43" fontId="13" fillId="0" borderId="1" xfId="1" applyFont="1" applyFill="1" applyBorder="1" applyAlignment="1">
      <alignment horizontal="center" vertical="center" wrapText="1"/>
    </xf>
    <xf numFmtId="43" fontId="6" fillId="47" borderId="1" xfId="1" applyFont="1" applyFill="1" applyBorder="1" applyAlignment="1">
      <alignment wrapText="1"/>
    </xf>
    <xf numFmtId="43" fontId="11" fillId="0" borderId="1" xfId="1" applyFont="1" applyFill="1" applyBorder="1" applyAlignment="1">
      <alignment horizontal="center" vertical="center" wrapText="1"/>
    </xf>
    <xf numFmtId="43" fontId="6" fillId="22" borderId="1" xfId="1" applyFont="1" applyFill="1" applyBorder="1" applyAlignment="1">
      <alignment wrapText="1"/>
    </xf>
    <xf numFmtId="43" fontId="22" fillId="0" borderId="1" xfId="1" applyFont="1" applyBorder="1"/>
    <xf numFmtId="43" fontId="11" fillId="0" borderId="1" xfId="1" applyFont="1" applyBorder="1"/>
    <xf numFmtId="43" fontId="11" fillId="0" borderId="1" xfId="1" applyFont="1" applyFill="1" applyBorder="1" applyAlignment="1">
      <alignment wrapText="1"/>
    </xf>
    <xf numFmtId="43" fontId="6" fillId="22" borderId="5" xfId="1" applyFont="1" applyFill="1" applyBorder="1" applyAlignment="1">
      <alignment wrapText="1"/>
    </xf>
    <xf numFmtId="43" fontId="22" fillId="0" borderId="5" xfId="1" applyFont="1" applyBorder="1"/>
    <xf numFmtId="43" fontId="11" fillId="0" borderId="5" xfId="1" applyFont="1" applyBorder="1"/>
    <xf numFmtId="43" fontId="11" fillId="0" borderId="5" xfId="1" applyFont="1" applyFill="1" applyBorder="1" applyAlignment="1">
      <alignment wrapText="1"/>
    </xf>
    <xf numFmtId="43" fontId="6" fillId="49" borderId="14" xfId="1" applyFont="1" applyFill="1" applyBorder="1" applyAlignment="1">
      <alignment horizontal="center" vertical="center"/>
    </xf>
    <xf numFmtId="43" fontId="13" fillId="0" borderId="0" xfId="1" applyFont="1"/>
    <xf numFmtId="43" fontId="11" fillId="0" borderId="0" xfId="1" applyFont="1"/>
    <xf numFmtId="164" fontId="11" fillId="49" borderId="1" xfId="1" applyNumberFormat="1" applyFont="1" applyFill="1" applyBorder="1" applyAlignment="1">
      <alignment horizontal="center"/>
    </xf>
    <xf numFmtId="164" fontId="11" fillId="49" borderId="2" xfId="1" applyNumberFormat="1" applyFont="1" applyFill="1" applyBorder="1" applyAlignment="1">
      <alignment horizontal="left"/>
    </xf>
    <xf numFmtId="43" fontId="11" fillId="0" borderId="1" xfId="1" applyFont="1" applyFill="1" applyBorder="1" applyAlignment="1">
      <alignment horizontal="center" wrapText="1"/>
    </xf>
    <xf numFmtId="43" fontId="6" fillId="52" borderId="1" xfId="1" applyFont="1" applyFill="1" applyBorder="1" applyAlignment="1">
      <alignment wrapText="1"/>
    </xf>
    <xf numFmtId="43" fontId="6" fillId="52" borderId="5" xfId="1" applyFont="1" applyFill="1" applyBorder="1" applyAlignment="1">
      <alignment wrapText="1"/>
    </xf>
    <xf numFmtId="43" fontId="18" fillId="46" borderId="14" xfId="1" applyFont="1" applyFill="1" applyBorder="1" applyAlignment="1">
      <alignment horizontal="center" vertical="center" wrapText="1"/>
    </xf>
    <xf numFmtId="43" fontId="24" fillId="48" borderId="14" xfId="1" applyFont="1" applyFill="1" applyBorder="1" applyAlignment="1">
      <alignment horizontal="center" vertical="center" wrapText="1"/>
    </xf>
    <xf numFmtId="43" fontId="6" fillId="47" borderId="1" xfId="1" applyFont="1" applyFill="1" applyBorder="1" applyAlignment="1">
      <alignment horizontal="center" vertical="center" wrapText="1"/>
    </xf>
    <xf numFmtId="43" fontId="13" fillId="0" borderId="1" xfId="1" applyFont="1" applyFill="1" applyBorder="1" applyAlignment="1">
      <alignment horizontal="center"/>
    </xf>
    <xf numFmtId="43" fontId="11" fillId="0" borderId="1" xfId="1" applyFont="1" applyFill="1" applyBorder="1" applyAlignment="1">
      <alignment horizontal="center"/>
    </xf>
    <xf numFmtId="43" fontId="13" fillId="0" borderId="5" xfId="1" applyFont="1" applyFill="1" applyBorder="1" applyAlignment="1">
      <alignment horizontal="center"/>
    </xf>
    <xf numFmtId="43" fontId="13" fillId="4" borderId="1" xfId="1" applyFont="1" applyFill="1" applyBorder="1" applyAlignment="1">
      <alignment horizontal="center" wrapText="1"/>
    </xf>
    <xf numFmtId="43" fontId="13" fillId="4" borderId="2" xfId="1" applyFont="1" applyFill="1" applyBorder="1" applyAlignment="1">
      <alignment horizontal="center" wrapText="1"/>
    </xf>
    <xf numFmtId="43" fontId="29" fillId="4" borderId="1" xfId="1" applyFont="1" applyFill="1" applyBorder="1" applyAlignment="1">
      <alignment horizontal="center" wrapText="1"/>
    </xf>
    <xf numFmtId="43" fontId="13" fillId="0" borderId="2" xfId="1" applyFont="1" applyFill="1" applyBorder="1" applyAlignment="1">
      <alignment horizontal="center" wrapText="1"/>
    </xf>
    <xf numFmtId="43" fontId="22" fillId="4" borderId="1" xfId="1" applyFont="1" applyFill="1" applyBorder="1" applyAlignment="1">
      <alignment horizontal="center" wrapText="1"/>
    </xf>
    <xf numFmtId="43" fontId="13" fillId="0" borderId="8" xfId="1" applyFont="1" applyFill="1" applyBorder="1" applyAlignment="1">
      <alignment horizontal="center" wrapText="1"/>
    </xf>
    <xf numFmtId="43" fontId="29" fillId="0" borderId="8" xfId="1" applyFont="1" applyFill="1" applyBorder="1" applyAlignment="1">
      <alignment horizontal="center" wrapText="1"/>
    </xf>
    <xf numFmtId="43" fontId="13" fillId="0" borderId="17" xfId="1" applyFont="1" applyFill="1" applyBorder="1" applyAlignment="1">
      <alignment horizontal="center" wrapText="1"/>
    </xf>
    <xf numFmtId="43" fontId="13" fillId="0" borderId="1" xfId="1" applyFont="1" applyFill="1" applyBorder="1" applyAlignment="1">
      <alignment horizontal="center" wrapText="1"/>
    </xf>
    <xf numFmtId="43" fontId="22" fillId="0" borderId="1" xfId="1" applyFont="1" applyFill="1" applyBorder="1" applyAlignment="1">
      <alignment horizontal="center" wrapText="1"/>
    </xf>
    <xf numFmtId="43" fontId="13" fillId="0" borderId="5" xfId="1" applyFont="1" applyFill="1" applyBorder="1" applyAlignment="1">
      <alignment horizontal="center" wrapText="1"/>
    </xf>
    <xf numFmtId="43" fontId="13" fillId="0" borderId="16" xfId="1" applyFont="1" applyFill="1" applyBorder="1" applyAlignment="1">
      <alignment horizontal="center" wrapText="1"/>
    </xf>
    <xf numFmtId="43" fontId="13" fillId="0" borderId="1" xfId="1" applyFont="1" applyBorder="1" applyAlignment="1">
      <alignment horizontal="center"/>
    </xf>
    <xf numFmtId="43" fontId="24" fillId="0" borderId="23" xfId="1" applyFont="1" applyFill="1" applyBorder="1" applyAlignment="1">
      <alignment horizontal="center"/>
    </xf>
    <xf numFmtId="43" fontId="5" fillId="49" borderId="15" xfId="1" applyFont="1" applyFill="1" applyBorder="1" applyAlignment="1">
      <alignment horizontal="center" wrapText="1"/>
    </xf>
    <xf numFmtId="43" fontId="5" fillId="49" borderId="15" xfId="1" applyFont="1" applyFill="1" applyBorder="1" applyAlignment="1">
      <alignment horizontal="center" vertical="center" wrapText="1"/>
    </xf>
    <xf numFmtId="43" fontId="5" fillId="46" borderId="14" xfId="1" applyFont="1" applyFill="1" applyBorder="1" applyAlignment="1">
      <alignment horizontal="center" wrapText="1"/>
    </xf>
    <xf numFmtId="43" fontId="5" fillId="46" borderId="7" xfId="1" applyFont="1" applyFill="1" applyBorder="1" applyAlignment="1">
      <alignment horizontal="center" wrapText="1"/>
    </xf>
    <xf numFmtId="43" fontId="11" fillId="0" borderId="0" xfId="1" applyFont="1" applyAlignment="1">
      <alignment horizontal="center"/>
    </xf>
    <xf numFmtId="43" fontId="15" fillId="13" borderId="1" xfId="1" applyFont="1" applyFill="1" applyBorder="1" applyAlignment="1">
      <alignment horizontal="center"/>
    </xf>
    <xf numFmtId="43" fontId="6" fillId="51" borderId="14" xfId="1" applyFont="1" applyFill="1" applyBorder="1" applyAlignment="1">
      <alignment horizontal="center"/>
    </xf>
    <xf numFmtId="43" fontId="19" fillId="0" borderId="0" xfId="1" applyFont="1" applyAlignment="1">
      <alignment horizontal="center"/>
    </xf>
    <xf numFmtId="43" fontId="19" fillId="11" borderId="0" xfId="1" applyFont="1" applyFill="1" applyAlignment="1">
      <alignment horizontal="center"/>
    </xf>
    <xf numFmtId="43" fontId="13" fillId="0" borderId="1" xfId="1" applyFont="1" applyFill="1" applyBorder="1" applyAlignment="1">
      <alignment horizontal="center" vertical="center"/>
    </xf>
    <xf numFmtId="165" fontId="15" fillId="0" borderId="5" xfId="0" applyNumberFormat="1" applyFont="1" applyBorder="1"/>
    <xf numFmtId="1" fontId="11" fillId="0" borderId="2" xfId="1" applyNumberFormat="1" applyFont="1" applyFill="1" applyBorder="1" applyAlignment="1">
      <alignment vertical="center"/>
    </xf>
    <xf numFmtId="164" fontId="24" fillId="15" borderId="37" xfId="1" applyNumberFormat="1" applyFont="1" applyFill="1" applyBorder="1" applyAlignment="1">
      <alignment horizontal="center" vertical="center" wrapText="1"/>
    </xf>
    <xf numFmtId="43" fontId="24" fillId="28" borderId="23" xfId="1" applyFont="1" applyFill="1" applyBorder="1" applyAlignment="1">
      <alignment wrapText="1"/>
    </xf>
    <xf numFmtId="43" fontId="24" fillId="49" borderId="38" xfId="1" applyFont="1" applyFill="1" applyBorder="1"/>
    <xf numFmtId="14" fontId="5" fillId="10" borderId="1" xfId="1" applyNumberFormat="1" applyFont="1" applyFill="1" applyBorder="1" applyAlignment="1">
      <alignment horizontal="center" vertical="center" wrapText="1"/>
    </xf>
    <xf numFmtId="43" fontId="11" fillId="0" borderId="4" xfId="1" applyFont="1" applyFill="1" applyBorder="1" applyAlignment="1">
      <alignment horizontal="center" vertical="center"/>
    </xf>
    <xf numFmtId="1" fontId="11" fillId="25" borderId="1" xfId="1" applyNumberFormat="1" applyFont="1" applyFill="1" applyBorder="1" applyAlignment="1">
      <alignment horizontal="center" vertical="center"/>
    </xf>
    <xf numFmtId="43" fontId="11" fillId="0" borderId="0" xfId="0" applyNumberFormat="1" applyFont="1"/>
    <xf numFmtId="164" fontId="5" fillId="9" borderId="1" xfId="1" applyNumberFormat="1" applyFont="1" applyFill="1" applyBorder="1" applyAlignment="1">
      <alignment horizontal="center" wrapText="1"/>
    </xf>
    <xf numFmtId="164" fontId="39" fillId="0" borderId="5" xfId="0" applyNumberFormat="1" applyFont="1" applyBorder="1"/>
    <xf numFmtId="43" fontId="28" fillId="3" borderId="1" xfId="1" applyFont="1" applyFill="1" applyBorder="1" applyAlignment="1">
      <alignment horizontal="center"/>
    </xf>
    <xf numFmtId="2" fontId="10" fillId="0" borderId="0" xfId="0" applyNumberFormat="1" applyFont="1" applyAlignment="1">
      <alignment horizontal="center"/>
    </xf>
    <xf numFmtId="2" fontId="10" fillId="26" borderId="10" xfId="2" applyNumberFormat="1" applyFont="1" applyFill="1" applyBorder="1" applyAlignment="1">
      <alignment horizontal="center" vertical="center" wrapText="1"/>
    </xf>
    <xf numFmtId="0" fontId="10" fillId="0" borderId="31" xfId="0" applyFont="1" applyBorder="1"/>
    <xf numFmtId="2" fontId="10" fillId="0" borderId="11" xfId="2" applyNumberFormat="1" applyFont="1" applyBorder="1" applyAlignment="1">
      <alignment horizontal="center"/>
    </xf>
    <xf numFmtId="2" fontId="10" fillId="0" borderId="18" xfId="2" applyNumberFormat="1" applyFont="1" applyBorder="1" applyAlignment="1">
      <alignment horizontal="center"/>
    </xf>
    <xf numFmtId="0" fontId="10" fillId="0" borderId="0" xfId="0" applyFont="1"/>
    <xf numFmtId="2" fontId="10" fillId="0" borderId="10" xfId="2" applyNumberFormat="1" applyFont="1" applyBorder="1" applyAlignment="1">
      <alignment horizontal="center"/>
    </xf>
    <xf numFmtId="2" fontId="10" fillId="0" borderId="34" xfId="2" applyNumberFormat="1" applyFont="1" applyBorder="1" applyAlignment="1">
      <alignment horizontal="center"/>
    </xf>
    <xf numFmtId="2" fontId="10" fillId="0" borderId="33" xfId="2" applyNumberFormat="1" applyFont="1" applyBorder="1" applyAlignment="1">
      <alignment horizontal="center"/>
    </xf>
    <xf numFmtId="2" fontId="10" fillId="0" borderId="10" xfId="0" applyNumberFormat="1" applyFont="1" applyBorder="1" applyAlignment="1">
      <alignment horizontal="center"/>
    </xf>
    <xf numFmtId="2" fontId="10" fillId="0" borderId="11" xfId="0" applyNumberFormat="1" applyFont="1" applyBorder="1" applyAlignment="1">
      <alignment horizontal="center"/>
    </xf>
    <xf numFmtId="2" fontId="10" fillId="0" borderId="34" xfId="0" applyNumberFormat="1" applyFont="1" applyBorder="1" applyAlignment="1">
      <alignment horizontal="center"/>
    </xf>
    <xf numFmtId="1" fontId="11" fillId="0" borderId="0" xfId="0" applyNumberFormat="1" applyFont="1"/>
    <xf numFmtId="43" fontId="24" fillId="3" borderId="1" xfId="1" applyFont="1" applyFill="1" applyBorder="1" applyAlignment="1">
      <alignment horizontal="center"/>
    </xf>
    <xf numFmtId="43" fontId="25" fillId="3" borderId="1" xfId="1" applyFont="1" applyFill="1" applyBorder="1" applyAlignment="1">
      <alignment horizontal="center"/>
    </xf>
    <xf numFmtId="43" fontId="49" fillId="56" borderId="1" xfId="1" applyFont="1" applyFill="1" applyBorder="1" applyAlignment="1">
      <alignment wrapText="1"/>
    </xf>
    <xf numFmtId="15" fontId="6" fillId="17" borderId="1" xfId="1" applyNumberFormat="1" applyFont="1" applyFill="1" applyBorder="1" applyAlignment="1">
      <alignment horizontal="center" vertical="center" wrapText="1"/>
    </xf>
    <xf numFmtId="164" fontId="13" fillId="0" borderId="5" xfId="0" applyNumberFormat="1" applyFont="1" applyBorder="1"/>
    <xf numFmtId="43" fontId="6" fillId="0" borderId="1" xfId="1" applyFont="1" applyFill="1" applyBorder="1"/>
    <xf numFmtId="43" fontId="6" fillId="0" borderId="5" xfId="1" applyFont="1" applyFill="1" applyBorder="1"/>
    <xf numFmtId="1" fontId="11" fillId="0" borderId="1" xfId="1" applyNumberFormat="1" applyFont="1" applyFill="1" applyBorder="1" applyAlignment="1">
      <alignment horizontal="center" wrapText="1"/>
    </xf>
    <xf numFmtId="43" fontId="24" fillId="49" borderId="27" xfId="1" applyFont="1" applyFill="1" applyBorder="1"/>
    <xf numFmtId="167" fontId="38" fillId="7" borderId="2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51" fillId="0" borderId="0" xfId="3" applyFont="1"/>
    <xf numFmtId="0" fontId="53" fillId="0" borderId="0" xfId="0" applyFont="1" applyAlignment="1">
      <alignment horizontal="center" vertical="center"/>
    </xf>
    <xf numFmtId="0" fontId="50" fillId="0" borderId="0" xfId="0" applyFont="1"/>
    <xf numFmtId="43" fontId="22" fillId="0" borderId="1" xfId="1" applyFont="1" applyFill="1" applyBorder="1" applyAlignment="1">
      <alignment horizontal="center" vertical="center" wrapText="1"/>
    </xf>
    <xf numFmtId="43" fontId="54" fillId="46" borderId="14" xfId="1" applyFont="1" applyFill="1" applyBorder="1" applyAlignment="1">
      <alignment horizontal="center" vertical="center" wrapText="1"/>
    </xf>
    <xf numFmtId="43" fontId="55" fillId="49" borderId="14" xfId="1" applyFont="1" applyFill="1" applyBorder="1" applyAlignment="1">
      <alignment horizontal="center" vertical="center"/>
    </xf>
    <xf numFmtId="43" fontId="22" fillId="4" borderId="1" xfId="1" applyFont="1" applyFill="1" applyBorder="1" applyAlignment="1">
      <alignment horizontal="center" vertical="center" wrapText="1"/>
    </xf>
    <xf numFmtId="43" fontId="49" fillId="0" borderId="1" xfId="1" applyFont="1" applyFill="1" applyBorder="1" applyAlignment="1">
      <alignment horizontal="center" vertical="center" wrapText="1"/>
    </xf>
    <xf numFmtId="2" fontId="0" fillId="6" borderId="1" xfId="2" applyNumberFormat="1" applyFon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43" fontId="5" fillId="26" borderId="1" xfId="1" applyFont="1" applyFill="1" applyBorder="1" applyAlignment="1">
      <alignment horizontal="center" vertical="center"/>
    </xf>
    <xf numFmtId="43" fontId="56" fillId="48" borderId="14" xfId="1" applyFont="1" applyFill="1" applyBorder="1" applyAlignment="1">
      <alignment horizontal="center" vertical="center" wrapText="1"/>
    </xf>
    <xf numFmtId="43" fontId="11" fillId="24" borderId="1" xfId="1" applyFont="1" applyFill="1" applyBorder="1"/>
    <xf numFmtId="43" fontId="11" fillId="24" borderId="5" xfId="1" applyFont="1" applyFill="1" applyBorder="1"/>
    <xf numFmtId="0" fontId="13" fillId="57" borderId="8" xfId="0" applyFont="1" applyFill="1" applyBorder="1" applyAlignment="1">
      <alignment horizontal="left" vertical="center"/>
    </xf>
    <xf numFmtId="0" fontId="13" fillId="57" borderId="1" xfId="0" applyFont="1" applyFill="1" applyBorder="1" applyAlignment="1">
      <alignment horizontal="left" vertical="center"/>
    </xf>
    <xf numFmtId="0" fontId="6" fillId="57" borderId="8" xfId="0" applyFont="1" applyFill="1" applyBorder="1" applyAlignment="1">
      <alignment horizontal="center" vertical="center"/>
    </xf>
    <xf numFmtId="0" fontId="6" fillId="57" borderId="1" xfId="0" applyFont="1" applyFill="1" applyBorder="1" applyAlignment="1">
      <alignment horizontal="center" vertical="center"/>
    </xf>
    <xf numFmtId="49" fontId="24" fillId="17" borderId="8" xfId="1" applyNumberFormat="1" applyFont="1" applyFill="1" applyBorder="1" applyAlignment="1">
      <alignment horizontal="center" vertical="center" wrapText="1"/>
    </xf>
    <xf numFmtId="43" fontId="24" fillId="47" borderId="3" xfId="1" applyFont="1" applyFill="1" applyBorder="1" applyAlignment="1">
      <alignment wrapText="1"/>
    </xf>
    <xf numFmtId="43" fontId="10" fillId="10" borderId="1" xfId="1" applyFont="1" applyFill="1" applyBorder="1" applyAlignment="1">
      <alignment horizontal="center" vertical="center" wrapText="1"/>
    </xf>
    <xf numFmtId="0" fontId="8" fillId="10" borderId="1" xfId="1" applyNumberFormat="1" applyFont="1" applyFill="1" applyBorder="1" applyAlignment="1">
      <alignment horizontal="center" vertical="center" wrapText="1"/>
    </xf>
    <xf numFmtId="0" fontId="11" fillId="4" borderId="0" xfId="0" applyFont="1" applyFill="1"/>
    <xf numFmtId="43" fontId="13" fillId="0" borderId="1" xfId="1" applyFont="1" applyFill="1" applyBorder="1"/>
    <xf numFmtId="43" fontId="11" fillId="0" borderId="1" xfId="1" applyFont="1" applyFill="1" applyBorder="1"/>
    <xf numFmtId="43" fontId="8" fillId="9" borderId="18" xfId="1" applyFont="1" applyFill="1" applyBorder="1" applyAlignment="1">
      <alignment horizontal="center" vertical="center" wrapText="1"/>
    </xf>
    <xf numFmtId="0" fontId="57" fillId="0" borderId="0" xfId="0" applyFont="1" applyAlignment="1">
      <alignment wrapText="1"/>
    </xf>
    <xf numFmtId="164" fontId="8" fillId="46" borderId="18" xfId="1" applyNumberFormat="1" applyFont="1" applyFill="1" applyBorder="1" applyAlignment="1">
      <alignment horizontal="center" vertical="center" wrapText="1"/>
    </xf>
    <xf numFmtId="0" fontId="5" fillId="26" borderId="8" xfId="1" applyNumberFormat="1" applyFont="1" applyFill="1" applyBorder="1" applyAlignment="1">
      <alignment horizontal="center" vertical="center"/>
    </xf>
    <xf numFmtId="0" fontId="11" fillId="26" borderId="8" xfId="0" applyFont="1" applyFill="1" applyBorder="1" applyAlignment="1">
      <alignment horizontal="left" vertical="center"/>
    </xf>
    <xf numFmtId="43" fontId="57" fillId="46" borderId="7" xfId="1" applyFont="1" applyFill="1" applyBorder="1" applyAlignment="1">
      <alignment horizontal="center" vertical="center" wrapText="1"/>
    </xf>
    <xf numFmtId="0" fontId="5" fillId="46" borderId="8" xfId="1" applyNumberFormat="1" applyFont="1" applyFill="1" applyBorder="1" applyAlignment="1">
      <alignment horizontal="center" vertical="center"/>
    </xf>
    <xf numFmtId="0" fontId="11" fillId="46" borderId="8" xfId="0" applyFont="1" applyFill="1" applyBorder="1" applyAlignment="1">
      <alignment horizontal="left" vertical="center"/>
    </xf>
    <xf numFmtId="43" fontId="11" fillId="46" borderId="14" xfId="1" applyFont="1" applyFill="1" applyBorder="1" applyAlignment="1">
      <alignment horizontal="center" vertical="center" wrapText="1"/>
    </xf>
    <xf numFmtId="164" fontId="5" fillId="46" borderId="26" xfId="1" applyNumberFormat="1" applyFont="1" applyFill="1" applyBorder="1" applyAlignment="1">
      <alignment horizontal="center" vertical="center" wrapText="1"/>
    </xf>
    <xf numFmtId="0" fontId="0" fillId="4" borderId="0" xfId="0" applyFill="1"/>
    <xf numFmtId="43" fontId="5" fillId="49" borderId="12" xfId="1" applyFont="1" applyFill="1" applyBorder="1" applyAlignment="1">
      <alignment horizontal="center" wrapText="1"/>
    </xf>
    <xf numFmtId="43" fontId="5" fillId="49" borderId="7" xfId="1" applyFont="1" applyFill="1" applyBorder="1" applyAlignment="1">
      <alignment horizontal="center" wrapText="1"/>
    </xf>
    <xf numFmtId="164" fontId="24" fillId="58" borderId="0" xfId="1" applyNumberFormat="1" applyFont="1" applyFill="1" applyBorder="1" applyAlignment="1">
      <alignment horizontal="center" vertical="center" wrapText="1"/>
    </xf>
    <xf numFmtId="0" fontId="13" fillId="4" borderId="0" xfId="0" applyFont="1" applyFill="1"/>
    <xf numFmtId="0" fontId="51" fillId="0" borderId="0" xfId="0" applyFont="1"/>
    <xf numFmtId="43" fontId="51" fillId="0" borderId="0" xfId="1" applyFont="1" applyBorder="1"/>
    <xf numFmtId="43" fontId="52" fillId="0" borderId="0" xfId="1" applyFont="1" applyBorder="1"/>
    <xf numFmtId="14" fontId="52" fillId="0" borderId="0" xfId="1" applyNumberFormat="1" applyFont="1" applyBorder="1"/>
    <xf numFmtId="9" fontId="52" fillId="0" borderId="0" xfId="3" applyFont="1" applyBorder="1"/>
    <xf numFmtId="43" fontId="24" fillId="6" borderId="1" xfId="1" applyFont="1" applyFill="1" applyBorder="1" applyAlignment="1">
      <alignment wrapText="1"/>
    </xf>
    <xf numFmtId="15" fontId="6" fillId="12" borderId="1" xfId="1" applyNumberFormat="1" applyFont="1" applyFill="1" applyBorder="1" applyAlignment="1">
      <alignment horizontal="center" vertical="center" wrapText="1"/>
    </xf>
    <xf numFmtId="16" fontId="11" fillId="0" borderId="0" xfId="0" applyNumberFormat="1" applyFont="1"/>
    <xf numFmtId="164" fontId="23" fillId="14" borderId="39" xfId="1" applyNumberFormat="1" applyFont="1" applyFill="1" applyBorder="1" applyAlignment="1">
      <alignment horizontal="center" vertical="center" wrapText="1"/>
    </xf>
    <xf numFmtId="43" fontId="6" fillId="49" borderId="14" xfId="1" applyFont="1" applyFill="1" applyBorder="1"/>
    <xf numFmtId="43" fontId="5" fillId="21" borderId="1" xfId="1" applyFont="1" applyFill="1" applyBorder="1" applyAlignment="1">
      <alignment horizontal="center" vertical="center"/>
    </xf>
    <xf numFmtId="43" fontId="57" fillId="0" borderId="0" xfId="1" applyFont="1" applyAlignment="1">
      <alignment wrapText="1"/>
    </xf>
    <xf numFmtId="1" fontId="14" fillId="0" borderId="1" xfId="1" applyNumberFormat="1" applyFont="1" applyFill="1" applyBorder="1" applyAlignment="1">
      <alignment horizontal="center" vertical="center"/>
    </xf>
    <xf numFmtId="43" fontId="14" fillId="0" borderId="2" xfId="1" applyFont="1" applyFill="1" applyBorder="1" applyAlignment="1">
      <alignment vertical="center"/>
    </xf>
    <xf numFmtId="0" fontId="2" fillId="0" borderId="6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64" fontId="23" fillId="14" borderId="3" xfId="1" applyNumberFormat="1" applyFont="1" applyFill="1" applyBorder="1" applyAlignment="1">
      <alignment horizontal="center" vertical="center" wrapText="1"/>
    </xf>
    <xf numFmtId="43" fontId="13" fillId="0" borderId="0" xfId="0" applyNumberFormat="1" applyFont="1"/>
    <xf numFmtId="0" fontId="6" fillId="4" borderId="8" xfId="0" applyFont="1" applyFill="1" applyBorder="1" applyAlignment="1">
      <alignment horizontal="center" vertical="center"/>
    </xf>
    <xf numFmtId="43" fontId="24" fillId="4" borderId="16" xfId="1" applyFont="1" applyFill="1" applyBorder="1" applyAlignment="1">
      <alignment wrapText="1"/>
    </xf>
    <xf numFmtId="1" fontId="13" fillId="4" borderId="5" xfId="1" applyNumberFormat="1" applyFont="1" applyFill="1" applyBorder="1" applyAlignment="1">
      <alignment horizontal="center"/>
    </xf>
    <xf numFmtId="43" fontId="24" fillId="4" borderId="1" xfId="1" applyFont="1" applyFill="1" applyBorder="1" applyAlignment="1">
      <alignment wrapText="1"/>
    </xf>
    <xf numFmtId="43" fontId="24" fillId="4" borderId="23" xfId="1" applyFont="1" applyFill="1" applyBorder="1" applyAlignment="1">
      <alignment wrapText="1"/>
    </xf>
    <xf numFmtId="1" fontId="14" fillId="4" borderId="1" xfId="1" applyNumberFormat="1" applyFont="1" applyFill="1" applyBorder="1" applyAlignment="1">
      <alignment horizontal="center" vertical="center"/>
    </xf>
    <xf numFmtId="1" fontId="5" fillId="4" borderId="1" xfId="1" applyNumberFormat="1" applyFont="1" applyFill="1" applyBorder="1" applyAlignment="1">
      <alignment horizontal="center"/>
    </xf>
    <xf numFmtId="165" fontId="11" fillId="4" borderId="4" xfId="0" applyNumberFormat="1" applyFont="1" applyFill="1" applyBorder="1" applyAlignment="1">
      <alignment horizontal="center"/>
    </xf>
    <xf numFmtId="43" fontId="11" fillId="4" borderId="1" xfId="1" applyFont="1" applyFill="1" applyBorder="1" applyAlignment="1">
      <alignment horizontal="center"/>
    </xf>
    <xf numFmtId="1" fontId="16" fillId="4" borderId="5" xfId="1" applyNumberFormat="1" applyFont="1" applyFill="1" applyBorder="1" applyAlignment="1">
      <alignment horizontal="center"/>
    </xf>
    <xf numFmtId="166" fontId="11" fillId="4" borderId="5" xfId="1" applyNumberFormat="1" applyFont="1" applyFill="1" applyBorder="1" applyAlignment="1">
      <alignment horizontal="center"/>
    </xf>
    <xf numFmtId="1" fontId="11" fillId="4" borderId="1" xfId="1" applyNumberFormat="1" applyFont="1" applyFill="1" applyBorder="1" applyAlignment="1">
      <alignment horizontal="center"/>
    </xf>
    <xf numFmtId="43" fontId="24" fillId="0" borderId="23" xfId="1" applyFont="1" applyFill="1" applyBorder="1" applyAlignment="1">
      <alignment horizontal="right"/>
    </xf>
    <xf numFmtId="43" fontId="0" fillId="4" borderId="0" xfId="0" applyNumberFormat="1" applyFill="1"/>
    <xf numFmtId="43" fontId="29" fillId="0" borderId="0" xfId="1" applyFont="1"/>
    <xf numFmtId="43" fontId="29" fillId="0" borderId="0" xfId="1" applyFont="1" applyAlignment="1">
      <alignment horizontal="center"/>
    </xf>
    <xf numFmtId="43" fontId="2" fillId="0" borderId="20" xfId="1" applyFont="1" applyBorder="1"/>
    <xf numFmtId="0" fontId="27" fillId="17" borderId="2" xfId="1" applyNumberFormat="1" applyFont="1" applyFill="1" applyBorder="1" applyAlignment="1">
      <alignment horizontal="center" vertical="center" wrapText="1"/>
    </xf>
    <xf numFmtId="43" fontId="11" fillId="0" borderId="5" xfId="1" applyFont="1" applyFill="1" applyBorder="1" applyAlignment="1">
      <alignment horizontal="center" vertical="center" wrapText="1"/>
    </xf>
    <xf numFmtId="43" fontId="5" fillId="0" borderId="5" xfId="1" applyFont="1" applyFill="1" applyBorder="1" applyAlignment="1">
      <alignment horizontal="center" vertical="center" wrapText="1"/>
    </xf>
    <xf numFmtId="1" fontId="11" fillId="25" borderId="5" xfId="1" applyNumberFormat="1" applyFont="1" applyFill="1" applyBorder="1" applyAlignment="1">
      <alignment horizontal="center" vertical="center"/>
    </xf>
    <xf numFmtId="165" fontId="11" fillId="0" borderId="21" xfId="0" applyNumberFormat="1" applyFont="1" applyBorder="1" applyAlignment="1">
      <alignment horizontal="center"/>
    </xf>
    <xf numFmtId="2" fontId="11" fillId="0" borderId="5" xfId="1" applyNumberFormat="1" applyFont="1" applyFill="1" applyBorder="1" applyAlignment="1">
      <alignment horizontal="center"/>
    </xf>
    <xf numFmtId="0" fontId="11" fillId="23" borderId="5" xfId="1" applyNumberFormat="1" applyFont="1" applyFill="1" applyBorder="1" applyAlignment="1">
      <alignment horizontal="center" vertical="center" wrapText="1"/>
    </xf>
    <xf numFmtId="43" fontId="6" fillId="52" borderId="8" xfId="1" applyFont="1" applyFill="1" applyBorder="1" applyAlignment="1">
      <alignment wrapText="1"/>
    </xf>
    <xf numFmtId="1" fontId="18" fillId="46" borderId="7" xfId="1" applyNumberFormat="1" applyFont="1" applyFill="1" applyBorder="1" applyAlignment="1">
      <alignment horizontal="center" vertical="center" wrapText="1"/>
    </xf>
    <xf numFmtId="0" fontId="48" fillId="46" borderId="1" xfId="1" applyNumberFormat="1" applyFont="1" applyFill="1" applyBorder="1" applyAlignment="1">
      <alignment horizontal="left" vertical="center"/>
    </xf>
    <xf numFmtId="0" fontId="48" fillId="4" borderId="1" xfId="0" applyFont="1" applyFill="1" applyBorder="1" applyAlignment="1">
      <alignment horizontal="center" vertical="center" wrapText="1"/>
    </xf>
    <xf numFmtId="0" fontId="58" fillId="49" borderId="1" xfId="0" applyFont="1" applyFill="1" applyBorder="1" applyAlignment="1">
      <alignment horizontal="center" vertical="center"/>
    </xf>
    <xf numFmtId="0" fontId="6" fillId="59" borderId="1" xfId="0" applyFont="1" applyFill="1" applyBorder="1" applyAlignment="1">
      <alignment horizontal="center" vertical="center"/>
    </xf>
    <xf numFmtId="0" fontId="13" fillId="59" borderId="1" xfId="0" applyFont="1" applyFill="1" applyBorder="1" applyAlignment="1">
      <alignment horizontal="left" vertical="center"/>
    </xf>
    <xf numFmtId="15" fontId="12" fillId="9" borderId="39" xfId="1" applyNumberFormat="1" applyFont="1" applyFill="1" applyBorder="1" applyAlignment="1">
      <alignment horizontal="center" vertical="center" wrapText="1"/>
    </xf>
    <xf numFmtId="43" fontId="8" fillId="10" borderId="1" xfId="1" applyFont="1" applyFill="1" applyBorder="1" applyAlignment="1">
      <alignment horizontal="center" vertical="center" wrapText="1"/>
    </xf>
    <xf numFmtId="43" fontId="11" fillId="4" borderId="0" xfId="1" applyFont="1" applyFill="1"/>
    <xf numFmtId="43" fontId="11" fillId="4" borderId="0" xfId="1" applyFont="1" applyFill="1" applyAlignment="1">
      <alignment horizontal="center"/>
    </xf>
    <xf numFmtId="15" fontId="8" fillId="10" borderId="1" xfId="1" applyNumberFormat="1" applyFont="1" applyFill="1" applyBorder="1" applyAlignment="1">
      <alignment horizontal="center" vertical="center" wrapText="1"/>
    </xf>
    <xf numFmtId="15" fontId="5" fillId="8" borderId="1" xfId="1" applyNumberFormat="1" applyFont="1" applyFill="1" applyBorder="1" applyAlignment="1">
      <alignment horizontal="center" vertical="center" wrapText="1"/>
    </xf>
    <xf numFmtId="167" fontId="10" fillId="7" borderId="1" xfId="1" applyNumberFormat="1" applyFont="1" applyFill="1" applyBorder="1" applyAlignment="1">
      <alignment horizontal="center" vertical="center" wrapText="1"/>
    </xf>
    <xf numFmtId="167" fontId="8" fillId="7" borderId="4" xfId="1" applyNumberFormat="1" applyFont="1" applyFill="1" applyBorder="1" applyAlignment="1">
      <alignment horizontal="center" vertical="center" wrapText="1"/>
    </xf>
    <xf numFmtId="0" fontId="27" fillId="17" borderId="1" xfId="1" applyNumberFormat="1" applyFont="1" applyFill="1" applyBorder="1" applyAlignment="1">
      <alignment horizontal="center" vertical="center" wrapText="1"/>
    </xf>
    <xf numFmtId="167" fontId="8" fillId="7" borderId="39" xfId="1" applyNumberFormat="1" applyFont="1" applyFill="1" applyBorder="1" applyAlignment="1">
      <alignment horizontal="center" vertical="center" wrapText="1"/>
    </xf>
    <xf numFmtId="167" fontId="10" fillId="7" borderId="8" xfId="1" applyNumberFormat="1" applyFont="1" applyFill="1" applyBorder="1" applyAlignment="1">
      <alignment horizontal="center" vertical="center" wrapText="1"/>
    </xf>
    <xf numFmtId="167" fontId="7" fillId="7" borderId="39" xfId="1" applyNumberFormat="1" applyFont="1" applyFill="1" applyBorder="1" applyAlignment="1">
      <alignment horizontal="center" vertical="center" wrapText="1"/>
    </xf>
    <xf numFmtId="164" fontId="11" fillId="21" borderId="8" xfId="1" applyNumberFormat="1" applyFont="1" applyFill="1" applyBorder="1" applyAlignment="1">
      <alignment horizontal="center" vertical="center" wrapText="1"/>
    </xf>
    <xf numFmtId="14" fontId="5" fillId="8" borderId="8" xfId="1" applyNumberFormat="1" applyFont="1" applyFill="1" applyBorder="1" applyAlignment="1">
      <alignment horizontal="center" vertical="center" wrapText="1"/>
    </xf>
    <xf numFmtId="43" fontId="13" fillId="0" borderId="8" xfId="1" applyFont="1" applyBorder="1" applyAlignment="1">
      <alignment horizontal="center"/>
    </xf>
    <xf numFmtId="1" fontId="5" fillId="0" borderId="13" xfId="1" applyNumberFormat="1" applyFont="1" applyFill="1" applyBorder="1" applyAlignment="1">
      <alignment horizontal="center" vertical="center"/>
    </xf>
    <xf numFmtId="164" fontId="11" fillId="21" borderId="17" xfId="1" applyNumberFormat="1" applyFont="1" applyFill="1" applyBorder="1" applyAlignment="1">
      <alignment horizontal="center" vertical="center" wrapText="1"/>
    </xf>
    <xf numFmtId="14" fontId="5" fillId="8" borderId="39" xfId="1" applyNumberFormat="1" applyFont="1" applyFill="1" applyBorder="1" applyAlignment="1">
      <alignment horizontal="center" vertical="center" wrapText="1"/>
    </xf>
    <xf numFmtId="43" fontId="5" fillId="21" borderId="8" xfId="1" applyFont="1" applyFill="1" applyBorder="1" applyAlignment="1">
      <alignment horizontal="center" vertical="center"/>
    </xf>
    <xf numFmtId="164" fontId="5" fillId="9" borderId="1" xfId="1" applyNumberFormat="1" applyFont="1" applyFill="1" applyBorder="1" applyAlignment="1">
      <alignment horizontal="center" vertical="center" wrapText="1"/>
    </xf>
    <xf numFmtId="43" fontId="43" fillId="0" borderId="1" xfId="1" applyFont="1" applyBorder="1"/>
    <xf numFmtId="43" fontId="21" fillId="0" borderId="1" xfId="1" applyFont="1" applyBorder="1"/>
    <xf numFmtId="43" fontId="47" fillId="0" borderId="1" xfId="1" applyFont="1" applyBorder="1"/>
    <xf numFmtId="166" fontId="24" fillId="48" borderId="14" xfId="1" applyNumberFormat="1" applyFont="1" applyFill="1" applyBorder="1" applyAlignment="1">
      <alignment horizontal="center" vertical="center" wrapText="1"/>
    </xf>
    <xf numFmtId="43" fontId="0" fillId="0" borderId="0" xfId="0" applyNumberFormat="1"/>
    <xf numFmtId="15" fontId="48" fillId="7" borderId="4" xfId="1" applyNumberFormat="1" applyFont="1" applyFill="1" applyBorder="1" applyAlignment="1">
      <alignment horizontal="center" vertical="center" wrapText="1"/>
    </xf>
    <xf numFmtId="164" fontId="48" fillId="8" borderId="1" xfId="1" applyNumberFormat="1" applyFont="1" applyFill="1" applyBorder="1" applyAlignment="1">
      <alignment horizontal="center" vertical="center" wrapText="1"/>
    </xf>
    <xf numFmtId="0" fontId="10" fillId="0" borderId="1" xfId="1" applyNumberFormat="1" applyFont="1" applyFill="1" applyBorder="1" applyAlignment="1">
      <alignment horizontal="center" vertical="center"/>
    </xf>
    <xf numFmtId="43" fontId="6" fillId="0" borderId="0" xfId="1" applyFont="1" applyFill="1" applyBorder="1" applyAlignment="1">
      <alignment horizontal="center" vertical="center"/>
    </xf>
    <xf numFmtId="43" fontId="55" fillId="0" borderId="0" xfId="1" applyFont="1" applyFill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/>
    <xf numFmtId="0" fontId="10" fillId="0" borderId="0" xfId="1" applyNumberFormat="1" applyFont="1" applyFill="1" applyBorder="1" applyAlignment="1">
      <alignment horizontal="center" vertical="center"/>
    </xf>
    <xf numFmtId="164" fontId="5" fillId="0" borderId="0" xfId="1" applyNumberFormat="1" applyFont="1" applyFill="1" applyBorder="1" applyAlignment="1">
      <alignment horizontal="right" vertical="center"/>
    </xf>
    <xf numFmtId="0" fontId="48" fillId="46" borderId="1" xfId="1" applyNumberFormat="1" applyFont="1" applyFill="1" applyBorder="1" applyAlignment="1">
      <alignment horizontal="center" vertical="center"/>
    </xf>
    <xf numFmtId="0" fontId="5" fillId="4" borderId="6" xfId="1" applyNumberFormat="1" applyFont="1" applyFill="1" applyBorder="1" applyAlignment="1">
      <alignment horizontal="center" vertical="center" wrapText="1"/>
    </xf>
    <xf numFmtId="43" fontId="57" fillId="46" borderId="20" xfId="1" applyFont="1" applyFill="1" applyBorder="1" applyAlignment="1">
      <alignment horizontal="center" vertical="center" wrapText="1"/>
    </xf>
    <xf numFmtId="43" fontId="11" fillId="46" borderId="20" xfId="1" applyFont="1" applyFill="1" applyBorder="1" applyAlignment="1">
      <alignment horizontal="center" vertical="center" wrapText="1"/>
    </xf>
    <xf numFmtId="164" fontId="5" fillId="4" borderId="7" xfId="1" applyNumberFormat="1" applyFont="1" applyFill="1" applyBorder="1" applyAlignment="1">
      <alignment horizontal="center" vertical="center" wrapText="1"/>
    </xf>
    <xf numFmtId="0" fontId="5" fillId="4" borderId="14" xfId="1" applyNumberFormat="1" applyFont="1" applyFill="1" applyBorder="1" applyAlignment="1">
      <alignment horizontal="center" vertical="center" wrapText="1"/>
    </xf>
    <xf numFmtId="0" fontId="5" fillId="4" borderId="14" xfId="1" applyNumberFormat="1" applyFont="1" applyFill="1" applyBorder="1" applyAlignment="1">
      <alignment horizontal="center" vertical="center"/>
    </xf>
    <xf numFmtId="0" fontId="48" fillId="46" borderId="8" xfId="1" applyNumberFormat="1" applyFont="1" applyFill="1" applyBorder="1" applyAlignment="1">
      <alignment horizontal="center" vertical="center"/>
    </xf>
    <xf numFmtId="0" fontId="48" fillId="46" borderId="8" xfId="1" applyNumberFormat="1" applyFont="1" applyFill="1" applyBorder="1" applyAlignment="1">
      <alignment horizontal="left" vertical="center"/>
    </xf>
    <xf numFmtId="0" fontId="48" fillId="26" borderId="8" xfId="1" applyNumberFormat="1" applyFont="1" applyFill="1" applyBorder="1" applyAlignment="1">
      <alignment horizontal="center" vertical="center"/>
    </xf>
    <xf numFmtId="0" fontId="48" fillId="26" borderId="8" xfId="1" applyNumberFormat="1" applyFont="1" applyFill="1" applyBorder="1" applyAlignment="1">
      <alignment horizontal="left" vertical="center"/>
    </xf>
    <xf numFmtId="0" fontId="8" fillId="0" borderId="6" xfId="1" applyNumberFormat="1" applyFont="1" applyFill="1" applyBorder="1" applyAlignment="1">
      <alignment horizontal="center" vertical="center" wrapText="1"/>
    </xf>
    <xf numFmtId="0" fontId="8" fillId="0" borderId="14" xfId="1" applyNumberFormat="1" applyFont="1" applyFill="1" applyBorder="1" applyAlignment="1">
      <alignment horizontal="center" vertical="center" wrapText="1"/>
    </xf>
    <xf numFmtId="0" fontId="10" fillId="0" borderId="14" xfId="1" applyNumberFormat="1" applyFont="1" applyFill="1" applyBorder="1" applyAlignment="1">
      <alignment horizontal="center" vertical="center"/>
    </xf>
    <xf numFmtId="164" fontId="10" fillId="0" borderId="7" xfId="1" applyNumberFormat="1" applyFont="1" applyFill="1" applyBorder="1" applyAlignment="1">
      <alignment horizontal="center" vertical="center" wrapText="1"/>
    </xf>
    <xf numFmtId="0" fontId="2" fillId="10" borderId="1" xfId="1" applyNumberFormat="1" applyFont="1" applyFill="1" applyBorder="1" applyAlignment="1">
      <alignment horizontal="center" vertical="center" wrapText="1"/>
    </xf>
    <xf numFmtId="15" fontId="2" fillId="10" borderId="4" xfId="1" applyNumberFormat="1" applyFont="1" applyFill="1" applyBorder="1" applyAlignment="1">
      <alignment horizontal="center" vertical="center" wrapText="1"/>
    </xf>
    <xf numFmtId="15" fontId="8" fillId="10" borderId="4" xfId="1" applyNumberFormat="1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15" fontId="5" fillId="7" borderId="1" xfId="1" applyNumberFormat="1" applyFont="1" applyFill="1" applyBorder="1" applyAlignment="1">
      <alignment horizontal="center" vertical="center" wrapText="1"/>
    </xf>
    <xf numFmtId="15" fontId="5" fillId="7" borderId="4" xfId="1" applyNumberFormat="1" applyFont="1" applyFill="1" applyBorder="1" applyAlignment="1">
      <alignment horizontal="center" vertical="center" wrapText="1"/>
    </xf>
    <xf numFmtId="164" fontId="5" fillId="8" borderId="4" xfId="1" applyNumberFormat="1" applyFont="1" applyFill="1" applyBorder="1" applyAlignment="1">
      <alignment horizontal="center" vertical="center" wrapText="1"/>
    </xf>
    <xf numFmtId="14" fontId="5" fillId="8" borderId="4" xfId="1" applyNumberFormat="1" applyFont="1" applyFill="1" applyBorder="1" applyAlignment="1">
      <alignment horizontal="center" vertical="center" wrapText="1"/>
    </xf>
    <xf numFmtId="167" fontId="59" fillId="7" borderId="1" xfId="1" applyNumberFormat="1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40" xfId="1" applyNumberFormat="1" applyFont="1" applyFill="1" applyBorder="1" applyAlignment="1">
      <alignment horizontal="center" vertical="center" wrapText="1"/>
    </xf>
    <xf numFmtId="0" fontId="5" fillId="4" borderId="27" xfId="1" applyNumberFormat="1" applyFont="1" applyFill="1" applyBorder="1" applyAlignment="1">
      <alignment horizontal="center" vertical="center" wrapText="1"/>
    </xf>
    <xf numFmtId="0" fontId="5" fillId="4" borderId="27" xfId="1" applyNumberFormat="1" applyFont="1" applyFill="1" applyBorder="1" applyAlignment="1">
      <alignment horizontal="center" vertical="center"/>
    </xf>
    <xf numFmtId="164" fontId="5" fillId="4" borderId="41" xfId="1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top" wrapText="1"/>
    </xf>
    <xf numFmtId="1" fontId="11" fillId="25" borderId="4" xfId="1" applyNumberFormat="1" applyFont="1" applyFill="1" applyBorder="1" applyAlignment="1">
      <alignment horizontal="center" vertical="center"/>
    </xf>
    <xf numFmtId="164" fontId="11" fillId="21" borderId="2" xfId="1" applyNumberFormat="1" applyFont="1" applyFill="1" applyBorder="1" applyAlignment="1">
      <alignment horizontal="center" vertical="center" wrapText="1"/>
    </xf>
    <xf numFmtId="43" fontId="24" fillId="0" borderId="43" xfId="1" applyFont="1" applyFill="1" applyBorder="1" applyAlignment="1">
      <alignment horizontal="center"/>
    </xf>
    <xf numFmtId="43" fontId="11" fillId="49" borderId="20" xfId="1" applyFont="1" applyFill="1" applyBorder="1" applyAlignment="1">
      <alignment horizontal="center" vertical="center" wrapText="1"/>
    </xf>
    <xf numFmtId="43" fontId="11" fillId="49" borderId="14" xfId="1" applyFont="1" applyFill="1" applyBorder="1" applyAlignment="1">
      <alignment horizontal="center" vertical="center" wrapText="1"/>
    </xf>
    <xf numFmtId="164" fontId="5" fillId="49" borderId="18" xfId="1" applyNumberFormat="1" applyFont="1" applyFill="1" applyBorder="1" applyAlignment="1">
      <alignment horizontal="center" vertical="center" wrapText="1"/>
    </xf>
    <xf numFmtId="167" fontId="59" fillId="7" borderId="4" xfId="1" applyNumberFormat="1" applyFont="1" applyFill="1" applyBorder="1" applyAlignment="1">
      <alignment horizontal="center" vertical="center" wrapText="1"/>
    </xf>
    <xf numFmtId="43" fontId="11" fillId="0" borderId="8" xfId="1" applyFont="1" applyFill="1" applyBorder="1" applyAlignment="1">
      <alignment horizontal="center" vertical="center" wrapText="1"/>
    </xf>
    <xf numFmtId="43" fontId="22" fillId="4" borderId="8" xfId="1" applyFont="1" applyFill="1" applyBorder="1" applyAlignment="1">
      <alignment horizontal="center" vertical="center" wrapText="1"/>
    </xf>
    <xf numFmtId="43" fontId="22" fillId="0" borderId="8" xfId="1" applyFont="1" applyFill="1" applyBorder="1" applyAlignment="1">
      <alignment horizontal="center" vertical="center" wrapText="1"/>
    </xf>
    <xf numFmtId="43" fontId="49" fillId="0" borderId="8" xfId="1" applyFont="1" applyFill="1" applyBorder="1" applyAlignment="1">
      <alignment horizontal="center" vertical="center" wrapText="1"/>
    </xf>
    <xf numFmtId="43" fontId="24" fillId="51" borderId="19" xfId="1" applyFont="1" applyFill="1" applyBorder="1" applyAlignment="1">
      <alignment horizontal="center" vertical="center" wrapText="1"/>
    </xf>
    <xf numFmtId="43" fontId="13" fillId="11" borderId="14" xfId="1" applyFont="1" applyFill="1" applyBorder="1" applyAlignment="1">
      <alignment horizontal="center" vertical="center" wrapText="1"/>
    </xf>
    <xf numFmtId="43" fontId="13" fillId="0" borderId="14" xfId="1" applyFont="1" applyFill="1" applyBorder="1" applyAlignment="1">
      <alignment horizontal="center" vertical="center" wrapText="1"/>
    </xf>
    <xf numFmtId="43" fontId="24" fillId="51" borderId="14" xfId="1" applyFont="1" applyFill="1" applyBorder="1" applyAlignment="1">
      <alignment horizontal="center" vertical="center" wrapText="1"/>
    </xf>
    <xf numFmtId="43" fontId="24" fillId="51" borderId="7" xfId="1" applyFont="1" applyFill="1" applyBorder="1" applyAlignment="1">
      <alignment horizontal="center" vertical="center" wrapText="1"/>
    </xf>
    <xf numFmtId="43" fontId="11" fillId="0" borderId="2" xfId="1" applyFont="1" applyBorder="1"/>
    <xf numFmtId="43" fontId="5" fillId="26" borderId="18" xfId="1" applyFont="1" applyFill="1" applyBorder="1" applyAlignment="1">
      <alignment horizontal="center" wrapText="1"/>
    </xf>
    <xf numFmtId="0" fontId="5" fillId="26" borderId="5" xfId="1" applyNumberFormat="1" applyFont="1" applyFill="1" applyBorder="1" applyAlignment="1">
      <alignment horizontal="center" vertical="center"/>
    </xf>
    <xf numFmtId="0" fontId="11" fillId="26" borderId="5" xfId="0" applyFont="1" applyFill="1" applyBorder="1" applyAlignment="1">
      <alignment horizontal="left" vertical="center"/>
    </xf>
    <xf numFmtId="43" fontId="24" fillId="0" borderId="22" xfId="1" applyFont="1" applyFill="1" applyBorder="1" applyAlignment="1">
      <alignment horizontal="center"/>
    </xf>
    <xf numFmtId="43" fontId="5" fillId="26" borderId="14" xfId="1" applyFont="1" applyFill="1" applyBorder="1" applyAlignment="1">
      <alignment horizontal="center" wrapText="1"/>
    </xf>
    <xf numFmtId="1" fontId="5" fillId="26" borderId="7" xfId="1" applyNumberFormat="1" applyFont="1" applyFill="1" applyBorder="1" applyAlignment="1">
      <alignment horizontal="center" wrapText="1"/>
    </xf>
    <xf numFmtId="1" fontId="5" fillId="4" borderId="4" xfId="1" applyNumberFormat="1" applyFont="1" applyFill="1" applyBorder="1" applyAlignment="1">
      <alignment horizontal="center"/>
    </xf>
    <xf numFmtId="1" fontId="5" fillId="9" borderId="1" xfId="0" applyNumberFormat="1" applyFont="1" applyFill="1" applyBorder="1" applyAlignment="1">
      <alignment horizontal="center" wrapText="1"/>
    </xf>
    <xf numFmtId="1" fontId="2" fillId="9" borderId="1" xfId="1" applyNumberFormat="1" applyFont="1" applyFill="1" applyBorder="1" applyAlignment="1">
      <alignment horizontal="center"/>
    </xf>
    <xf numFmtId="1" fontId="2" fillId="9" borderId="4" xfId="1" applyNumberFormat="1" applyFont="1" applyFill="1" applyBorder="1" applyAlignment="1">
      <alignment horizontal="center"/>
    </xf>
    <xf numFmtId="164" fontId="23" fillId="60" borderId="4" xfId="1" applyNumberFormat="1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top" wrapText="1"/>
    </xf>
    <xf numFmtId="43" fontId="15" fillId="15" borderId="1" xfId="1" applyFont="1" applyFill="1" applyBorder="1" applyAlignment="1">
      <alignment horizontal="center"/>
    </xf>
    <xf numFmtId="43" fontId="24" fillId="15" borderId="1" xfId="1" applyFont="1" applyFill="1" applyBorder="1" applyAlignment="1">
      <alignment horizontal="center"/>
    </xf>
    <xf numFmtId="0" fontId="23" fillId="17" borderId="3" xfId="1" applyNumberFormat="1" applyFont="1" applyFill="1" applyBorder="1" applyAlignment="1">
      <alignment horizontal="center" vertical="center" wrapText="1"/>
    </xf>
    <xf numFmtId="1" fontId="13" fillId="6" borderId="1" xfId="1" applyNumberFormat="1" applyFont="1" applyFill="1" applyBorder="1" applyAlignment="1">
      <alignment horizontal="center"/>
    </xf>
    <xf numFmtId="43" fontId="5" fillId="9" borderId="18" xfId="1" applyFont="1" applyFill="1" applyBorder="1" applyAlignment="1">
      <alignment horizontal="center" vertical="center" wrapText="1"/>
    </xf>
    <xf numFmtId="16" fontId="0" fillId="11" borderId="0" xfId="0" applyNumberFormat="1" applyFill="1"/>
    <xf numFmtId="43" fontId="62" fillId="26" borderId="1" xfId="1" applyFont="1" applyFill="1" applyBorder="1" applyAlignment="1">
      <alignment horizontal="center" vertical="center"/>
    </xf>
    <xf numFmtId="164" fontId="13" fillId="0" borderId="0" xfId="0" applyNumberFormat="1" applyFont="1"/>
    <xf numFmtId="14" fontId="0" fillId="11" borderId="0" xfId="1" applyNumberFormat="1" applyFont="1" applyFill="1" applyBorder="1"/>
    <xf numFmtId="43" fontId="0" fillId="11" borderId="0" xfId="1" applyFont="1" applyFill="1" applyBorder="1"/>
    <xf numFmtId="43" fontId="60" fillId="15" borderId="5" xfId="1" applyFont="1" applyFill="1" applyBorder="1" applyAlignment="1">
      <alignment horizontal="center" vertical="center" wrapText="1"/>
    </xf>
    <xf numFmtId="43" fontId="60" fillId="15" borderId="8" xfId="1" applyFont="1" applyFill="1" applyBorder="1" applyAlignment="1">
      <alignment horizontal="center" vertical="center" wrapText="1"/>
    </xf>
    <xf numFmtId="0" fontId="5" fillId="33" borderId="12" xfId="0" applyFont="1" applyFill="1" applyBorder="1" applyAlignment="1">
      <alignment horizontal="right" vertical="center"/>
    </xf>
    <xf numFmtId="0" fontId="5" fillId="33" borderId="20" xfId="0" applyFont="1" applyFill="1" applyBorder="1" applyAlignment="1">
      <alignment horizontal="right" vertical="center"/>
    </xf>
    <xf numFmtId="0" fontId="5" fillId="46" borderId="12" xfId="0" applyFont="1" applyFill="1" applyBorder="1" applyAlignment="1">
      <alignment horizontal="right" vertical="center"/>
    </xf>
    <xf numFmtId="0" fontId="5" fillId="46" borderId="20" xfId="0" applyFont="1" applyFill="1" applyBorder="1" applyAlignment="1">
      <alignment horizontal="right" vertical="center"/>
    </xf>
    <xf numFmtId="164" fontId="27" fillId="15" borderId="1" xfId="1" applyNumberFormat="1" applyFont="1" applyFill="1" applyBorder="1" applyAlignment="1">
      <alignment horizontal="center" vertical="center" wrapText="1"/>
    </xf>
    <xf numFmtId="164" fontId="27" fillId="0" borderId="1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8" fillId="49" borderId="12" xfId="0" applyFont="1" applyFill="1" applyBorder="1" applyAlignment="1">
      <alignment horizontal="right" vertical="center"/>
    </xf>
    <xf numFmtId="0" fontId="8" fillId="49" borderId="20" xfId="0" applyFont="1" applyFill="1" applyBorder="1" applyAlignment="1">
      <alignment horizontal="right" vertical="center"/>
    </xf>
    <xf numFmtId="43" fontId="41" fillId="15" borderId="27" xfId="1" applyFont="1" applyFill="1" applyBorder="1" applyAlignment="1">
      <alignment horizontal="center" vertical="center" wrapText="1"/>
    </xf>
    <xf numFmtId="43" fontId="41" fillId="15" borderId="8" xfId="1" applyFont="1" applyFill="1" applyBorder="1" applyAlignment="1">
      <alignment horizontal="center" vertical="center" wrapText="1"/>
    </xf>
    <xf numFmtId="164" fontId="23" fillId="12" borderId="35" xfId="1" applyNumberFormat="1" applyFont="1" applyFill="1" applyBorder="1" applyAlignment="1">
      <alignment horizontal="center" vertical="center" wrapText="1"/>
    </xf>
    <xf numFmtId="164" fontId="23" fillId="12" borderId="30" xfId="1" applyNumberFormat="1" applyFont="1" applyFill="1" applyBorder="1" applyAlignment="1">
      <alignment horizontal="center" vertical="center" wrapText="1"/>
    </xf>
    <xf numFmtId="164" fontId="23" fillId="12" borderId="36" xfId="1" applyNumberFormat="1" applyFont="1" applyFill="1" applyBorder="1" applyAlignment="1">
      <alignment horizontal="center" vertical="center" wrapText="1"/>
    </xf>
    <xf numFmtId="164" fontId="6" fillId="14" borderId="2" xfId="1" applyNumberFormat="1" applyFont="1" applyFill="1" applyBorder="1" applyAlignment="1">
      <alignment horizontal="center" vertical="center" wrapText="1"/>
    </xf>
    <xf numFmtId="164" fontId="6" fillId="14" borderId="3" xfId="1" applyNumberFormat="1" applyFont="1" applyFill="1" applyBorder="1" applyAlignment="1">
      <alignment horizontal="center" vertical="center" wrapText="1"/>
    </xf>
    <xf numFmtId="164" fontId="6" fillId="14" borderId="4" xfId="1" applyNumberFormat="1" applyFont="1" applyFill="1" applyBorder="1" applyAlignment="1">
      <alignment horizontal="center" vertical="center" wrapText="1"/>
    </xf>
    <xf numFmtId="0" fontId="23" fillId="17" borderId="2" xfId="1" applyNumberFormat="1" applyFont="1" applyFill="1" applyBorder="1" applyAlignment="1">
      <alignment horizontal="center" vertical="center" wrapText="1"/>
    </xf>
    <xf numFmtId="0" fontId="23" fillId="17" borderId="3" xfId="1" applyNumberFormat="1" applyFont="1" applyFill="1" applyBorder="1" applyAlignment="1">
      <alignment horizontal="center" vertical="center" wrapText="1"/>
    </xf>
    <xf numFmtId="17" fontId="40" fillId="18" borderId="1" xfId="0" applyNumberFormat="1" applyFont="1" applyFill="1" applyBorder="1" applyAlignment="1">
      <alignment horizontal="center"/>
    </xf>
    <xf numFmtId="43" fontId="25" fillId="3" borderId="5" xfId="1" applyFont="1" applyFill="1" applyBorder="1" applyAlignment="1">
      <alignment horizontal="center" vertical="center"/>
    </xf>
    <xf numFmtId="43" fontId="25" fillId="3" borderId="8" xfId="1" applyFont="1" applyFill="1" applyBorder="1" applyAlignment="1">
      <alignment horizontal="center" vertical="center"/>
    </xf>
    <xf numFmtId="17" fontId="40" fillId="18" borderId="2" xfId="0" applyNumberFormat="1" applyFont="1" applyFill="1" applyBorder="1" applyAlignment="1">
      <alignment horizontal="center"/>
    </xf>
    <xf numFmtId="17" fontId="40" fillId="18" borderId="3" xfId="0" applyNumberFormat="1" applyFont="1" applyFill="1" applyBorder="1" applyAlignment="1">
      <alignment horizontal="center"/>
    </xf>
    <xf numFmtId="0" fontId="2" fillId="30" borderId="24" xfId="0" applyFont="1" applyFill="1" applyBorder="1" applyAlignment="1">
      <alignment horizontal="center"/>
    </xf>
    <xf numFmtId="0" fontId="2" fillId="30" borderId="25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4" fillId="32" borderId="24" xfId="0" applyFont="1" applyFill="1" applyBorder="1" applyAlignment="1">
      <alignment horizontal="center"/>
    </xf>
    <xf numFmtId="0" fontId="24" fillId="32" borderId="25" xfId="0" applyFont="1" applyFill="1" applyBorder="1" applyAlignment="1">
      <alignment horizontal="center"/>
    </xf>
    <xf numFmtId="0" fontId="2" fillId="42" borderId="29" xfId="0" applyFont="1" applyFill="1" applyBorder="1" applyAlignment="1">
      <alignment horizontal="center"/>
    </xf>
    <xf numFmtId="0" fontId="2" fillId="42" borderId="30" xfId="0" applyFont="1" applyFill="1" applyBorder="1" applyAlignment="1">
      <alignment horizontal="center"/>
    </xf>
    <xf numFmtId="0" fontId="24" fillId="26" borderId="24" xfId="0" applyFont="1" applyFill="1" applyBorder="1" applyAlignment="1">
      <alignment horizontal="center"/>
    </xf>
    <xf numFmtId="0" fontId="24" fillId="26" borderId="25" xfId="0" applyFont="1" applyFill="1" applyBorder="1" applyAlignment="1">
      <alignment horizontal="center"/>
    </xf>
    <xf numFmtId="0" fontId="8" fillId="21" borderId="6" xfId="0" applyFont="1" applyFill="1" applyBorder="1" applyAlignment="1">
      <alignment horizontal="right" vertical="center"/>
    </xf>
    <xf numFmtId="0" fontId="8" fillId="21" borderId="14" xfId="0" applyFont="1" applyFill="1" applyBorder="1" applyAlignment="1">
      <alignment horizontal="right" vertical="center"/>
    </xf>
    <xf numFmtId="0" fontId="5" fillId="20" borderId="6" xfId="0" applyFont="1" applyFill="1" applyBorder="1" applyAlignment="1">
      <alignment horizontal="right" vertical="center"/>
    </xf>
    <xf numFmtId="0" fontId="5" fillId="20" borderId="14" xfId="0" applyFont="1" applyFill="1" applyBorder="1" applyAlignment="1">
      <alignment horizontal="right" vertical="center"/>
    </xf>
    <xf numFmtId="0" fontId="33" fillId="6" borderId="8" xfId="0" applyFont="1" applyFill="1" applyBorder="1" applyAlignment="1">
      <alignment horizontal="center" vertical="center" textRotation="90"/>
    </xf>
    <xf numFmtId="0" fontId="33" fillId="6" borderId="1" xfId="0" applyFont="1" applyFill="1" applyBorder="1" applyAlignment="1">
      <alignment horizontal="center" vertical="center" textRotation="90"/>
    </xf>
    <xf numFmtId="0" fontId="33" fillId="6" borderId="2" xfId="0" applyFont="1" applyFill="1" applyBorder="1" applyAlignment="1">
      <alignment horizontal="center" vertical="center" textRotation="90"/>
    </xf>
    <xf numFmtId="0" fontId="17" fillId="0" borderId="12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0" borderId="26" xfId="0" applyFont="1" applyBorder="1" applyAlignment="1">
      <alignment horizontal="center"/>
    </xf>
    <xf numFmtId="0" fontId="5" fillId="6" borderId="6" xfId="0" applyFont="1" applyFill="1" applyBorder="1" applyAlignment="1">
      <alignment horizontal="right" vertical="center"/>
    </xf>
    <xf numFmtId="0" fontId="5" fillId="6" borderId="14" xfId="0" applyFont="1" applyFill="1" applyBorder="1" applyAlignment="1">
      <alignment horizontal="right" vertical="center"/>
    </xf>
    <xf numFmtId="0" fontId="32" fillId="39" borderId="1" xfId="0" applyFont="1" applyFill="1" applyBorder="1" applyAlignment="1">
      <alignment horizontal="center" vertical="center" textRotation="90"/>
    </xf>
    <xf numFmtId="0" fontId="32" fillId="39" borderId="2" xfId="0" applyFont="1" applyFill="1" applyBorder="1" applyAlignment="1">
      <alignment horizontal="center" vertical="center" textRotation="90"/>
    </xf>
    <xf numFmtId="0" fontId="5" fillId="30" borderId="6" xfId="0" applyFont="1" applyFill="1" applyBorder="1" applyAlignment="1">
      <alignment horizontal="right" vertical="center"/>
    </xf>
    <xf numFmtId="0" fontId="5" fillId="30" borderId="14" xfId="0" applyFont="1" applyFill="1" applyBorder="1" applyAlignment="1">
      <alignment horizontal="right" vertical="center"/>
    </xf>
    <xf numFmtId="0" fontId="31" fillId="30" borderId="1" xfId="0" applyFont="1" applyFill="1" applyBorder="1" applyAlignment="1">
      <alignment horizontal="center" vertical="center" textRotation="90"/>
    </xf>
    <xf numFmtId="0" fontId="31" fillId="30" borderId="2" xfId="0" applyFont="1" applyFill="1" applyBorder="1" applyAlignment="1">
      <alignment horizontal="center" vertical="center" textRotation="90"/>
    </xf>
    <xf numFmtId="0" fontId="5" fillId="31" borderId="6" xfId="0" applyFont="1" applyFill="1" applyBorder="1" applyAlignment="1">
      <alignment horizontal="right" vertical="center"/>
    </xf>
    <xf numFmtId="0" fontId="5" fillId="31" borderId="14" xfId="0" applyFont="1" applyFill="1" applyBorder="1" applyAlignment="1">
      <alignment horizontal="right" vertical="center"/>
    </xf>
    <xf numFmtId="0" fontId="31" fillId="31" borderId="1" xfId="0" applyFont="1" applyFill="1" applyBorder="1" applyAlignment="1">
      <alignment horizontal="center" vertical="center" textRotation="90"/>
    </xf>
    <xf numFmtId="0" fontId="31" fillId="31" borderId="2" xfId="0" applyFont="1" applyFill="1" applyBorder="1" applyAlignment="1">
      <alignment horizontal="center" vertical="center" textRotation="90"/>
    </xf>
    <xf numFmtId="0" fontId="33" fillId="26" borderId="1" xfId="0" applyFont="1" applyFill="1" applyBorder="1" applyAlignment="1">
      <alignment horizontal="center" vertical="center" textRotation="90"/>
    </xf>
    <xf numFmtId="0" fontId="33" fillId="26" borderId="2" xfId="0" applyFont="1" applyFill="1" applyBorder="1" applyAlignment="1">
      <alignment horizontal="center" vertical="center" textRotation="90"/>
    </xf>
    <xf numFmtId="0" fontId="2" fillId="41" borderId="1" xfId="0" applyFont="1" applyFill="1" applyBorder="1" applyAlignment="1">
      <alignment horizontal="center"/>
    </xf>
    <xf numFmtId="9" fontId="36" fillId="0" borderId="1" xfId="3" applyFont="1" applyBorder="1" applyAlignment="1">
      <alignment horizontal="center"/>
    </xf>
    <xf numFmtId="9" fontId="36" fillId="40" borderId="14" xfId="3" applyFont="1" applyFill="1" applyBorder="1" applyAlignment="1">
      <alignment horizontal="center"/>
    </xf>
    <xf numFmtId="9" fontId="36" fillId="40" borderId="7" xfId="3" applyFont="1" applyFill="1" applyBorder="1" applyAlignment="1">
      <alignment horizontal="center"/>
    </xf>
    <xf numFmtId="0" fontId="5" fillId="39" borderId="6" xfId="0" applyFont="1" applyFill="1" applyBorder="1" applyAlignment="1">
      <alignment horizontal="right" vertical="center"/>
    </xf>
    <xf numFmtId="0" fontId="5" fillId="39" borderId="14" xfId="0" applyFont="1" applyFill="1" applyBorder="1" applyAlignment="1">
      <alignment horizontal="right" vertical="center"/>
    </xf>
    <xf numFmtId="0" fontId="5" fillId="26" borderId="6" xfId="0" applyFont="1" applyFill="1" applyBorder="1" applyAlignment="1">
      <alignment horizontal="right" vertical="center"/>
    </xf>
    <xf numFmtId="0" fontId="5" fillId="26" borderId="14" xfId="0" applyFont="1" applyFill="1" applyBorder="1" applyAlignment="1">
      <alignment horizontal="right" vertical="center"/>
    </xf>
    <xf numFmtId="0" fontId="10" fillId="21" borderId="1" xfId="0" applyFont="1" applyFill="1" applyBorder="1" applyAlignment="1">
      <alignment horizontal="right" vertical="center" indent="4"/>
    </xf>
    <xf numFmtId="0" fontId="10" fillId="20" borderId="5" xfId="0" applyFont="1" applyFill="1" applyBorder="1" applyAlignment="1">
      <alignment horizontal="right" vertical="center" indent="4"/>
    </xf>
    <xf numFmtId="0" fontId="10" fillId="40" borderId="6" xfId="0" applyFont="1" applyFill="1" applyBorder="1" applyAlignment="1">
      <alignment horizontal="right" vertical="center" indent="2"/>
    </xf>
    <xf numFmtId="0" fontId="10" fillId="40" borderId="14" xfId="0" applyFont="1" applyFill="1" applyBorder="1" applyAlignment="1">
      <alignment horizontal="right" vertical="center" indent="2"/>
    </xf>
    <xf numFmtId="0" fontId="24" fillId="17" borderId="1" xfId="1" applyNumberFormat="1" applyFont="1" applyFill="1" applyBorder="1" applyAlignment="1">
      <alignment horizontal="center" vertical="center" wrapText="1"/>
    </xf>
    <xf numFmtId="166" fontId="2" fillId="0" borderId="1" xfId="1" applyNumberFormat="1" applyFont="1" applyBorder="1" applyAlignment="1">
      <alignment horizontal="center" vertical="center" wrapText="1"/>
    </xf>
    <xf numFmtId="0" fontId="18" fillId="16" borderId="2" xfId="1" applyNumberFormat="1" applyFont="1" applyFill="1" applyBorder="1" applyAlignment="1">
      <alignment horizontal="center" vertical="center" wrapText="1"/>
    </xf>
    <xf numFmtId="0" fontId="18" fillId="16" borderId="4" xfId="1" applyNumberFormat="1" applyFont="1" applyFill="1" applyBorder="1" applyAlignment="1">
      <alignment horizontal="center" vertical="center" wrapText="1"/>
    </xf>
    <xf numFmtId="15" fontId="12" fillId="9" borderId="1" xfId="1" applyNumberFormat="1" applyFont="1" applyFill="1" applyBorder="1" applyAlignment="1">
      <alignment horizontal="center" vertical="center" wrapText="1"/>
    </xf>
    <xf numFmtId="164" fontId="23" fillId="12" borderId="2" xfId="1" applyNumberFormat="1" applyFont="1" applyFill="1" applyBorder="1" applyAlignment="1">
      <alignment horizontal="center" vertical="center" wrapText="1"/>
    </xf>
    <xf numFmtId="164" fontId="23" fillId="12" borderId="3" xfId="1" applyNumberFormat="1" applyFont="1" applyFill="1" applyBorder="1" applyAlignment="1">
      <alignment horizontal="center" vertical="center" wrapText="1"/>
    </xf>
    <xf numFmtId="164" fontId="23" fillId="12" borderId="4" xfId="1" applyNumberFormat="1" applyFont="1" applyFill="1" applyBorder="1" applyAlignment="1">
      <alignment horizontal="center" vertical="center" wrapText="1"/>
    </xf>
    <xf numFmtId="164" fontId="2" fillId="8" borderId="2" xfId="1" applyNumberFormat="1" applyFont="1" applyFill="1" applyBorder="1" applyAlignment="1">
      <alignment horizontal="center" vertical="center" wrapText="1"/>
    </xf>
    <xf numFmtId="164" fontId="2" fillId="8" borderId="3" xfId="1" applyNumberFormat="1" applyFont="1" applyFill="1" applyBorder="1" applyAlignment="1">
      <alignment horizontal="center" vertical="center" wrapText="1"/>
    </xf>
    <xf numFmtId="164" fontId="2" fillId="8" borderId="4" xfId="1" applyNumberFormat="1" applyFont="1" applyFill="1" applyBorder="1" applyAlignment="1">
      <alignment horizontal="center" vertical="center" wrapText="1"/>
    </xf>
    <xf numFmtId="164" fontId="61" fillId="9" borderId="1" xfId="1" applyNumberFormat="1" applyFont="1" applyFill="1" applyBorder="1" applyAlignment="1">
      <alignment horizontal="center" vertical="center" wrapText="1"/>
    </xf>
    <xf numFmtId="164" fontId="61" fillId="9" borderId="21" xfId="1" applyNumberFormat="1" applyFont="1" applyFill="1" applyBorder="1" applyAlignment="1">
      <alignment horizontal="center" vertical="center" wrapText="1"/>
    </xf>
    <xf numFmtId="164" fontId="61" fillId="9" borderId="39" xfId="1" applyNumberFormat="1" applyFont="1" applyFill="1" applyBorder="1" applyAlignment="1">
      <alignment horizontal="center" vertical="center" wrapText="1"/>
    </xf>
    <xf numFmtId="164" fontId="5" fillId="49" borderId="6" xfId="1" applyNumberFormat="1" applyFont="1" applyFill="1" applyBorder="1" applyAlignment="1">
      <alignment horizontal="right" vertical="center"/>
    </xf>
    <xf numFmtId="164" fontId="5" fillId="49" borderId="14" xfId="1" applyNumberFormat="1" applyFont="1" applyFill="1" applyBorder="1" applyAlignment="1">
      <alignment horizontal="right" vertical="center"/>
    </xf>
    <xf numFmtId="164" fontId="5" fillId="49" borderId="15" xfId="1" applyNumberFormat="1" applyFont="1" applyFill="1" applyBorder="1" applyAlignment="1">
      <alignment horizontal="right" vertical="center"/>
    </xf>
    <xf numFmtId="15" fontId="48" fillId="7" borderId="2" xfId="1" applyNumberFormat="1" applyFont="1" applyFill="1" applyBorder="1" applyAlignment="1">
      <alignment horizontal="center" vertical="center" wrapText="1"/>
    </xf>
    <xf numFmtId="15" fontId="48" fillId="7" borderId="3" xfId="1" applyNumberFormat="1" applyFont="1" applyFill="1" applyBorder="1" applyAlignment="1">
      <alignment horizontal="center" vertical="center" wrapText="1"/>
    </xf>
    <xf numFmtId="15" fontId="48" fillId="7" borderId="4" xfId="1" applyNumberFormat="1" applyFont="1" applyFill="1" applyBorder="1" applyAlignment="1">
      <alignment horizontal="center" vertical="center" wrapText="1"/>
    </xf>
    <xf numFmtId="164" fontId="8" fillId="8" borderId="2" xfId="1" applyNumberFormat="1" applyFont="1" applyFill="1" applyBorder="1" applyAlignment="1">
      <alignment horizontal="center" vertical="top" wrapText="1"/>
    </xf>
    <xf numFmtId="164" fontId="8" fillId="8" borderId="3" xfId="1" applyNumberFormat="1" applyFont="1" applyFill="1" applyBorder="1" applyAlignment="1">
      <alignment horizontal="center" vertical="top" wrapText="1"/>
    </xf>
    <xf numFmtId="164" fontId="8" fillId="8" borderId="4" xfId="1" applyNumberFormat="1" applyFont="1" applyFill="1" applyBorder="1" applyAlignment="1">
      <alignment horizontal="center" vertical="top" wrapText="1"/>
    </xf>
    <xf numFmtId="164" fontId="5" fillId="9" borderId="5" xfId="1" applyNumberFormat="1" applyFont="1" applyFill="1" applyBorder="1" applyAlignment="1">
      <alignment horizontal="center" vertical="center" wrapText="1"/>
    </xf>
    <xf numFmtId="164" fontId="5" fillId="9" borderId="8" xfId="1" applyNumberFormat="1" applyFont="1" applyFill="1" applyBorder="1" applyAlignment="1">
      <alignment horizontal="center" vertical="center" wrapText="1"/>
    </xf>
    <xf numFmtId="164" fontId="8" fillId="9" borderId="5" xfId="1" applyNumberFormat="1" applyFont="1" applyFill="1" applyBorder="1" applyAlignment="1">
      <alignment horizontal="center" vertical="center" wrapText="1"/>
    </xf>
    <xf numFmtId="164" fontId="8" fillId="9" borderId="8" xfId="1" applyNumberFormat="1" applyFont="1" applyFill="1" applyBorder="1" applyAlignment="1">
      <alignment horizontal="center" vertical="center" wrapText="1"/>
    </xf>
    <xf numFmtId="0" fontId="27" fillId="17" borderId="1" xfId="1" applyNumberFormat="1" applyFont="1" applyFill="1" applyBorder="1" applyAlignment="1">
      <alignment horizontal="center" vertical="center" wrapText="1"/>
    </xf>
    <xf numFmtId="164" fontId="48" fillId="0" borderId="17" xfId="1" applyNumberFormat="1" applyFont="1" applyFill="1" applyBorder="1" applyAlignment="1">
      <alignment horizontal="center" vertical="center" wrapText="1"/>
    </xf>
    <xf numFmtId="164" fontId="48" fillId="0" borderId="39" xfId="1" applyNumberFormat="1" applyFont="1" applyFill="1" applyBorder="1" applyAlignment="1">
      <alignment horizontal="center" vertical="center" wrapText="1"/>
    </xf>
    <xf numFmtId="15" fontId="12" fillId="9" borderId="8" xfId="1" applyNumberFormat="1" applyFont="1" applyFill="1" applyBorder="1" applyAlignment="1">
      <alignment horizontal="center" vertical="center" wrapText="1"/>
    </xf>
    <xf numFmtId="164" fontId="5" fillId="46" borderId="6" xfId="1" applyNumberFormat="1" applyFont="1" applyFill="1" applyBorder="1" applyAlignment="1">
      <alignment horizontal="right" vertical="center"/>
    </xf>
    <xf numFmtId="164" fontId="5" fillId="46" borderId="7" xfId="1" applyNumberFormat="1" applyFont="1" applyFill="1" applyBorder="1" applyAlignment="1">
      <alignment horizontal="right" vertical="center"/>
    </xf>
    <xf numFmtId="164" fontId="5" fillId="0" borderId="1" xfId="1" applyNumberFormat="1" applyFont="1" applyFill="1" applyBorder="1" applyAlignment="1">
      <alignment horizontal="right" vertical="center"/>
    </xf>
    <xf numFmtId="164" fontId="8" fillId="8" borderId="2" xfId="1" applyNumberFormat="1" applyFont="1" applyFill="1" applyBorder="1" applyAlignment="1">
      <alignment horizontal="center" vertical="center" wrapText="1"/>
    </xf>
    <xf numFmtId="164" fontId="8" fillId="8" borderId="3" xfId="1" applyNumberFormat="1" applyFont="1" applyFill="1" applyBorder="1" applyAlignment="1">
      <alignment horizontal="center" vertical="center" wrapText="1"/>
    </xf>
    <xf numFmtId="164" fontId="8" fillId="8" borderId="4" xfId="1" applyNumberFormat="1" applyFont="1" applyFill="1" applyBorder="1" applyAlignment="1">
      <alignment horizontal="center" vertical="center" wrapText="1"/>
    </xf>
    <xf numFmtId="16" fontId="5" fillId="0" borderId="1" xfId="1" applyNumberFormat="1" applyFont="1" applyFill="1" applyBorder="1" applyAlignment="1">
      <alignment horizontal="center" vertical="center" wrapText="1"/>
    </xf>
    <xf numFmtId="43" fontId="5" fillId="21" borderId="5" xfId="1" applyFont="1" applyFill="1" applyBorder="1" applyAlignment="1">
      <alignment horizontal="center" vertical="center" wrapText="1"/>
    </xf>
    <xf numFmtId="43" fontId="5" fillId="21" borderId="9" xfId="1" applyFont="1" applyFill="1" applyBorder="1" applyAlignment="1">
      <alignment horizontal="center" vertical="center" wrapText="1"/>
    </xf>
    <xf numFmtId="43" fontId="5" fillId="21" borderId="8" xfId="1" applyFont="1" applyFill="1" applyBorder="1" applyAlignment="1">
      <alignment horizontal="center" vertical="center" wrapText="1"/>
    </xf>
    <xf numFmtId="43" fontId="5" fillId="21" borderId="42" xfId="1" applyFont="1" applyFill="1" applyBorder="1" applyAlignment="1">
      <alignment horizontal="center" vertical="center" wrapText="1"/>
    </xf>
    <xf numFmtId="43" fontId="5" fillId="21" borderId="39" xfId="1" applyFont="1" applyFill="1" applyBorder="1" applyAlignment="1">
      <alignment horizontal="center" vertical="center" wrapText="1"/>
    </xf>
    <xf numFmtId="43" fontId="8" fillId="21" borderId="21" xfId="1" applyFont="1" applyFill="1" applyBorder="1" applyAlignment="1">
      <alignment horizontal="center" vertical="center" wrapText="1"/>
    </xf>
    <xf numFmtId="43" fontId="8" fillId="21" borderId="42" xfId="1" applyFont="1" applyFill="1" applyBorder="1" applyAlignment="1">
      <alignment horizontal="center" vertical="center" wrapText="1"/>
    </xf>
    <xf numFmtId="43" fontId="8" fillId="21" borderId="39" xfId="1" applyFont="1" applyFill="1" applyBorder="1" applyAlignment="1">
      <alignment horizontal="center" vertical="center" wrapText="1"/>
    </xf>
    <xf numFmtId="164" fontId="48" fillId="8" borderId="1" xfId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7" fillId="17" borderId="2" xfId="1" applyNumberFormat="1" applyFont="1" applyFill="1" applyBorder="1" applyAlignment="1">
      <alignment horizontal="center" vertical="center" wrapText="1"/>
    </xf>
    <xf numFmtId="0" fontId="27" fillId="17" borderId="8" xfId="1" applyNumberFormat="1" applyFont="1" applyFill="1" applyBorder="1" applyAlignment="1">
      <alignment horizontal="center" vertical="center" wrapText="1"/>
    </xf>
    <xf numFmtId="164" fontId="48" fillId="8" borderId="8" xfId="1" applyNumberFormat="1" applyFont="1" applyFill="1" applyBorder="1" applyAlignment="1">
      <alignment horizontal="center" vertical="center" wrapText="1"/>
    </xf>
    <xf numFmtId="164" fontId="48" fillId="8" borderId="17" xfId="1" applyNumberFormat="1" applyFont="1" applyFill="1" applyBorder="1" applyAlignment="1">
      <alignment horizontal="center" vertical="center" wrapText="1"/>
    </xf>
    <xf numFmtId="164" fontId="48" fillId="8" borderId="2" xfId="1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64" fontId="5" fillId="46" borderId="1" xfId="1" applyNumberFormat="1" applyFont="1" applyFill="1" applyBorder="1" applyAlignment="1">
      <alignment horizontal="right" vertical="center"/>
    </xf>
    <xf numFmtId="164" fontId="5" fillId="26" borderId="12" xfId="1" applyNumberFormat="1" applyFont="1" applyFill="1" applyBorder="1" applyAlignment="1">
      <alignment horizontal="right" vertical="center"/>
    </xf>
    <xf numFmtId="164" fontId="5" fillId="26" borderId="20" xfId="1" applyNumberFormat="1" applyFont="1" applyFill="1" applyBorder="1" applyAlignment="1">
      <alignment horizontal="right" vertical="center"/>
    </xf>
    <xf numFmtId="15" fontId="48" fillId="7" borderId="1" xfId="1" applyNumberFormat="1" applyFont="1" applyFill="1" applyBorder="1" applyAlignment="1">
      <alignment horizontal="center" vertical="center" wrapText="1"/>
    </xf>
    <xf numFmtId="15" fontId="48" fillId="7" borderId="8" xfId="1" applyNumberFormat="1" applyFont="1" applyFill="1" applyBorder="1" applyAlignment="1">
      <alignment horizontal="center" vertical="center" wrapText="1"/>
    </xf>
    <xf numFmtId="164" fontId="5" fillId="49" borderId="19" xfId="1" applyNumberFormat="1" applyFont="1" applyFill="1" applyBorder="1" applyAlignment="1">
      <alignment horizontal="right" vertical="center"/>
    </xf>
    <xf numFmtId="164" fontId="5" fillId="49" borderId="20" xfId="1" applyNumberFormat="1" applyFont="1" applyFill="1" applyBorder="1" applyAlignment="1">
      <alignment horizontal="right" vertical="center"/>
    </xf>
    <xf numFmtId="164" fontId="5" fillId="46" borderId="19" xfId="1" applyNumberFormat="1" applyFont="1" applyFill="1" applyBorder="1" applyAlignment="1">
      <alignment horizontal="right" vertical="center"/>
    </xf>
    <xf numFmtId="164" fontId="5" fillId="46" borderId="20" xfId="1" applyNumberFormat="1" applyFont="1" applyFill="1" applyBorder="1" applyAlignment="1">
      <alignment horizontal="right" vertical="center"/>
    </xf>
    <xf numFmtId="164" fontId="5" fillId="26" borderId="19" xfId="1" applyNumberFormat="1" applyFont="1" applyFill="1" applyBorder="1" applyAlignment="1">
      <alignment horizontal="right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BE905"/>
      <color rgb="FFFEFECA"/>
      <color rgb="FFF8D542"/>
      <color rgb="FFE9F7FD"/>
      <color rgb="FFFBF743"/>
      <color rgb="FFB9E4FF"/>
      <color rgb="FFC8F9FE"/>
      <color rgb="FFFF7C80"/>
      <color rgb="FFFFFF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0</xdr:colOff>
      <xdr:row>24</xdr:row>
      <xdr:rowOff>0</xdr:rowOff>
    </xdr:from>
    <xdr:to>
      <xdr:col>36</xdr:col>
      <xdr:colOff>304800</xdr:colOff>
      <xdr:row>25</xdr:row>
      <xdr:rowOff>300990</xdr:rowOff>
    </xdr:to>
    <xdr:sp macro="" textlink="">
      <xdr:nvSpPr>
        <xdr:cNvPr id="3" name="AutoShape 6" descr="Logo 10 aÃ±os">
          <a:extLst>
            <a:ext uri="{FF2B5EF4-FFF2-40B4-BE49-F238E27FC236}">
              <a16:creationId xmlns:a16="http://schemas.microsoft.com/office/drawing/2014/main" id="{0ECD76F2-8BAF-4FC4-B163-6B5FA867800D}"/>
            </a:ext>
          </a:extLst>
        </xdr:cNvPr>
        <xdr:cNvSpPr>
          <a:spLocks noChangeAspect="1" noChangeArrowheads="1"/>
        </xdr:cNvSpPr>
      </xdr:nvSpPr>
      <xdr:spPr bwMode="auto">
        <a:xfrm>
          <a:off x="21650325" y="2028825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24</xdr:row>
      <xdr:rowOff>0</xdr:rowOff>
    </xdr:from>
    <xdr:to>
      <xdr:col>36</xdr:col>
      <xdr:colOff>304800</xdr:colOff>
      <xdr:row>25</xdr:row>
      <xdr:rowOff>300990</xdr:rowOff>
    </xdr:to>
    <xdr:sp macro="" textlink="">
      <xdr:nvSpPr>
        <xdr:cNvPr id="4" name="AutoShape 7" descr="Logo 10 aÃ±os">
          <a:extLst>
            <a:ext uri="{FF2B5EF4-FFF2-40B4-BE49-F238E27FC236}">
              <a16:creationId xmlns:a16="http://schemas.microsoft.com/office/drawing/2014/main" id="{E1CD6E39-D380-4B2E-8BDB-A24E8CF7C7E0}"/>
            </a:ext>
          </a:extLst>
        </xdr:cNvPr>
        <xdr:cNvSpPr>
          <a:spLocks noChangeAspect="1" noChangeArrowheads="1"/>
        </xdr:cNvSpPr>
      </xdr:nvSpPr>
      <xdr:spPr bwMode="auto">
        <a:xfrm>
          <a:off x="21650325" y="2028825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24</xdr:row>
      <xdr:rowOff>0</xdr:rowOff>
    </xdr:from>
    <xdr:to>
      <xdr:col>36</xdr:col>
      <xdr:colOff>304800</xdr:colOff>
      <xdr:row>25</xdr:row>
      <xdr:rowOff>299085</xdr:rowOff>
    </xdr:to>
    <xdr:sp macro="" textlink="">
      <xdr:nvSpPr>
        <xdr:cNvPr id="6" name="AutoShape 8" descr="Formato firma email ">
          <a:extLst>
            <a:ext uri="{FF2B5EF4-FFF2-40B4-BE49-F238E27FC236}">
              <a16:creationId xmlns:a16="http://schemas.microsoft.com/office/drawing/2014/main" id="{B912BB8D-3703-42AE-BF7B-2EFB5DD7E5D7}"/>
            </a:ext>
          </a:extLst>
        </xdr:cNvPr>
        <xdr:cNvSpPr>
          <a:spLocks noChangeAspect="1" noChangeArrowheads="1"/>
        </xdr:cNvSpPr>
      </xdr:nvSpPr>
      <xdr:spPr bwMode="auto">
        <a:xfrm>
          <a:off x="21650325" y="2028825"/>
          <a:ext cx="304800" cy="2990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36</xdr:col>
      <xdr:colOff>0</xdr:colOff>
      <xdr:row>25</xdr:row>
      <xdr:rowOff>0</xdr:rowOff>
    </xdr:from>
    <xdr:ext cx="304800" cy="304165"/>
    <xdr:sp macro="" textlink="">
      <xdr:nvSpPr>
        <xdr:cNvPr id="7" name="AutoShape 6" descr="Logo 10 aÃ±os">
          <a:extLst>
            <a:ext uri="{FF2B5EF4-FFF2-40B4-BE49-F238E27FC236}">
              <a16:creationId xmlns:a16="http://schemas.microsoft.com/office/drawing/2014/main" id="{9773FC02-390A-4483-A388-C16F9478AB8F}"/>
            </a:ext>
            <a:ext uri="{147F2762-F138-4A5C-976F-8EAC2B608ADB}">
              <a16:predDERef xmlns:a16="http://schemas.microsoft.com/office/drawing/2014/main" pred="{89E95D96-92AE-384D-9C0E-C5396B94DA0A}"/>
            </a:ext>
          </a:extLst>
        </xdr:cNvPr>
        <xdr:cNvSpPr>
          <a:spLocks noChangeAspect="1" noChangeArrowheads="1"/>
        </xdr:cNvSpPr>
      </xdr:nvSpPr>
      <xdr:spPr bwMode="auto">
        <a:xfrm>
          <a:off x="21650325" y="2466975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36</xdr:col>
      <xdr:colOff>0</xdr:colOff>
      <xdr:row>25</xdr:row>
      <xdr:rowOff>0</xdr:rowOff>
    </xdr:from>
    <xdr:ext cx="304800" cy="304165"/>
    <xdr:sp macro="" textlink="">
      <xdr:nvSpPr>
        <xdr:cNvPr id="8" name="AutoShape 7" descr="Logo 10 aÃ±os">
          <a:extLst>
            <a:ext uri="{FF2B5EF4-FFF2-40B4-BE49-F238E27FC236}">
              <a16:creationId xmlns:a16="http://schemas.microsoft.com/office/drawing/2014/main" id="{10C88C54-4297-4D9F-A8C1-BC46A6577FA3}"/>
            </a:ext>
            <a:ext uri="{147F2762-F138-4A5C-976F-8EAC2B608ADB}">
              <a16:predDERef xmlns:a16="http://schemas.microsoft.com/office/drawing/2014/main" pred="{FA711819-D31E-5943-B93D-E1C3879F977A}"/>
            </a:ext>
          </a:extLst>
        </xdr:cNvPr>
        <xdr:cNvSpPr>
          <a:spLocks noChangeAspect="1" noChangeArrowheads="1"/>
        </xdr:cNvSpPr>
      </xdr:nvSpPr>
      <xdr:spPr bwMode="auto">
        <a:xfrm>
          <a:off x="21650325" y="2466975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36</xdr:col>
      <xdr:colOff>0</xdr:colOff>
      <xdr:row>25</xdr:row>
      <xdr:rowOff>0</xdr:rowOff>
    </xdr:from>
    <xdr:ext cx="304800" cy="302260"/>
    <xdr:sp macro="" textlink="">
      <xdr:nvSpPr>
        <xdr:cNvPr id="9" name="AutoShape 8" descr="Formato firma email ">
          <a:extLst>
            <a:ext uri="{FF2B5EF4-FFF2-40B4-BE49-F238E27FC236}">
              <a16:creationId xmlns:a16="http://schemas.microsoft.com/office/drawing/2014/main" id="{DB82B7A0-4AA4-417E-8A81-561D04C40103}"/>
            </a:ext>
            <a:ext uri="{147F2762-F138-4A5C-976F-8EAC2B608ADB}">
              <a16:predDERef xmlns:a16="http://schemas.microsoft.com/office/drawing/2014/main" pred="{6E454FEF-9225-D74A-9BAD-6D9B24A66CDD}"/>
            </a:ext>
          </a:extLst>
        </xdr:cNvPr>
        <xdr:cNvSpPr>
          <a:spLocks noChangeAspect="1" noChangeArrowheads="1"/>
        </xdr:cNvSpPr>
      </xdr:nvSpPr>
      <xdr:spPr bwMode="auto">
        <a:xfrm>
          <a:off x="21650325" y="2466975"/>
          <a:ext cx="304800" cy="30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22</xdr:row>
      <xdr:rowOff>0</xdr:rowOff>
    </xdr:from>
    <xdr:to>
      <xdr:col>23</xdr:col>
      <xdr:colOff>304800</xdr:colOff>
      <xdr:row>23</xdr:row>
      <xdr:rowOff>300990</xdr:rowOff>
    </xdr:to>
    <xdr:sp macro="" textlink="">
      <xdr:nvSpPr>
        <xdr:cNvPr id="2" name="AutoShape 6" descr="Logo 10 aÃ±os">
          <a:extLst>
            <a:ext uri="{FF2B5EF4-FFF2-40B4-BE49-F238E27FC236}">
              <a16:creationId xmlns:a16="http://schemas.microsoft.com/office/drawing/2014/main" id="{E8C9553A-D88C-4638-8073-C612D8DC6816}"/>
            </a:ext>
          </a:extLst>
        </xdr:cNvPr>
        <xdr:cNvSpPr>
          <a:spLocks noChangeAspect="1" noChangeArrowheads="1"/>
        </xdr:cNvSpPr>
      </xdr:nvSpPr>
      <xdr:spPr bwMode="auto">
        <a:xfrm>
          <a:off x="14744700" y="5343525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304800</xdr:colOff>
      <xdr:row>23</xdr:row>
      <xdr:rowOff>300990</xdr:rowOff>
    </xdr:to>
    <xdr:sp macro="" textlink="">
      <xdr:nvSpPr>
        <xdr:cNvPr id="3" name="AutoShape 7" descr="Logo 10 aÃ±os">
          <a:extLst>
            <a:ext uri="{FF2B5EF4-FFF2-40B4-BE49-F238E27FC236}">
              <a16:creationId xmlns:a16="http://schemas.microsoft.com/office/drawing/2014/main" id="{789820DB-91C9-498B-BAC4-B9E4CC1E95DB}"/>
            </a:ext>
          </a:extLst>
        </xdr:cNvPr>
        <xdr:cNvSpPr>
          <a:spLocks noChangeAspect="1" noChangeArrowheads="1"/>
        </xdr:cNvSpPr>
      </xdr:nvSpPr>
      <xdr:spPr bwMode="auto">
        <a:xfrm>
          <a:off x="14744700" y="5343525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304800</xdr:colOff>
      <xdr:row>23</xdr:row>
      <xdr:rowOff>299085</xdr:rowOff>
    </xdr:to>
    <xdr:sp macro="" textlink="">
      <xdr:nvSpPr>
        <xdr:cNvPr id="4" name="AutoShape 8" descr="Formato firma email ">
          <a:extLst>
            <a:ext uri="{FF2B5EF4-FFF2-40B4-BE49-F238E27FC236}">
              <a16:creationId xmlns:a16="http://schemas.microsoft.com/office/drawing/2014/main" id="{6840282D-0FAB-48EE-A93C-F275C728D3A1}"/>
            </a:ext>
          </a:extLst>
        </xdr:cNvPr>
        <xdr:cNvSpPr>
          <a:spLocks noChangeAspect="1" noChangeArrowheads="1"/>
        </xdr:cNvSpPr>
      </xdr:nvSpPr>
      <xdr:spPr bwMode="auto">
        <a:xfrm>
          <a:off x="14744700" y="5343525"/>
          <a:ext cx="304800" cy="2990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23</xdr:col>
      <xdr:colOff>0</xdr:colOff>
      <xdr:row>23</xdr:row>
      <xdr:rowOff>0</xdr:rowOff>
    </xdr:from>
    <xdr:ext cx="304800" cy="304165"/>
    <xdr:sp macro="" textlink="">
      <xdr:nvSpPr>
        <xdr:cNvPr id="5" name="AutoShape 6" descr="Logo 10 aÃ±os">
          <a:extLst>
            <a:ext uri="{FF2B5EF4-FFF2-40B4-BE49-F238E27FC236}">
              <a16:creationId xmlns:a16="http://schemas.microsoft.com/office/drawing/2014/main" id="{BDF7E371-9E01-4C6B-A8A5-9B8063DF88C3}"/>
            </a:ext>
            <a:ext uri="{147F2762-F138-4A5C-976F-8EAC2B608ADB}">
              <a16:predDERef xmlns:a16="http://schemas.microsoft.com/office/drawing/2014/main" pred="{89E95D96-92AE-384D-9C0E-C5396B94DA0A}"/>
            </a:ext>
          </a:extLst>
        </xdr:cNvPr>
        <xdr:cNvSpPr>
          <a:spLocks noChangeAspect="1" noChangeArrowheads="1"/>
        </xdr:cNvSpPr>
      </xdr:nvSpPr>
      <xdr:spPr bwMode="auto">
        <a:xfrm>
          <a:off x="14744700" y="5543550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23</xdr:row>
      <xdr:rowOff>0</xdr:rowOff>
    </xdr:from>
    <xdr:ext cx="304800" cy="304165"/>
    <xdr:sp macro="" textlink="">
      <xdr:nvSpPr>
        <xdr:cNvPr id="6" name="AutoShape 7" descr="Logo 10 aÃ±os">
          <a:extLst>
            <a:ext uri="{FF2B5EF4-FFF2-40B4-BE49-F238E27FC236}">
              <a16:creationId xmlns:a16="http://schemas.microsoft.com/office/drawing/2014/main" id="{35F2BB13-F1AA-41B2-8675-31D129FEF522}"/>
            </a:ext>
            <a:ext uri="{147F2762-F138-4A5C-976F-8EAC2B608ADB}">
              <a16:predDERef xmlns:a16="http://schemas.microsoft.com/office/drawing/2014/main" pred="{FA711819-D31E-5943-B93D-E1C3879F977A}"/>
            </a:ext>
          </a:extLst>
        </xdr:cNvPr>
        <xdr:cNvSpPr>
          <a:spLocks noChangeAspect="1" noChangeArrowheads="1"/>
        </xdr:cNvSpPr>
      </xdr:nvSpPr>
      <xdr:spPr bwMode="auto">
        <a:xfrm>
          <a:off x="14744700" y="5543550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313765</xdr:colOff>
      <xdr:row>11</xdr:row>
      <xdr:rowOff>89647</xdr:rowOff>
    </xdr:from>
    <xdr:ext cx="304800" cy="302260"/>
    <xdr:sp macro="" textlink="">
      <xdr:nvSpPr>
        <xdr:cNvPr id="7" name="AutoShape 8" descr="Formato firma email ">
          <a:extLst>
            <a:ext uri="{FF2B5EF4-FFF2-40B4-BE49-F238E27FC236}">
              <a16:creationId xmlns:a16="http://schemas.microsoft.com/office/drawing/2014/main" id="{4644A282-09CC-456D-9475-DBC3A70CC82C}"/>
            </a:ext>
            <a:ext uri="{147F2762-F138-4A5C-976F-8EAC2B608ADB}">
              <a16:predDERef xmlns:a16="http://schemas.microsoft.com/office/drawing/2014/main" pred="{6E454FEF-9225-D74A-9BAD-6D9B24A66CDD}"/>
            </a:ext>
          </a:extLst>
        </xdr:cNvPr>
        <xdr:cNvSpPr>
          <a:spLocks noChangeAspect="1" noChangeArrowheads="1"/>
        </xdr:cNvSpPr>
      </xdr:nvSpPr>
      <xdr:spPr bwMode="auto">
        <a:xfrm>
          <a:off x="17705294" y="2835088"/>
          <a:ext cx="304800" cy="30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313765</xdr:colOff>
      <xdr:row>11</xdr:row>
      <xdr:rowOff>89647</xdr:rowOff>
    </xdr:from>
    <xdr:ext cx="304800" cy="302260"/>
    <xdr:sp macro="" textlink="">
      <xdr:nvSpPr>
        <xdr:cNvPr id="9" name="AutoShape 8" descr="Formato firma email ">
          <a:extLst>
            <a:ext uri="{FF2B5EF4-FFF2-40B4-BE49-F238E27FC236}">
              <a16:creationId xmlns:a16="http://schemas.microsoft.com/office/drawing/2014/main" id="{8C3E2AFE-EB3D-44B3-B2D6-AB772F2ED7F4}"/>
            </a:ext>
            <a:ext uri="{147F2762-F138-4A5C-976F-8EAC2B608ADB}">
              <a16:predDERef xmlns:a16="http://schemas.microsoft.com/office/drawing/2014/main" pred="{6E454FEF-9225-D74A-9BAD-6D9B24A66CDD}"/>
            </a:ext>
          </a:extLst>
        </xdr:cNvPr>
        <xdr:cNvSpPr>
          <a:spLocks noChangeAspect="1" noChangeArrowheads="1"/>
        </xdr:cNvSpPr>
      </xdr:nvSpPr>
      <xdr:spPr bwMode="auto">
        <a:xfrm>
          <a:off x="17705294" y="2835088"/>
          <a:ext cx="304800" cy="30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23</xdr:row>
      <xdr:rowOff>0</xdr:rowOff>
    </xdr:from>
    <xdr:to>
      <xdr:col>8</xdr:col>
      <xdr:colOff>304800</xdr:colOff>
      <xdr:row>24</xdr:row>
      <xdr:rowOff>300990</xdr:rowOff>
    </xdr:to>
    <xdr:sp macro="" textlink="">
      <xdr:nvSpPr>
        <xdr:cNvPr id="2" name="AutoShape 6" descr="Logo 10 aÃ±os">
          <a:extLst>
            <a:ext uri="{FF2B5EF4-FFF2-40B4-BE49-F238E27FC236}">
              <a16:creationId xmlns:a16="http://schemas.microsoft.com/office/drawing/2014/main" id="{3FCEE56E-5C08-4E29-A182-B928D610FA4C}"/>
            </a:ext>
          </a:extLst>
        </xdr:cNvPr>
        <xdr:cNvSpPr>
          <a:spLocks noChangeAspect="1" noChangeArrowheads="1"/>
        </xdr:cNvSpPr>
      </xdr:nvSpPr>
      <xdr:spPr bwMode="auto">
        <a:xfrm>
          <a:off x="14744700" y="5343525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304800</xdr:colOff>
      <xdr:row>24</xdr:row>
      <xdr:rowOff>300990</xdr:rowOff>
    </xdr:to>
    <xdr:sp macro="" textlink="">
      <xdr:nvSpPr>
        <xdr:cNvPr id="3" name="AutoShape 7" descr="Logo 10 aÃ±os">
          <a:extLst>
            <a:ext uri="{FF2B5EF4-FFF2-40B4-BE49-F238E27FC236}">
              <a16:creationId xmlns:a16="http://schemas.microsoft.com/office/drawing/2014/main" id="{A0AFA3D3-6A6B-4990-992D-F1B4BF44A599}"/>
            </a:ext>
          </a:extLst>
        </xdr:cNvPr>
        <xdr:cNvSpPr>
          <a:spLocks noChangeAspect="1" noChangeArrowheads="1"/>
        </xdr:cNvSpPr>
      </xdr:nvSpPr>
      <xdr:spPr bwMode="auto">
        <a:xfrm>
          <a:off x="14744700" y="5343525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304800</xdr:colOff>
      <xdr:row>24</xdr:row>
      <xdr:rowOff>299085</xdr:rowOff>
    </xdr:to>
    <xdr:sp macro="" textlink="">
      <xdr:nvSpPr>
        <xdr:cNvPr id="4" name="AutoShape 8" descr="Formato firma email ">
          <a:extLst>
            <a:ext uri="{FF2B5EF4-FFF2-40B4-BE49-F238E27FC236}">
              <a16:creationId xmlns:a16="http://schemas.microsoft.com/office/drawing/2014/main" id="{9B03BF1D-6409-49E6-BF5D-27095FF30032}"/>
            </a:ext>
          </a:extLst>
        </xdr:cNvPr>
        <xdr:cNvSpPr>
          <a:spLocks noChangeAspect="1" noChangeArrowheads="1"/>
        </xdr:cNvSpPr>
      </xdr:nvSpPr>
      <xdr:spPr bwMode="auto">
        <a:xfrm>
          <a:off x="14744700" y="5343525"/>
          <a:ext cx="304800" cy="2990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0</xdr:colOff>
      <xdr:row>24</xdr:row>
      <xdr:rowOff>0</xdr:rowOff>
    </xdr:from>
    <xdr:ext cx="304800" cy="304165"/>
    <xdr:sp macro="" textlink="">
      <xdr:nvSpPr>
        <xdr:cNvPr id="5" name="AutoShape 6" descr="Logo 10 aÃ±os">
          <a:extLst>
            <a:ext uri="{FF2B5EF4-FFF2-40B4-BE49-F238E27FC236}">
              <a16:creationId xmlns:a16="http://schemas.microsoft.com/office/drawing/2014/main" id="{DF47F2DC-7915-4A73-8E78-AD1B90A65CFE}"/>
            </a:ext>
            <a:ext uri="{147F2762-F138-4A5C-976F-8EAC2B608ADB}">
              <a16:predDERef xmlns:a16="http://schemas.microsoft.com/office/drawing/2014/main" pred="{89E95D96-92AE-384D-9C0E-C5396B94DA0A}"/>
            </a:ext>
          </a:extLst>
        </xdr:cNvPr>
        <xdr:cNvSpPr>
          <a:spLocks noChangeAspect="1" noChangeArrowheads="1"/>
        </xdr:cNvSpPr>
      </xdr:nvSpPr>
      <xdr:spPr bwMode="auto">
        <a:xfrm>
          <a:off x="14744700" y="5543550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24</xdr:row>
      <xdr:rowOff>0</xdr:rowOff>
    </xdr:from>
    <xdr:ext cx="304800" cy="304165"/>
    <xdr:sp macro="" textlink="">
      <xdr:nvSpPr>
        <xdr:cNvPr id="6" name="AutoShape 7" descr="Logo 10 aÃ±os">
          <a:extLst>
            <a:ext uri="{FF2B5EF4-FFF2-40B4-BE49-F238E27FC236}">
              <a16:creationId xmlns:a16="http://schemas.microsoft.com/office/drawing/2014/main" id="{278D051D-A9E0-4FCE-B0AB-88DD702BD9BA}"/>
            </a:ext>
            <a:ext uri="{147F2762-F138-4A5C-976F-8EAC2B608ADB}">
              <a16:predDERef xmlns:a16="http://schemas.microsoft.com/office/drawing/2014/main" pred="{FA711819-D31E-5943-B93D-E1C3879F977A}"/>
            </a:ext>
          </a:extLst>
        </xdr:cNvPr>
        <xdr:cNvSpPr>
          <a:spLocks noChangeAspect="1" noChangeArrowheads="1"/>
        </xdr:cNvSpPr>
      </xdr:nvSpPr>
      <xdr:spPr bwMode="auto">
        <a:xfrm>
          <a:off x="14744700" y="5543550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24</xdr:row>
      <xdr:rowOff>0</xdr:rowOff>
    </xdr:from>
    <xdr:ext cx="304800" cy="302260"/>
    <xdr:sp macro="" textlink="">
      <xdr:nvSpPr>
        <xdr:cNvPr id="7" name="AutoShape 8" descr="Formato firma email ">
          <a:extLst>
            <a:ext uri="{FF2B5EF4-FFF2-40B4-BE49-F238E27FC236}">
              <a16:creationId xmlns:a16="http://schemas.microsoft.com/office/drawing/2014/main" id="{EF9412CD-538F-487B-9857-04D5BB53D99E}"/>
            </a:ext>
            <a:ext uri="{147F2762-F138-4A5C-976F-8EAC2B608ADB}">
              <a16:predDERef xmlns:a16="http://schemas.microsoft.com/office/drawing/2014/main" pred="{6E454FEF-9225-D74A-9BAD-6D9B24A66CDD}"/>
            </a:ext>
          </a:extLst>
        </xdr:cNvPr>
        <xdr:cNvSpPr>
          <a:spLocks noChangeAspect="1" noChangeArrowheads="1"/>
        </xdr:cNvSpPr>
      </xdr:nvSpPr>
      <xdr:spPr bwMode="auto">
        <a:xfrm>
          <a:off x="14744700" y="5543550"/>
          <a:ext cx="304800" cy="30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23</xdr:row>
      <xdr:rowOff>0</xdr:rowOff>
    </xdr:from>
    <xdr:ext cx="304800" cy="300990"/>
    <xdr:sp macro="" textlink="">
      <xdr:nvSpPr>
        <xdr:cNvPr id="8" name="AutoShape 6" descr="Logo 10 aÃ±os">
          <a:extLst>
            <a:ext uri="{FF2B5EF4-FFF2-40B4-BE49-F238E27FC236}">
              <a16:creationId xmlns:a16="http://schemas.microsoft.com/office/drawing/2014/main" id="{B03712FD-961C-49CC-8CD2-EAEF3E0706CB}"/>
            </a:ext>
          </a:extLst>
        </xdr:cNvPr>
        <xdr:cNvSpPr>
          <a:spLocks noChangeAspect="1" noChangeArrowheads="1"/>
        </xdr:cNvSpPr>
      </xdr:nvSpPr>
      <xdr:spPr bwMode="auto">
        <a:xfrm>
          <a:off x="7915275" y="5343525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23</xdr:row>
      <xdr:rowOff>0</xdr:rowOff>
    </xdr:from>
    <xdr:ext cx="304800" cy="300990"/>
    <xdr:sp macro="" textlink="">
      <xdr:nvSpPr>
        <xdr:cNvPr id="9" name="AutoShape 7" descr="Logo 10 aÃ±os">
          <a:extLst>
            <a:ext uri="{FF2B5EF4-FFF2-40B4-BE49-F238E27FC236}">
              <a16:creationId xmlns:a16="http://schemas.microsoft.com/office/drawing/2014/main" id="{CF993439-DC50-4DA5-8DE0-2FDFED231679}"/>
            </a:ext>
          </a:extLst>
        </xdr:cNvPr>
        <xdr:cNvSpPr>
          <a:spLocks noChangeAspect="1" noChangeArrowheads="1"/>
        </xdr:cNvSpPr>
      </xdr:nvSpPr>
      <xdr:spPr bwMode="auto">
        <a:xfrm>
          <a:off x="7915275" y="5343525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23</xdr:row>
      <xdr:rowOff>0</xdr:rowOff>
    </xdr:from>
    <xdr:ext cx="304800" cy="299085"/>
    <xdr:sp macro="" textlink="">
      <xdr:nvSpPr>
        <xdr:cNvPr id="10" name="AutoShape 8" descr="Formato firma email ">
          <a:extLst>
            <a:ext uri="{FF2B5EF4-FFF2-40B4-BE49-F238E27FC236}">
              <a16:creationId xmlns:a16="http://schemas.microsoft.com/office/drawing/2014/main" id="{4573ACF5-6B96-48DD-B00A-8A3C3BEF0045}"/>
            </a:ext>
          </a:extLst>
        </xdr:cNvPr>
        <xdr:cNvSpPr>
          <a:spLocks noChangeAspect="1" noChangeArrowheads="1"/>
        </xdr:cNvSpPr>
      </xdr:nvSpPr>
      <xdr:spPr bwMode="auto">
        <a:xfrm>
          <a:off x="7915275" y="5343525"/>
          <a:ext cx="304800" cy="2990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24</xdr:row>
      <xdr:rowOff>0</xdr:rowOff>
    </xdr:from>
    <xdr:ext cx="304800" cy="304165"/>
    <xdr:sp macro="" textlink="">
      <xdr:nvSpPr>
        <xdr:cNvPr id="11" name="AutoShape 6" descr="Logo 10 aÃ±os">
          <a:extLst>
            <a:ext uri="{FF2B5EF4-FFF2-40B4-BE49-F238E27FC236}">
              <a16:creationId xmlns:a16="http://schemas.microsoft.com/office/drawing/2014/main" id="{039419C7-B903-48C9-AEBD-7FDCBEC21E4E}"/>
            </a:ext>
            <a:ext uri="{147F2762-F138-4A5C-976F-8EAC2B608ADB}">
              <a16:predDERef xmlns:a16="http://schemas.microsoft.com/office/drawing/2014/main" pred="{89E95D96-92AE-384D-9C0E-C5396B94DA0A}"/>
            </a:ext>
          </a:extLst>
        </xdr:cNvPr>
        <xdr:cNvSpPr>
          <a:spLocks noChangeAspect="1" noChangeArrowheads="1"/>
        </xdr:cNvSpPr>
      </xdr:nvSpPr>
      <xdr:spPr bwMode="auto">
        <a:xfrm>
          <a:off x="7915275" y="5543550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24</xdr:row>
      <xdr:rowOff>0</xdr:rowOff>
    </xdr:from>
    <xdr:ext cx="304800" cy="304165"/>
    <xdr:sp macro="" textlink="">
      <xdr:nvSpPr>
        <xdr:cNvPr id="12" name="AutoShape 7" descr="Logo 10 aÃ±os">
          <a:extLst>
            <a:ext uri="{FF2B5EF4-FFF2-40B4-BE49-F238E27FC236}">
              <a16:creationId xmlns:a16="http://schemas.microsoft.com/office/drawing/2014/main" id="{1844C068-ACCD-4EA3-884C-5627D45C9F13}"/>
            </a:ext>
            <a:ext uri="{147F2762-F138-4A5C-976F-8EAC2B608ADB}">
              <a16:predDERef xmlns:a16="http://schemas.microsoft.com/office/drawing/2014/main" pred="{FA711819-D31E-5943-B93D-E1C3879F977A}"/>
            </a:ext>
          </a:extLst>
        </xdr:cNvPr>
        <xdr:cNvSpPr>
          <a:spLocks noChangeAspect="1" noChangeArrowheads="1"/>
        </xdr:cNvSpPr>
      </xdr:nvSpPr>
      <xdr:spPr bwMode="auto">
        <a:xfrm>
          <a:off x="7915275" y="5543550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24</xdr:row>
      <xdr:rowOff>0</xdr:rowOff>
    </xdr:from>
    <xdr:ext cx="304800" cy="302260"/>
    <xdr:sp macro="" textlink="">
      <xdr:nvSpPr>
        <xdr:cNvPr id="13" name="AutoShape 8" descr="Formato firma email ">
          <a:extLst>
            <a:ext uri="{FF2B5EF4-FFF2-40B4-BE49-F238E27FC236}">
              <a16:creationId xmlns:a16="http://schemas.microsoft.com/office/drawing/2014/main" id="{007DE1CD-4648-4904-B1DB-437F8BE812D7}"/>
            </a:ext>
            <a:ext uri="{147F2762-F138-4A5C-976F-8EAC2B608ADB}">
              <a16:predDERef xmlns:a16="http://schemas.microsoft.com/office/drawing/2014/main" pred="{6E454FEF-9225-D74A-9BAD-6D9B24A66CDD}"/>
            </a:ext>
          </a:extLst>
        </xdr:cNvPr>
        <xdr:cNvSpPr>
          <a:spLocks noChangeAspect="1" noChangeArrowheads="1"/>
        </xdr:cNvSpPr>
      </xdr:nvSpPr>
      <xdr:spPr bwMode="auto">
        <a:xfrm>
          <a:off x="7915275" y="5543550"/>
          <a:ext cx="304800" cy="30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23</xdr:row>
      <xdr:rowOff>0</xdr:rowOff>
    </xdr:from>
    <xdr:ext cx="304800" cy="300990"/>
    <xdr:sp macro="" textlink="">
      <xdr:nvSpPr>
        <xdr:cNvPr id="14" name="AutoShape 6" descr="Logo 10 aÃ±os">
          <a:extLst>
            <a:ext uri="{FF2B5EF4-FFF2-40B4-BE49-F238E27FC236}">
              <a16:creationId xmlns:a16="http://schemas.microsoft.com/office/drawing/2014/main" id="{8B912791-EAB8-4932-A038-FC4DDDCEECBB}"/>
            </a:ext>
          </a:extLst>
        </xdr:cNvPr>
        <xdr:cNvSpPr>
          <a:spLocks noChangeAspect="1" noChangeArrowheads="1"/>
        </xdr:cNvSpPr>
      </xdr:nvSpPr>
      <xdr:spPr bwMode="auto">
        <a:xfrm>
          <a:off x="7915275" y="5343525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23</xdr:row>
      <xdr:rowOff>0</xdr:rowOff>
    </xdr:from>
    <xdr:ext cx="304800" cy="300990"/>
    <xdr:sp macro="" textlink="">
      <xdr:nvSpPr>
        <xdr:cNvPr id="15" name="AutoShape 7" descr="Logo 10 aÃ±os">
          <a:extLst>
            <a:ext uri="{FF2B5EF4-FFF2-40B4-BE49-F238E27FC236}">
              <a16:creationId xmlns:a16="http://schemas.microsoft.com/office/drawing/2014/main" id="{869EF162-5CE3-48E0-993B-E8C028ABEA2D}"/>
            </a:ext>
          </a:extLst>
        </xdr:cNvPr>
        <xdr:cNvSpPr>
          <a:spLocks noChangeAspect="1" noChangeArrowheads="1"/>
        </xdr:cNvSpPr>
      </xdr:nvSpPr>
      <xdr:spPr bwMode="auto">
        <a:xfrm>
          <a:off x="7915275" y="5343525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23</xdr:row>
      <xdr:rowOff>0</xdr:rowOff>
    </xdr:from>
    <xdr:ext cx="304800" cy="299085"/>
    <xdr:sp macro="" textlink="">
      <xdr:nvSpPr>
        <xdr:cNvPr id="16" name="AutoShape 8" descr="Formato firma email ">
          <a:extLst>
            <a:ext uri="{FF2B5EF4-FFF2-40B4-BE49-F238E27FC236}">
              <a16:creationId xmlns:a16="http://schemas.microsoft.com/office/drawing/2014/main" id="{00C9BF85-B716-48EE-8207-19AF9B2D59D5}"/>
            </a:ext>
          </a:extLst>
        </xdr:cNvPr>
        <xdr:cNvSpPr>
          <a:spLocks noChangeAspect="1" noChangeArrowheads="1"/>
        </xdr:cNvSpPr>
      </xdr:nvSpPr>
      <xdr:spPr bwMode="auto">
        <a:xfrm>
          <a:off x="7915275" y="5343525"/>
          <a:ext cx="304800" cy="2990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24</xdr:row>
      <xdr:rowOff>0</xdr:rowOff>
    </xdr:from>
    <xdr:ext cx="304800" cy="304165"/>
    <xdr:sp macro="" textlink="">
      <xdr:nvSpPr>
        <xdr:cNvPr id="17" name="AutoShape 6" descr="Logo 10 aÃ±os">
          <a:extLst>
            <a:ext uri="{FF2B5EF4-FFF2-40B4-BE49-F238E27FC236}">
              <a16:creationId xmlns:a16="http://schemas.microsoft.com/office/drawing/2014/main" id="{9A4CFD4B-F171-4ADD-9518-C21D0D67C164}"/>
            </a:ext>
            <a:ext uri="{147F2762-F138-4A5C-976F-8EAC2B608ADB}">
              <a16:predDERef xmlns:a16="http://schemas.microsoft.com/office/drawing/2014/main" pred="{89E95D96-92AE-384D-9C0E-C5396B94DA0A}"/>
            </a:ext>
          </a:extLst>
        </xdr:cNvPr>
        <xdr:cNvSpPr>
          <a:spLocks noChangeAspect="1" noChangeArrowheads="1"/>
        </xdr:cNvSpPr>
      </xdr:nvSpPr>
      <xdr:spPr bwMode="auto">
        <a:xfrm>
          <a:off x="7915275" y="5543550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24</xdr:row>
      <xdr:rowOff>0</xdr:rowOff>
    </xdr:from>
    <xdr:ext cx="304800" cy="304165"/>
    <xdr:sp macro="" textlink="">
      <xdr:nvSpPr>
        <xdr:cNvPr id="18" name="AutoShape 7" descr="Logo 10 aÃ±os">
          <a:extLst>
            <a:ext uri="{FF2B5EF4-FFF2-40B4-BE49-F238E27FC236}">
              <a16:creationId xmlns:a16="http://schemas.microsoft.com/office/drawing/2014/main" id="{6A6A128C-0DB3-4F14-BE64-D7842BFB209B}"/>
            </a:ext>
            <a:ext uri="{147F2762-F138-4A5C-976F-8EAC2B608ADB}">
              <a16:predDERef xmlns:a16="http://schemas.microsoft.com/office/drawing/2014/main" pred="{FA711819-D31E-5943-B93D-E1C3879F977A}"/>
            </a:ext>
          </a:extLst>
        </xdr:cNvPr>
        <xdr:cNvSpPr>
          <a:spLocks noChangeAspect="1" noChangeArrowheads="1"/>
        </xdr:cNvSpPr>
      </xdr:nvSpPr>
      <xdr:spPr bwMode="auto">
        <a:xfrm>
          <a:off x="7915275" y="5543550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24</xdr:row>
      <xdr:rowOff>0</xdr:rowOff>
    </xdr:from>
    <xdr:ext cx="304800" cy="302260"/>
    <xdr:sp macro="" textlink="">
      <xdr:nvSpPr>
        <xdr:cNvPr id="19" name="AutoShape 8" descr="Formato firma email ">
          <a:extLst>
            <a:ext uri="{FF2B5EF4-FFF2-40B4-BE49-F238E27FC236}">
              <a16:creationId xmlns:a16="http://schemas.microsoft.com/office/drawing/2014/main" id="{4B161F7A-A66F-4B74-A299-6B7832FB4A1A}"/>
            </a:ext>
            <a:ext uri="{147F2762-F138-4A5C-976F-8EAC2B608ADB}">
              <a16:predDERef xmlns:a16="http://schemas.microsoft.com/office/drawing/2014/main" pred="{6E454FEF-9225-D74A-9BAD-6D9B24A66CDD}"/>
            </a:ext>
          </a:extLst>
        </xdr:cNvPr>
        <xdr:cNvSpPr>
          <a:spLocks noChangeAspect="1" noChangeArrowheads="1"/>
        </xdr:cNvSpPr>
      </xdr:nvSpPr>
      <xdr:spPr bwMode="auto">
        <a:xfrm>
          <a:off x="7915275" y="5543550"/>
          <a:ext cx="304800" cy="30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23</xdr:row>
      <xdr:rowOff>0</xdr:rowOff>
    </xdr:from>
    <xdr:ext cx="304800" cy="300990"/>
    <xdr:sp macro="" textlink="">
      <xdr:nvSpPr>
        <xdr:cNvPr id="20" name="AutoShape 6" descr="Logo 10 aÃ±os">
          <a:extLst>
            <a:ext uri="{FF2B5EF4-FFF2-40B4-BE49-F238E27FC236}">
              <a16:creationId xmlns:a16="http://schemas.microsoft.com/office/drawing/2014/main" id="{056AFA29-AE79-47F2-9E63-4BF150404170}"/>
            </a:ext>
          </a:extLst>
        </xdr:cNvPr>
        <xdr:cNvSpPr>
          <a:spLocks noChangeAspect="1" noChangeArrowheads="1"/>
        </xdr:cNvSpPr>
      </xdr:nvSpPr>
      <xdr:spPr bwMode="auto">
        <a:xfrm>
          <a:off x="14030325" y="5343525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23</xdr:row>
      <xdr:rowOff>0</xdr:rowOff>
    </xdr:from>
    <xdr:ext cx="304800" cy="300990"/>
    <xdr:sp macro="" textlink="">
      <xdr:nvSpPr>
        <xdr:cNvPr id="21" name="AutoShape 7" descr="Logo 10 aÃ±os">
          <a:extLst>
            <a:ext uri="{FF2B5EF4-FFF2-40B4-BE49-F238E27FC236}">
              <a16:creationId xmlns:a16="http://schemas.microsoft.com/office/drawing/2014/main" id="{7C8711BE-33F4-428A-9739-6E59C813BA1F}"/>
            </a:ext>
          </a:extLst>
        </xdr:cNvPr>
        <xdr:cNvSpPr>
          <a:spLocks noChangeAspect="1" noChangeArrowheads="1"/>
        </xdr:cNvSpPr>
      </xdr:nvSpPr>
      <xdr:spPr bwMode="auto">
        <a:xfrm>
          <a:off x="14030325" y="5343525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23</xdr:row>
      <xdr:rowOff>0</xdr:rowOff>
    </xdr:from>
    <xdr:ext cx="304800" cy="299085"/>
    <xdr:sp macro="" textlink="">
      <xdr:nvSpPr>
        <xdr:cNvPr id="22" name="AutoShape 8" descr="Formato firma email ">
          <a:extLst>
            <a:ext uri="{FF2B5EF4-FFF2-40B4-BE49-F238E27FC236}">
              <a16:creationId xmlns:a16="http://schemas.microsoft.com/office/drawing/2014/main" id="{2A5506BC-B5FE-4AC4-807F-E54FC5FD4B27}"/>
            </a:ext>
          </a:extLst>
        </xdr:cNvPr>
        <xdr:cNvSpPr>
          <a:spLocks noChangeAspect="1" noChangeArrowheads="1"/>
        </xdr:cNvSpPr>
      </xdr:nvSpPr>
      <xdr:spPr bwMode="auto">
        <a:xfrm>
          <a:off x="14030325" y="5343525"/>
          <a:ext cx="304800" cy="2990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24</xdr:row>
      <xdr:rowOff>0</xdr:rowOff>
    </xdr:from>
    <xdr:ext cx="304800" cy="304165"/>
    <xdr:sp macro="" textlink="">
      <xdr:nvSpPr>
        <xdr:cNvPr id="23" name="AutoShape 6" descr="Logo 10 aÃ±os">
          <a:extLst>
            <a:ext uri="{FF2B5EF4-FFF2-40B4-BE49-F238E27FC236}">
              <a16:creationId xmlns:a16="http://schemas.microsoft.com/office/drawing/2014/main" id="{CA9B13AA-761E-4EEA-9235-B3F217A32AD4}"/>
            </a:ext>
            <a:ext uri="{147F2762-F138-4A5C-976F-8EAC2B608ADB}">
              <a16:predDERef xmlns:a16="http://schemas.microsoft.com/office/drawing/2014/main" pred="{89E95D96-92AE-384D-9C0E-C5396B94DA0A}"/>
            </a:ext>
          </a:extLst>
        </xdr:cNvPr>
        <xdr:cNvSpPr>
          <a:spLocks noChangeAspect="1" noChangeArrowheads="1"/>
        </xdr:cNvSpPr>
      </xdr:nvSpPr>
      <xdr:spPr bwMode="auto">
        <a:xfrm>
          <a:off x="14030325" y="5543550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24</xdr:row>
      <xdr:rowOff>0</xdr:rowOff>
    </xdr:from>
    <xdr:ext cx="304800" cy="304165"/>
    <xdr:sp macro="" textlink="">
      <xdr:nvSpPr>
        <xdr:cNvPr id="24" name="AutoShape 7" descr="Logo 10 aÃ±os">
          <a:extLst>
            <a:ext uri="{FF2B5EF4-FFF2-40B4-BE49-F238E27FC236}">
              <a16:creationId xmlns:a16="http://schemas.microsoft.com/office/drawing/2014/main" id="{863B1CD1-05A6-402C-99B9-EE157C05E868}"/>
            </a:ext>
            <a:ext uri="{147F2762-F138-4A5C-976F-8EAC2B608ADB}">
              <a16:predDERef xmlns:a16="http://schemas.microsoft.com/office/drawing/2014/main" pred="{FA711819-D31E-5943-B93D-E1C3879F977A}"/>
            </a:ext>
          </a:extLst>
        </xdr:cNvPr>
        <xdr:cNvSpPr>
          <a:spLocks noChangeAspect="1" noChangeArrowheads="1"/>
        </xdr:cNvSpPr>
      </xdr:nvSpPr>
      <xdr:spPr bwMode="auto">
        <a:xfrm>
          <a:off x="14030325" y="5543550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24</xdr:row>
      <xdr:rowOff>0</xdr:rowOff>
    </xdr:from>
    <xdr:ext cx="304800" cy="302260"/>
    <xdr:sp macro="" textlink="">
      <xdr:nvSpPr>
        <xdr:cNvPr id="25" name="AutoShape 8" descr="Formato firma email ">
          <a:extLst>
            <a:ext uri="{FF2B5EF4-FFF2-40B4-BE49-F238E27FC236}">
              <a16:creationId xmlns:a16="http://schemas.microsoft.com/office/drawing/2014/main" id="{D5406B95-7E55-41F9-B1F5-8E201173E814}"/>
            </a:ext>
            <a:ext uri="{147F2762-F138-4A5C-976F-8EAC2B608ADB}">
              <a16:predDERef xmlns:a16="http://schemas.microsoft.com/office/drawing/2014/main" pred="{6E454FEF-9225-D74A-9BAD-6D9B24A66CDD}"/>
            </a:ext>
          </a:extLst>
        </xdr:cNvPr>
        <xdr:cNvSpPr>
          <a:spLocks noChangeAspect="1" noChangeArrowheads="1"/>
        </xdr:cNvSpPr>
      </xdr:nvSpPr>
      <xdr:spPr bwMode="auto">
        <a:xfrm>
          <a:off x="14030325" y="5543550"/>
          <a:ext cx="304800" cy="30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48</xdr:col>
      <xdr:colOff>0</xdr:colOff>
      <xdr:row>23</xdr:row>
      <xdr:rowOff>0</xdr:rowOff>
    </xdr:from>
    <xdr:ext cx="304800" cy="300990"/>
    <xdr:sp macro="" textlink="">
      <xdr:nvSpPr>
        <xdr:cNvPr id="26" name="AutoShape 6" descr="Logo 10 aÃ±os">
          <a:extLst>
            <a:ext uri="{FF2B5EF4-FFF2-40B4-BE49-F238E27FC236}">
              <a16:creationId xmlns:a16="http://schemas.microsoft.com/office/drawing/2014/main" id="{D23F36AA-BD89-4C97-A6F4-2F2623F4A7D0}"/>
            </a:ext>
          </a:extLst>
        </xdr:cNvPr>
        <xdr:cNvSpPr>
          <a:spLocks noChangeAspect="1" noChangeArrowheads="1"/>
        </xdr:cNvSpPr>
      </xdr:nvSpPr>
      <xdr:spPr bwMode="auto">
        <a:xfrm>
          <a:off x="20145375" y="5343525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48</xdr:col>
      <xdr:colOff>0</xdr:colOff>
      <xdr:row>23</xdr:row>
      <xdr:rowOff>0</xdr:rowOff>
    </xdr:from>
    <xdr:ext cx="304800" cy="300990"/>
    <xdr:sp macro="" textlink="">
      <xdr:nvSpPr>
        <xdr:cNvPr id="27" name="AutoShape 7" descr="Logo 10 aÃ±os">
          <a:extLst>
            <a:ext uri="{FF2B5EF4-FFF2-40B4-BE49-F238E27FC236}">
              <a16:creationId xmlns:a16="http://schemas.microsoft.com/office/drawing/2014/main" id="{83463DDE-182B-44DD-A2E2-9C6E031E160F}"/>
            </a:ext>
          </a:extLst>
        </xdr:cNvPr>
        <xdr:cNvSpPr>
          <a:spLocks noChangeAspect="1" noChangeArrowheads="1"/>
        </xdr:cNvSpPr>
      </xdr:nvSpPr>
      <xdr:spPr bwMode="auto">
        <a:xfrm>
          <a:off x="20145375" y="5343525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48</xdr:col>
      <xdr:colOff>0</xdr:colOff>
      <xdr:row>23</xdr:row>
      <xdr:rowOff>0</xdr:rowOff>
    </xdr:from>
    <xdr:ext cx="304800" cy="299085"/>
    <xdr:sp macro="" textlink="">
      <xdr:nvSpPr>
        <xdr:cNvPr id="28" name="AutoShape 8" descr="Formato firma email ">
          <a:extLst>
            <a:ext uri="{FF2B5EF4-FFF2-40B4-BE49-F238E27FC236}">
              <a16:creationId xmlns:a16="http://schemas.microsoft.com/office/drawing/2014/main" id="{A05E665B-23DF-4C35-865A-CEAABC5C8377}"/>
            </a:ext>
          </a:extLst>
        </xdr:cNvPr>
        <xdr:cNvSpPr>
          <a:spLocks noChangeAspect="1" noChangeArrowheads="1"/>
        </xdr:cNvSpPr>
      </xdr:nvSpPr>
      <xdr:spPr bwMode="auto">
        <a:xfrm>
          <a:off x="20145375" y="5343525"/>
          <a:ext cx="304800" cy="2990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48</xdr:col>
      <xdr:colOff>0</xdr:colOff>
      <xdr:row>24</xdr:row>
      <xdr:rowOff>0</xdr:rowOff>
    </xdr:from>
    <xdr:ext cx="304800" cy="304165"/>
    <xdr:sp macro="" textlink="">
      <xdr:nvSpPr>
        <xdr:cNvPr id="29" name="AutoShape 6" descr="Logo 10 aÃ±os">
          <a:extLst>
            <a:ext uri="{FF2B5EF4-FFF2-40B4-BE49-F238E27FC236}">
              <a16:creationId xmlns:a16="http://schemas.microsoft.com/office/drawing/2014/main" id="{E44225A4-F49B-4CDE-916F-E07DDCDF8A00}"/>
            </a:ext>
            <a:ext uri="{147F2762-F138-4A5C-976F-8EAC2B608ADB}">
              <a16:predDERef xmlns:a16="http://schemas.microsoft.com/office/drawing/2014/main" pred="{89E95D96-92AE-384D-9C0E-C5396B94DA0A}"/>
            </a:ext>
          </a:extLst>
        </xdr:cNvPr>
        <xdr:cNvSpPr>
          <a:spLocks noChangeAspect="1" noChangeArrowheads="1"/>
        </xdr:cNvSpPr>
      </xdr:nvSpPr>
      <xdr:spPr bwMode="auto">
        <a:xfrm>
          <a:off x="20145375" y="5543550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48</xdr:col>
      <xdr:colOff>0</xdr:colOff>
      <xdr:row>24</xdr:row>
      <xdr:rowOff>0</xdr:rowOff>
    </xdr:from>
    <xdr:ext cx="304800" cy="304165"/>
    <xdr:sp macro="" textlink="">
      <xdr:nvSpPr>
        <xdr:cNvPr id="30" name="AutoShape 7" descr="Logo 10 aÃ±os">
          <a:extLst>
            <a:ext uri="{FF2B5EF4-FFF2-40B4-BE49-F238E27FC236}">
              <a16:creationId xmlns:a16="http://schemas.microsoft.com/office/drawing/2014/main" id="{817EDEB7-1273-4A59-86EF-BBD9D594C7D4}"/>
            </a:ext>
            <a:ext uri="{147F2762-F138-4A5C-976F-8EAC2B608ADB}">
              <a16:predDERef xmlns:a16="http://schemas.microsoft.com/office/drawing/2014/main" pred="{FA711819-D31E-5943-B93D-E1C3879F977A}"/>
            </a:ext>
          </a:extLst>
        </xdr:cNvPr>
        <xdr:cNvSpPr>
          <a:spLocks noChangeAspect="1" noChangeArrowheads="1"/>
        </xdr:cNvSpPr>
      </xdr:nvSpPr>
      <xdr:spPr bwMode="auto">
        <a:xfrm>
          <a:off x="20145375" y="5543550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48</xdr:col>
      <xdr:colOff>0</xdr:colOff>
      <xdr:row>24</xdr:row>
      <xdr:rowOff>0</xdr:rowOff>
    </xdr:from>
    <xdr:ext cx="304800" cy="302260"/>
    <xdr:sp macro="" textlink="">
      <xdr:nvSpPr>
        <xdr:cNvPr id="31" name="AutoShape 8" descr="Formato firma email ">
          <a:extLst>
            <a:ext uri="{FF2B5EF4-FFF2-40B4-BE49-F238E27FC236}">
              <a16:creationId xmlns:a16="http://schemas.microsoft.com/office/drawing/2014/main" id="{C37E5A1D-4560-493D-BE8B-2BE6EE786034}"/>
            </a:ext>
            <a:ext uri="{147F2762-F138-4A5C-976F-8EAC2B608ADB}">
              <a16:predDERef xmlns:a16="http://schemas.microsoft.com/office/drawing/2014/main" pred="{6E454FEF-9225-D74A-9BAD-6D9B24A66CDD}"/>
            </a:ext>
          </a:extLst>
        </xdr:cNvPr>
        <xdr:cNvSpPr>
          <a:spLocks noChangeAspect="1" noChangeArrowheads="1"/>
        </xdr:cNvSpPr>
      </xdr:nvSpPr>
      <xdr:spPr bwMode="auto">
        <a:xfrm>
          <a:off x="20145375" y="5543550"/>
          <a:ext cx="304800" cy="30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58</xdr:col>
      <xdr:colOff>0</xdr:colOff>
      <xdr:row>23</xdr:row>
      <xdr:rowOff>0</xdr:rowOff>
    </xdr:from>
    <xdr:ext cx="304800" cy="300990"/>
    <xdr:sp macro="" textlink="">
      <xdr:nvSpPr>
        <xdr:cNvPr id="32" name="AutoShape 6" descr="Logo 10 aÃ±os">
          <a:extLst>
            <a:ext uri="{FF2B5EF4-FFF2-40B4-BE49-F238E27FC236}">
              <a16:creationId xmlns:a16="http://schemas.microsoft.com/office/drawing/2014/main" id="{F1A39A92-F1E0-4E6A-85B6-CAB94600DD60}"/>
            </a:ext>
          </a:extLst>
        </xdr:cNvPr>
        <xdr:cNvSpPr>
          <a:spLocks noChangeAspect="1" noChangeArrowheads="1"/>
        </xdr:cNvSpPr>
      </xdr:nvSpPr>
      <xdr:spPr bwMode="auto">
        <a:xfrm>
          <a:off x="26260425" y="5343525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58</xdr:col>
      <xdr:colOff>0</xdr:colOff>
      <xdr:row>23</xdr:row>
      <xdr:rowOff>0</xdr:rowOff>
    </xdr:from>
    <xdr:ext cx="304800" cy="300990"/>
    <xdr:sp macro="" textlink="">
      <xdr:nvSpPr>
        <xdr:cNvPr id="33" name="AutoShape 7" descr="Logo 10 aÃ±os">
          <a:extLst>
            <a:ext uri="{FF2B5EF4-FFF2-40B4-BE49-F238E27FC236}">
              <a16:creationId xmlns:a16="http://schemas.microsoft.com/office/drawing/2014/main" id="{77A9FB72-D77F-4DF0-BEE1-C4710D6630D1}"/>
            </a:ext>
          </a:extLst>
        </xdr:cNvPr>
        <xdr:cNvSpPr>
          <a:spLocks noChangeAspect="1" noChangeArrowheads="1"/>
        </xdr:cNvSpPr>
      </xdr:nvSpPr>
      <xdr:spPr bwMode="auto">
        <a:xfrm>
          <a:off x="26260425" y="5343525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58</xdr:col>
      <xdr:colOff>0</xdr:colOff>
      <xdr:row>23</xdr:row>
      <xdr:rowOff>0</xdr:rowOff>
    </xdr:from>
    <xdr:ext cx="304800" cy="299085"/>
    <xdr:sp macro="" textlink="">
      <xdr:nvSpPr>
        <xdr:cNvPr id="34" name="AutoShape 8" descr="Formato firma email ">
          <a:extLst>
            <a:ext uri="{FF2B5EF4-FFF2-40B4-BE49-F238E27FC236}">
              <a16:creationId xmlns:a16="http://schemas.microsoft.com/office/drawing/2014/main" id="{C407A79D-6B3B-4B47-959D-041A5A3923BE}"/>
            </a:ext>
          </a:extLst>
        </xdr:cNvPr>
        <xdr:cNvSpPr>
          <a:spLocks noChangeAspect="1" noChangeArrowheads="1"/>
        </xdr:cNvSpPr>
      </xdr:nvSpPr>
      <xdr:spPr bwMode="auto">
        <a:xfrm>
          <a:off x="26260425" y="5343525"/>
          <a:ext cx="304800" cy="2990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58</xdr:col>
      <xdr:colOff>0</xdr:colOff>
      <xdr:row>24</xdr:row>
      <xdr:rowOff>0</xdr:rowOff>
    </xdr:from>
    <xdr:ext cx="304800" cy="304165"/>
    <xdr:sp macro="" textlink="">
      <xdr:nvSpPr>
        <xdr:cNvPr id="35" name="AutoShape 6" descr="Logo 10 aÃ±os">
          <a:extLst>
            <a:ext uri="{FF2B5EF4-FFF2-40B4-BE49-F238E27FC236}">
              <a16:creationId xmlns:a16="http://schemas.microsoft.com/office/drawing/2014/main" id="{3699101F-9095-472C-A7E9-AB6AED323012}"/>
            </a:ext>
            <a:ext uri="{147F2762-F138-4A5C-976F-8EAC2B608ADB}">
              <a16:predDERef xmlns:a16="http://schemas.microsoft.com/office/drawing/2014/main" pred="{89E95D96-92AE-384D-9C0E-C5396B94DA0A}"/>
            </a:ext>
          </a:extLst>
        </xdr:cNvPr>
        <xdr:cNvSpPr>
          <a:spLocks noChangeAspect="1" noChangeArrowheads="1"/>
        </xdr:cNvSpPr>
      </xdr:nvSpPr>
      <xdr:spPr bwMode="auto">
        <a:xfrm>
          <a:off x="26260425" y="5543550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58</xdr:col>
      <xdr:colOff>0</xdr:colOff>
      <xdr:row>24</xdr:row>
      <xdr:rowOff>0</xdr:rowOff>
    </xdr:from>
    <xdr:ext cx="304800" cy="304165"/>
    <xdr:sp macro="" textlink="">
      <xdr:nvSpPr>
        <xdr:cNvPr id="36" name="AutoShape 7" descr="Logo 10 aÃ±os">
          <a:extLst>
            <a:ext uri="{FF2B5EF4-FFF2-40B4-BE49-F238E27FC236}">
              <a16:creationId xmlns:a16="http://schemas.microsoft.com/office/drawing/2014/main" id="{6CA40A32-843B-42D4-AA49-A7D88785A698}"/>
            </a:ext>
            <a:ext uri="{147F2762-F138-4A5C-976F-8EAC2B608ADB}">
              <a16:predDERef xmlns:a16="http://schemas.microsoft.com/office/drawing/2014/main" pred="{FA711819-D31E-5943-B93D-E1C3879F977A}"/>
            </a:ext>
          </a:extLst>
        </xdr:cNvPr>
        <xdr:cNvSpPr>
          <a:spLocks noChangeAspect="1" noChangeArrowheads="1"/>
        </xdr:cNvSpPr>
      </xdr:nvSpPr>
      <xdr:spPr bwMode="auto">
        <a:xfrm>
          <a:off x="26260425" y="5543550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58</xdr:col>
      <xdr:colOff>0</xdr:colOff>
      <xdr:row>24</xdr:row>
      <xdr:rowOff>0</xdr:rowOff>
    </xdr:from>
    <xdr:ext cx="304800" cy="302260"/>
    <xdr:sp macro="" textlink="">
      <xdr:nvSpPr>
        <xdr:cNvPr id="37" name="AutoShape 8" descr="Formato firma email ">
          <a:extLst>
            <a:ext uri="{FF2B5EF4-FFF2-40B4-BE49-F238E27FC236}">
              <a16:creationId xmlns:a16="http://schemas.microsoft.com/office/drawing/2014/main" id="{829DEB24-1EC4-4B35-B070-6B986F10D7D5}"/>
            </a:ext>
            <a:ext uri="{147F2762-F138-4A5C-976F-8EAC2B608ADB}">
              <a16:predDERef xmlns:a16="http://schemas.microsoft.com/office/drawing/2014/main" pred="{6E454FEF-9225-D74A-9BAD-6D9B24A66CDD}"/>
            </a:ext>
          </a:extLst>
        </xdr:cNvPr>
        <xdr:cNvSpPr>
          <a:spLocks noChangeAspect="1" noChangeArrowheads="1"/>
        </xdr:cNvSpPr>
      </xdr:nvSpPr>
      <xdr:spPr bwMode="auto">
        <a:xfrm>
          <a:off x="26260425" y="5543550"/>
          <a:ext cx="304800" cy="30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23</xdr:row>
      <xdr:rowOff>0</xdr:rowOff>
    </xdr:from>
    <xdr:ext cx="304800" cy="300990"/>
    <xdr:sp macro="" textlink="">
      <xdr:nvSpPr>
        <xdr:cNvPr id="38" name="AutoShape 6" descr="Logo 10 aÃ±os">
          <a:extLst>
            <a:ext uri="{FF2B5EF4-FFF2-40B4-BE49-F238E27FC236}">
              <a16:creationId xmlns:a16="http://schemas.microsoft.com/office/drawing/2014/main" id="{CC2E2815-AF34-4DF9-8788-BB7CC75117AE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2790825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23</xdr:row>
      <xdr:rowOff>0</xdr:rowOff>
    </xdr:from>
    <xdr:ext cx="304800" cy="300990"/>
    <xdr:sp macro="" textlink="">
      <xdr:nvSpPr>
        <xdr:cNvPr id="39" name="AutoShape 7" descr="Logo 10 aÃ±os">
          <a:extLst>
            <a:ext uri="{FF2B5EF4-FFF2-40B4-BE49-F238E27FC236}">
              <a16:creationId xmlns:a16="http://schemas.microsoft.com/office/drawing/2014/main" id="{ADEBAF22-7EEB-428E-8AF7-8944FE0ACD9D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2790825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23</xdr:row>
      <xdr:rowOff>0</xdr:rowOff>
    </xdr:from>
    <xdr:ext cx="304800" cy="299085"/>
    <xdr:sp macro="" textlink="">
      <xdr:nvSpPr>
        <xdr:cNvPr id="40" name="AutoShape 8" descr="Formato firma email ">
          <a:extLst>
            <a:ext uri="{FF2B5EF4-FFF2-40B4-BE49-F238E27FC236}">
              <a16:creationId xmlns:a16="http://schemas.microsoft.com/office/drawing/2014/main" id="{B5AD1E40-BDE4-4371-81E8-5D059DD7262A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2790825"/>
          <a:ext cx="304800" cy="2990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24</xdr:row>
      <xdr:rowOff>0</xdr:rowOff>
    </xdr:from>
    <xdr:ext cx="304800" cy="304165"/>
    <xdr:sp macro="" textlink="">
      <xdr:nvSpPr>
        <xdr:cNvPr id="41" name="AutoShape 6" descr="Logo 10 aÃ±os">
          <a:extLst>
            <a:ext uri="{FF2B5EF4-FFF2-40B4-BE49-F238E27FC236}">
              <a16:creationId xmlns:a16="http://schemas.microsoft.com/office/drawing/2014/main" id="{796480ED-0BA5-4A42-8200-B1F6BB865B31}"/>
            </a:ext>
            <a:ext uri="{147F2762-F138-4A5C-976F-8EAC2B608ADB}">
              <a16:predDERef xmlns:a16="http://schemas.microsoft.com/office/drawing/2014/main" pred="{89E95D96-92AE-384D-9C0E-C5396B94DA0A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2790825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24</xdr:row>
      <xdr:rowOff>0</xdr:rowOff>
    </xdr:from>
    <xdr:ext cx="304800" cy="304165"/>
    <xdr:sp macro="" textlink="">
      <xdr:nvSpPr>
        <xdr:cNvPr id="42" name="AutoShape 7" descr="Logo 10 aÃ±os">
          <a:extLst>
            <a:ext uri="{FF2B5EF4-FFF2-40B4-BE49-F238E27FC236}">
              <a16:creationId xmlns:a16="http://schemas.microsoft.com/office/drawing/2014/main" id="{C9C83DE4-B536-43F9-ACB8-EAF058688733}"/>
            </a:ext>
            <a:ext uri="{147F2762-F138-4A5C-976F-8EAC2B608ADB}">
              <a16:predDERef xmlns:a16="http://schemas.microsoft.com/office/drawing/2014/main" pred="{FA711819-D31E-5943-B93D-E1C3879F977A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2790825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24</xdr:row>
      <xdr:rowOff>0</xdr:rowOff>
    </xdr:from>
    <xdr:ext cx="304800" cy="302260"/>
    <xdr:sp macro="" textlink="">
      <xdr:nvSpPr>
        <xdr:cNvPr id="43" name="AutoShape 8" descr="Formato firma email ">
          <a:extLst>
            <a:ext uri="{FF2B5EF4-FFF2-40B4-BE49-F238E27FC236}">
              <a16:creationId xmlns:a16="http://schemas.microsoft.com/office/drawing/2014/main" id="{C5161F58-4623-47A3-ACA9-A14F1C50E0F0}"/>
            </a:ext>
            <a:ext uri="{147F2762-F138-4A5C-976F-8EAC2B608ADB}">
              <a16:predDERef xmlns:a16="http://schemas.microsoft.com/office/drawing/2014/main" pred="{6E454FEF-9225-D74A-9BAD-6D9B24A66CDD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2790825"/>
          <a:ext cx="304800" cy="30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23</xdr:row>
      <xdr:rowOff>0</xdr:rowOff>
    </xdr:from>
    <xdr:ext cx="304800" cy="300990"/>
    <xdr:sp macro="" textlink="">
      <xdr:nvSpPr>
        <xdr:cNvPr id="44" name="AutoShape 6" descr="Logo 10 aÃ±os">
          <a:extLst>
            <a:ext uri="{FF2B5EF4-FFF2-40B4-BE49-F238E27FC236}">
              <a16:creationId xmlns:a16="http://schemas.microsoft.com/office/drawing/2014/main" id="{B4A47FEE-AA9B-4C50-833D-5F4B5A35E0A5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2790825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23</xdr:row>
      <xdr:rowOff>0</xdr:rowOff>
    </xdr:from>
    <xdr:ext cx="304800" cy="300990"/>
    <xdr:sp macro="" textlink="">
      <xdr:nvSpPr>
        <xdr:cNvPr id="45" name="AutoShape 7" descr="Logo 10 aÃ±os">
          <a:extLst>
            <a:ext uri="{FF2B5EF4-FFF2-40B4-BE49-F238E27FC236}">
              <a16:creationId xmlns:a16="http://schemas.microsoft.com/office/drawing/2014/main" id="{03BDBA0E-554C-40B4-9FBF-B84F3A8666E0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2790825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23</xdr:row>
      <xdr:rowOff>0</xdr:rowOff>
    </xdr:from>
    <xdr:ext cx="304800" cy="299085"/>
    <xdr:sp macro="" textlink="">
      <xdr:nvSpPr>
        <xdr:cNvPr id="46" name="AutoShape 8" descr="Formato firma email ">
          <a:extLst>
            <a:ext uri="{FF2B5EF4-FFF2-40B4-BE49-F238E27FC236}">
              <a16:creationId xmlns:a16="http://schemas.microsoft.com/office/drawing/2014/main" id="{D5AA83F5-0D8D-41C6-9F0F-C89E9D8DBA34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2790825"/>
          <a:ext cx="304800" cy="2990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24</xdr:row>
      <xdr:rowOff>0</xdr:rowOff>
    </xdr:from>
    <xdr:ext cx="304800" cy="304165"/>
    <xdr:sp macro="" textlink="">
      <xdr:nvSpPr>
        <xdr:cNvPr id="47" name="AutoShape 6" descr="Logo 10 aÃ±os">
          <a:extLst>
            <a:ext uri="{FF2B5EF4-FFF2-40B4-BE49-F238E27FC236}">
              <a16:creationId xmlns:a16="http://schemas.microsoft.com/office/drawing/2014/main" id="{D13DA817-7117-4A9F-AB6C-685C39249B50}"/>
            </a:ext>
            <a:ext uri="{147F2762-F138-4A5C-976F-8EAC2B608ADB}">
              <a16:predDERef xmlns:a16="http://schemas.microsoft.com/office/drawing/2014/main" pred="{89E95D96-92AE-384D-9C0E-C5396B94DA0A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2790825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24</xdr:row>
      <xdr:rowOff>0</xdr:rowOff>
    </xdr:from>
    <xdr:ext cx="304800" cy="304165"/>
    <xdr:sp macro="" textlink="">
      <xdr:nvSpPr>
        <xdr:cNvPr id="48" name="AutoShape 7" descr="Logo 10 aÃ±os">
          <a:extLst>
            <a:ext uri="{FF2B5EF4-FFF2-40B4-BE49-F238E27FC236}">
              <a16:creationId xmlns:a16="http://schemas.microsoft.com/office/drawing/2014/main" id="{4EA4940D-FE2D-4444-9A22-4E9FA0CDA2BE}"/>
            </a:ext>
            <a:ext uri="{147F2762-F138-4A5C-976F-8EAC2B608ADB}">
              <a16:predDERef xmlns:a16="http://schemas.microsoft.com/office/drawing/2014/main" pred="{FA711819-D31E-5943-B93D-E1C3879F977A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2790825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24</xdr:row>
      <xdr:rowOff>0</xdr:rowOff>
    </xdr:from>
    <xdr:ext cx="304800" cy="302260"/>
    <xdr:sp macro="" textlink="">
      <xdr:nvSpPr>
        <xdr:cNvPr id="49" name="AutoShape 8" descr="Formato firma email ">
          <a:extLst>
            <a:ext uri="{FF2B5EF4-FFF2-40B4-BE49-F238E27FC236}">
              <a16:creationId xmlns:a16="http://schemas.microsoft.com/office/drawing/2014/main" id="{11FA9CE7-915A-43E6-8833-DEED1866A15D}"/>
            </a:ext>
            <a:ext uri="{147F2762-F138-4A5C-976F-8EAC2B608ADB}">
              <a16:predDERef xmlns:a16="http://schemas.microsoft.com/office/drawing/2014/main" pred="{6E454FEF-9225-D74A-9BAD-6D9B24A66CDD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2790825"/>
          <a:ext cx="304800" cy="30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43</xdr:col>
      <xdr:colOff>0</xdr:colOff>
      <xdr:row>23</xdr:row>
      <xdr:rowOff>0</xdr:rowOff>
    </xdr:from>
    <xdr:ext cx="304800" cy="300990"/>
    <xdr:sp macro="" textlink="">
      <xdr:nvSpPr>
        <xdr:cNvPr id="50" name="AutoShape 6" descr="Logo 10 aÃ±os">
          <a:extLst>
            <a:ext uri="{FF2B5EF4-FFF2-40B4-BE49-F238E27FC236}">
              <a16:creationId xmlns:a16="http://schemas.microsoft.com/office/drawing/2014/main" id="{E7A690F3-F078-43E8-8E58-CD91DD17B566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2790825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43</xdr:col>
      <xdr:colOff>0</xdr:colOff>
      <xdr:row>23</xdr:row>
      <xdr:rowOff>0</xdr:rowOff>
    </xdr:from>
    <xdr:ext cx="304800" cy="300990"/>
    <xdr:sp macro="" textlink="">
      <xdr:nvSpPr>
        <xdr:cNvPr id="51" name="AutoShape 7" descr="Logo 10 aÃ±os">
          <a:extLst>
            <a:ext uri="{FF2B5EF4-FFF2-40B4-BE49-F238E27FC236}">
              <a16:creationId xmlns:a16="http://schemas.microsoft.com/office/drawing/2014/main" id="{98DE517C-0B7A-4D1E-A777-2E50239B551F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2790825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43</xdr:col>
      <xdr:colOff>0</xdr:colOff>
      <xdr:row>23</xdr:row>
      <xdr:rowOff>0</xdr:rowOff>
    </xdr:from>
    <xdr:ext cx="304800" cy="299085"/>
    <xdr:sp macro="" textlink="">
      <xdr:nvSpPr>
        <xdr:cNvPr id="52" name="AutoShape 8" descr="Formato firma email ">
          <a:extLst>
            <a:ext uri="{FF2B5EF4-FFF2-40B4-BE49-F238E27FC236}">
              <a16:creationId xmlns:a16="http://schemas.microsoft.com/office/drawing/2014/main" id="{CA0DBF46-819D-4FEC-9D40-9643B6A0F951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2790825"/>
          <a:ext cx="304800" cy="2990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43</xdr:col>
      <xdr:colOff>0</xdr:colOff>
      <xdr:row>24</xdr:row>
      <xdr:rowOff>0</xdr:rowOff>
    </xdr:from>
    <xdr:ext cx="304800" cy="304165"/>
    <xdr:sp macro="" textlink="">
      <xdr:nvSpPr>
        <xdr:cNvPr id="53" name="AutoShape 6" descr="Logo 10 aÃ±os">
          <a:extLst>
            <a:ext uri="{FF2B5EF4-FFF2-40B4-BE49-F238E27FC236}">
              <a16:creationId xmlns:a16="http://schemas.microsoft.com/office/drawing/2014/main" id="{4578AE5F-65CA-48EE-9B5C-7BB4E220E68C}"/>
            </a:ext>
            <a:ext uri="{147F2762-F138-4A5C-976F-8EAC2B608ADB}">
              <a16:predDERef xmlns:a16="http://schemas.microsoft.com/office/drawing/2014/main" pred="{89E95D96-92AE-384D-9C0E-C5396B94DA0A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2790825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43</xdr:col>
      <xdr:colOff>0</xdr:colOff>
      <xdr:row>24</xdr:row>
      <xdr:rowOff>0</xdr:rowOff>
    </xdr:from>
    <xdr:ext cx="304800" cy="304165"/>
    <xdr:sp macro="" textlink="">
      <xdr:nvSpPr>
        <xdr:cNvPr id="54" name="AutoShape 7" descr="Logo 10 aÃ±os">
          <a:extLst>
            <a:ext uri="{FF2B5EF4-FFF2-40B4-BE49-F238E27FC236}">
              <a16:creationId xmlns:a16="http://schemas.microsoft.com/office/drawing/2014/main" id="{B8691CB2-A650-440A-827C-7C254739F57F}"/>
            </a:ext>
            <a:ext uri="{147F2762-F138-4A5C-976F-8EAC2B608ADB}">
              <a16:predDERef xmlns:a16="http://schemas.microsoft.com/office/drawing/2014/main" pred="{FA711819-D31E-5943-B93D-E1C3879F977A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2790825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43</xdr:col>
      <xdr:colOff>0</xdr:colOff>
      <xdr:row>24</xdr:row>
      <xdr:rowOff>0</xdr:rowOff>
    </xdr:from>
    <xdr:ext cx="304800" cy="302260"/>
    <xdr:sp macro="" textlink="">
      <xdr:nvSpPr>
        <xdr:cNvPr id="55" name="AutoShape 8" descr="Formato firma email ">
          <a:extLst>
            <a:ext uri="{FF2B5EF4-FFF2-40B4-BE49-F238E27FC236}">
              <a16:creationId xmlns:a16="http://schemas.microsoft.com/office/drawing/2014/main" id="{901F06ED-96F4-4CB0-8E9D-F20F367AF48E}"/>
            </a:ext>
            <a:ext uri="{147F2762-F138-4A5C-976F-8EAC2B608ADB}">
              <a16:predDERef xmlns:a16="http://schemas.microsoft.com/office/drawing/2014/main" pred="{6E454FEF-9225-D74A-9BAD-6D9B24A66CDD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2790825"/>
          <a:ext cx="304800" cy="30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23</xdr:row>
      <xdr:rowOff>0</xdr:rowOff>
    </xdr:from>
    <xdr:ext cx="304800" cy="300990"/>
    <xdr:sp macro="" textlink="">
      <xdr:nvSpPr>
        <xdr:cNvPr id="56" name="AutoShape 6" descr="Logo 10 aÃ±os">
          <a:extLst>
            <a:ext uri="{FF2B5EF4-FFF2-40B4-BE49-F238E27FC236}">
              <a16:creationId xmlns:a16="http://schemas.microsoft.com/office/drawing/2014/main" id="{EAD80120-A3CA-4311-BE40-8510438157A0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2790825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23</xdr:row>
      <xdr:rowOff>0</xdr:rowOff>
    </xdr:from>
    <xdr:ext cx="304800" cy="300990"/>
    <xdr:sp macro="" textlink="">
      <xdr:nvSpPr>
        <xdr:cNvPr id="57" name="AutoShape 7" descr="Logo 10 aÃ±os">
          <a:extLst>
            <a:ext uri="{FF2B5EF4-FFF2-40B4-BE49-F238E27FC236}">
              <a16:creationId xmlns:a16="http://schemas.microsoft.com/office/drawing/2014/main" id="{10F39E3B-6FE9-4E45-B7E0-93200AF785D3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2790825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23</xdr:row>
      <xdr:rowOff>0</xdr:rowOff>
    </xdr:from>
    <xdr:ext cx="304800" cy="299085"/>
    <xdr:sp macro="" textlink="">
      <xdr:nvSpPr>
        <xdr:cNvPr id="58" name="AutoShape 8" descr="Formato firma email ">
          <a:extLst>
            <a:ext uri="{FF2B5EF4-FFF2-40B4-BE49-F238E27FC236}">
              <a16:creationId xmlns:a16="http://schemas.microsoft.com/office/drawing/2014/main" id="{D1407B45-7427-4010-8528-848A01CBFACA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2790825"/>
          <a:ext cx="304800" cy="2990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24</xdr:row>
      <xdr:rowOff>0</xdr:rowOff>
    </xdr:from>
    <xdr:ext cx="304800" cy="304165"/>
    <xdr:sp macro="" textlink="">
      <xdr:nvSpPr>
        <xdr:cNvPr id="59" name="AutoShape 6" descr="Logo 10 aÃ±os">
          <a:extLst>
            <a:ext uri="{FF2B5EF4-FFF2-40B4-BE49-F238E27FC236}">
              <a16:creationId xmlns:a16="http://schemas.microsoft.com/office/drawing/2014/main" id="{D88135CB-B328-485D-8079-5838DFFF130A}"/>
            </a:ext>
            <a:ext uri="{147F2762-F138-4A5C-976F-8EAC2B608ADB}">
              <a16:predDERef xmlns:a16="http://schemas.microsoft.com/office/drawing/2014/main" pred="{89E95D96-92AE-384D-9C0E-C5396B94DA0A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2790825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24</xdr:row>
      <xdr:rowOff>0</xdr:rowOff>
    </xdr:from>
    <xdr:ext cx="304800" cy="304165"/>
    <xdr:sp macro="" textlink="">
      <xdr:nvSpPr>
        <xdr:cNvPr id="60" name="AutoShape 7" descr="Logo 10 aÃ±os">
          <a:extLst>
            <a:ext uri="{FF2B5EF4-FFF2-40B4-BE49-F238E27FC236}">
              <a16:creationId xmlns:a16="http://schemas.microsoft.com/office/drawing/2014/main" id="{0DBF824B-96FE-450D-9BC0-571F48E53647}"/>
            </a:ext>
            <a:ext uri="{147F2762-F138-4A5C-976F-8EAC2B608ADB}">
              <a16:predDERef xmlns:a16="http://schemas.microsoft.com/office/drawing/2014/main" pred="{FA711819-D31E-5943-B93D-E1C3879F977A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2790825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24</xdr:row>
      <xdr:rowOff>0</xdr:rowOff>
    </xdr:from>
    <xdr:ext cx="304800" cy="302260"/>
    <xdr:sp macro="" textlink="">
      <xdr:nvSpPr>
        <xdr:cNvPr id="61" name="AutoShape 8" descr="Formato firma email ">
          <a:extLst>
            <a:ext uri="{FF2B5EF4-FFF2-40B4-BE49-F238E27FC236}">
              <a16:creationId xmlns:a16="http://schemas.microsoft.com/office/drawing/2014/main" id="{E5FF0CE8-969E-4A63-AB61-287C0A744094}"/>
            </a:ext>
            <a:ext uri="{147F2762-F138-4A5C-976F-8EAC2B608ADB}">
              <a16:predDERef xmlns:a16="http://schemas.microsoft.com/office/drawing/2014/main" pred="{6E454FEF-9225-D74A-9BAD-6D9B24A66CDD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2790825"/>
          <a:ext cx="304800" cy="30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63</xdr:col>
      <xdr:colOff>0</xdr:colOff>
      <xdr:row>23</xdr:row>
      <xdr:rowOff>0</xdr:rowOff>
    </xdr:from>
    <xdr:ext cx="304800" cy="300990"/>
    <xdr:sp macro="" textlink="">
      <xdr:nvSpPr>
        <xdr:cNvPr id="62" name="AutoShape 6" descr="Logo 10 aÃ±os">
          <a:extLst>
            <a:ext uri="{FF2B5EF4-FFF2-40B4-BE49-F238E27FC236}">
              <a16:creationId xmlns:a16="http://schemas.microsoft.com/office/drawing/2014/main" id="{4B2EE86D-080F-4B32-95F4-138525FF8A17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2790825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63</xdr:col>
      <xdr:colOff>0</xdr:colOff>
      <xdr:row>23</xdr:row>
      <xdr:rowOff>0</xdr:rowOff>
    </xdr:from>
    <xdr:ext cx="304800" cy="300990"/>
    <xdr:sp macro="" textlink="">
      <xdr:nvSpPr>
        <xdr:cNvPr id="63" name="AutoShape 7" descr="Logo 10 aÃ±os">
          <a:extLst>
            <a:ext uri="{FF2B5EF4-FFF2-40B4-BE49-F238E27FC236}">
              <a16:creationId xmlns:a16="http://schemas.microsoft.com/office/drawing/2014/main" id="{C6123983-33EF-4B06-85DD-6F4D329EBA58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2790825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63</xdr:col>
      <xdr:colOff>0</xdr:colOff>
      <xdr:row>23</xdr:row>
      <xdr:rowOff>0</xdr:rowOff>
    </xdr:from>
    <xdr:ext cx="304800" cy="299085"/>
    <xdr:sp macro="" textlink="">
      <xdr:nvSpPr>
        <xdr:cNvPr id="64" name="AutoShape 8" descr="Formato firma email ">
          <a:extLst>
            <a:ext uri="{FF2B5EF4-FFF2-40B4-BE49-F238E27FC236}">
              <a16:creationId xmlns:a16="http://schemas.microsoft.com/office/drawing/2014/main" id="{8C719AC8-8D98-4BBB-B3CF-890906A15903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2790825"/>
          <a:ext cx="304800" cy="2990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63</xdr:col>
      <xdr:colOff>0</xdr:colOff>
      <xdr:row>24</xdr:row>
      <xdr:rowOff>0</xdr:rowOff>
    </xdr:from>
    <xdr:ext cx="304800" cy="304165"/>
    <xdr:sp macro="" textlink="">
      <xdr:nvSpPr>
        <xdr:cNvPr id="65" name="AutoShape 6" descr="Logo 10 aÃ±os">
          <a:extLst>
            <a:ext uri="{FF2B5EF4-FFF2-40B4-BE49-F238E27FC236}">
              <a16:creationId xmlns:a16="http://schemas.microsoft.com/office/drawing/2014/main" id="{0D010136-B6C1-4709-97DC-39992DEC0AE0}"/>
            </a:ext>
            <a:ext uri="{147F2762-F138-4A5C-976F-8EAC2B608ADB}">
              <a16:predDERef xmlns:a16="http://schemas.microsoft.com/office/drawing/2014/main" pred="{89E95D96-92AE-384D-9C0E-C5396B94DA0A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2790825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63</xdr:col>
      <xdr:colOff>0</xdr:colOff>
      <xdr:row>24</xdr:row>
      <xdr:rowOff>0</xdr:rowOff>
    </xdr:from>
    <xdr:ext cx="304800" cy="304165"/>
    <xdr:sp macro="" textlink="">
      <xdr:nvSpPr>
        <xdr:cNvPr id="66" name="AutoShape 7" descr="Logo 10 aÃ±os">
          <a:extLst>
            <a:ext uri="{FF2B5EF4-FFF2-40B4-BE49-F238E27FC236}">
              <a16:creationId xmlns:a16="http://schemas.microsoft.com/office/drawing/2014/main" id="{48C3B7D5-4E70-4194-95A1-66D1B86E00D3}"/>
            </a:ext>
            <a:ext uri="{147F2762-F138-4A5C-976F-8EAC2B608ADB}">
              <a16:predDERef xmlns:a16="http://schemas.microsoft.com/office/drawing/2014/main" pred="{FA711819-D31E-5943-B93D-E1C3879F977A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2790825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63</xdr:col>
      <xdr:colOff>0</xdr:colOff>
      <xdr:row>24</xdr:row>
      <xdr:rowOff>0</xdr:rowOff>
    </xdr:from>
    <xdr:ext cx="304800" cy="302260"/>
    <xdr:sp macro="" textlink="">
      <xdr:nvSpPr>
        <xdr:cNvPr id="67" name="AutoShape 8" descr="Formato firma email ">
          <a:extLst>
            <a:ext uri="{FF2B5EF4-FFF2-40B4-BE49-F238E27FC236}">
              <a16:creationId xmlns:a16="http://schemas.microsoft.com/office/drawing/2014/main" id="{8AF195C9-3DC2-45C4-8B5D-4FFC90494BC2}"/>
            </a:ext>
            <a:ext uri="{147F2762-F138-4A5C-976F-8EAC2B608ADB}">
              <a16:predDERef xmlns:a16="http://schemas.microsoft.com/office/drawing/2014/main" pred="{6E454FEF-9225-D74A-9BAD-6D9B24A66CDD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2790825"/>
          <a:ext cx="304800" cy="30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22</xdr:row>
      <xdr:rowOff>0</xdr:rowOff>
    </xdr:from>
    <xdr:to>
      <xdr:col>13</xdr:col>
      <xdr:colOff>304800</xdr:colOff>
      <xdr:row>23</xdr:row>
      <xdr:rowOff>99284</xdr:rowOff>
    </xdr:to>
    <xdr:sp macro="" textlink="">
      <xdr:nvSpPr>
        <xdr:cNvPr id="2" name="AutoShape 6" descr="Logo 10 aÃ±os">
          <a:extLst>
            <a:ext uri="{FF2B5EF4-FFF2-40B4-BE49-F238E27FC236}">
              <a16:creationId xmlns:a16="http://schemas.microsoft.com/office/drawing/2014/main" id="{3A9F1820-ADDD-40F7-96C1-D292239AFF1C}"/>
            </a:ext>
          </a:extLst>
        </xdr:cNvPr>
        <xdr:cNvSpPr>
          <a:spLocks noChangeAspect="1" noChangeArrowheads="1"/>
        </xdr:cNvSpPr>
      </xdr:nvSpPr>
      <xdr:spPr bwMode="auto">
        <a:xfrm>
          <a:off x="21478875" y="474345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304800</xdr:colOff>
      <xdr:row>23</xdr:row>
      <xdr:rowOff>99284</xdr:rowOff>
    </xdr:to>
    <xdr:sp macro="" textlink="">
      <xdr:nvSpPr>
        <xdr:cNvPr id="3" name="AutoShape 7" descr="Logo 10 aÃ±os">
          <a:extLst>
            <a:ext uri="{FF2B5EF4-FFF2-40B4-BE49-F238E27FC236}">
              <a16:creationId xmlns:a16="http://schemas.microsoft.com/office/drawing/2014/main" id="{1B23DB2C-B7FE-4BE3-AFFC-62F1B1994892}"/>
            </a:ext>
          </a:extLst>
        </xdr:cNvPr>
        <xdr:cNvSpPr>
          <a:spLocks noChangeAspect="1" noChangeArrowheads="1"/>
        </xdr:cNvSpPr>
      </xdr:nvSpPr>
      <xdr:spPr bwMode="auto">
        <a:xfrm>
          <a:off x="21478875" y="474345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304800</xdr:colOff>
      <xdr:row>23</xdr:row>
      <xdr:rowOff>97379</xdr:rowOff>
    </xdr:to>
    <xdr:sp macro="" textlink="">
      <xdr:nvSpPr>
        <xdr:cNvPr id="4" name="AutoShape 8" descr="Formato firma email ">
          <a:extLst>
            <a:ext uri="{FF2B5EF4-FFF2-40B4-BE49-F238E27FC236}">
              <a16:creationId xmlns:a16="http://schemas.microsoft.com/office/drawing/2014/main" id="{43B67E8C-47CD-40A7-B56D-3EFED2B545BF}"/>
            </a:ext>
          </a:extLst>
        </xdr:cNvPr>
        <xdr:cNvSpPr>
          <a:spLocks noChangeAspect="1" noChangeArrowheads="1"/>
        </xdr:cNvSpPr>
      </xdr:nvSpPr>
      <xdr:spPr bwMode="auto">
        <a:xfrm>
          <a:off x="21478875" y="4743450"/>
          <a:ext cx="304800" cy="2990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0</xdr:colOff>
      <xdr:row>23</xdr:row>
      <xdr:rowOff>0</xdr:rowOff>
    </xdr:from>
    <xdr:ext cx="304800" cy="304165"/>
    <xdr:sp macro="" textlink="">
      <xdr:nvSpPr>
        <xdr:cNvPr id="5" name="AutoShape 6" descr="Logo 10 aÃ±os">
          <a:extLst>
            <a:ext uri="{FF2B5EF4-FFF2-40B4-BE49-F238E27FC236}">
              <a16:creationId xmlns:a16="http://schemas.microsoft.com/office/drawing/2014/main" id="{E9F8F993-ECBE-4D33-8F33-7DDC96D6DCD9}"/>
            </a:ext>
            <a:ext uri="{147F2762-F138-4A5C-976F-8EAC2B608ADB}">
              <a16:predDERef xmlns:a16="http://schemas.microsoft.com/office/drawing/2014/main" pred="{89E95D96-92AE-384D-9C0E-C5396B94DA0A}"/>
            </a:ext>
          </a:extLst>
        </xdr:cNvPr>
        <xdr:cNvSpPr>
          <a:spLocks noChangeAspect="1" noChangeArrowheads="1"/>
        </xdr:cNvSpPr>
      </xdr:nvSpPr>
      <xdr:spPr bwMode="auto">
        <a:xfrm>
          <a:off x="21478875" y="4743450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04165"/>
    <xdr:sp macro="" textlink="">
      <xdr:nvSpPr>
        <xdr:cNvPr id="6" name="AutoShape 7" descr="Logo 10 aÃ±os">
          <a:extLst>
            <a:ext uri="{FF2B5EF4-FFF2-40B4-BE49-F238E27FC236}">
              <a16:creationId xmlns:a16="http://schemas.microsoft.com/office/drawing/2014/main" id="{AC43B0BC-9712-49F6-9D41-B2041CD27B63}"/>
            </a:ext>
            <a:ext uri="{147F2762-F138-4A5C-976F-8EAC2B608ADB}">
              <a16:predDERef xmlns:a16="http://schemas.microsoft.com/office/drawing/2014/main" pred="{FA711819-D31E-5943-B93D-E1C3879F977A}"/>
            </a:ext>
          </a:extLst>
        </xdr:cNvPr>
        <xdr:cNvSpPr>
          <a:spLocks noChangeAspect="1" noChangeArrowheads="1"/>
        </xdr:cNvSpPr>
      </xdr:nvSpPr>
      <xdr:spPr bwMode="auto">
        <a:xfrm>
          <a:off x="21478875" y="4743450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02260"/>
    <xdr:sp macro="" textlink="">
      <xdr:nvSpPr>
        <xdr:cNvPr id="7" name="AutoShape 8" descr="Formato firma email ">
          <a:extLst>
            <a:ext uri="{FF2B5EF4-FFF2-40B4-BE49-F238E27FC236}">
              <a16:creationId xmlns:a16="http://schemas.microsoft.com/office/drawing/2014/main" id="{C2F0EB13-CB24-43C7-9514-050DAE487526}"/>
            </a:ext>
            <a:ext uri="{147F2762-F138-4A5C-976F-8EAC2B608ADB}">
              <a16:predDERef xmlns:a16="http://schemas.microsoft.com/office/drawing/2014/main" pred="{6E454FEF-9225-D74A-9BAD-6D9B24A66CDD}"/>
            </a:ext>
          </a:extLst>
        </xdr:cNvPr>
        <xdr:cNvSpPr>
          <a:spLocks noChangeAspect="1" noChangeArrowheads="1"/>
        </xdr:cNvSpPr>
      </xdr:nvSpPr>
      <xdr:spPr bwMode="auto">
        <a:xfrm>
          <a:off x="21478875" y="4743450"/>
          <a:ext cx="304800" cy="30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22</xdr:row>
      <xdr:rowOff>0</xdr:rowOff>
    </xdr:from>
    <xdr:ext cx="304800" cy="300990"/>
    <xdr:sp macro="" textlink="">
      <xdr:nvSpPr>
        <xdr:cNvPr id="8" name="AutoShape 6" descr="Logo 10 aÃ±os">
          <a:extLst>
            <a:ext uri="{FF2B5EF4-FFF2-40B4-BE49-F238E27FC236}">
              <a16:creationId xmlns:a16="http://schemas.microsoft.com/office/drawing/2014/main" id="{6456F539-EE45-4C36-815E-D9DBEC0E18B8}"/>
            </a:ext>
          </a:extLst>
        </xdr:cNvPr>
        <xdr:cNvSpPr>
          <a:spLocks noChangeAspect="1" noChangeArrowheads="1"/>
        </xdr:cNvSpPr>
      </xdr:nvSpPr>
      <xdr:spPr bwMode="auto">
        <a:xfrm>
          <a:off x="11486029" y="5210735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22</xdr:row>
      <xdr:rowOff>0</xdr:rowOff>
    </xdr:from>
    <xdr:ext cx="304800" cy="300990"/>
    <xdr:sp macro="" textlink="">
      <xdr:nvSpPr>
        <xdr:cNvPr id="9" name="AutoShape 7" descr="Logo 10 aÃ±os">
          <a:extLst>
            <a:ext uri="{FF2B5EF4-FFF2-40B4-BE49-F238E27FC236}">
              <a16:creationId xmlns:a16="http://schemas.microsoft.com/office/drawing/2014/main" id="{5A65DC3B-8DFF-476A-AFD2-CE2243544CC0}"/>
            </a:ext>
          </a:extLst>
        </xdr:cNvPr>
        <xdr:cNvSpPr>
          <a:spLocks noChangeAspect="1" noChangeArrowheads="1"/>
        </xdr:cNvSpPr>
      </xdr:nvSpPr>
      <xdr:spPr bwMode="auto">
        <a:xfrm>
          <a:off x="11486029" y="5210735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22</xdr:row>
      <xdr:rowOff>0</xdr:rowOff>
    </xdr:from>
    <xdr:ext cx="304800" cy="299085"/>
    <xdr:sp macro="" textlink="">
      <xdr:nvSpPr>
        <xdr:cNvPr id="10" name="AutoShape 8" descr="Formato firma email ">
          <a:extLst>
            <a:ext uri="{FF2B5EF4-FFF2-40B4-BE49-F238E27FC236}">
              <a16:creationId xmlns:a16="http://schemas.microsoft.com/office/drawing/2014/main" id="{8322B478-6301-4F50-B8BC-2FA20E6613D8}"/>
            </a:ext>
          </a:extLst>
        </xdr:cNvPr>
        <xdr:cNvSpPr>
          <a:spLocks noChangeAspect="1" noChangeArrowheads="1"/>
        </xdr:cNvSpPr>
      </xdr:nvSpPr>
      <xdr:spPr bwMode="auto">
        <a:xfrm>
          <a:off x="11486029" y="5210735"/>
          <a:ext cx="304800" cy="2990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23</xdr:row>
      <xdr:rowOff>0</xdr:rowOff>
    </xdr:from>
    <xdr:ext cx="304800" cy="304165"/>
    <xdr:sp macro="" textlink="">
      <xdr:nvSpPr>
        <xdr:cNvPr id="11" name="AutoShape 6" descr="Logo 10 aÃ±os">
          <a:extLst>
            <a:ext uri="{FF2B5EF4-FFF2-40B4-BE49-F238E27FC236}">
              <a16:creationId xmlns:a16="http://schemas.microsoft.com/office/drawing/2014/main" id="{C9F7FA52-EDAD-435C-BB4A-3FF8CEF13341}"/>
            </a:ext>
            <a:ext uri="{147F2762-F138-4A5C-976F-8EAC2B608ADB}">
              <a16:predDERef xmlns:a16="http://schemas.microsoft.com/office/drawing/2014/main" pred="{89E95D96-92AE-384D-9C0E-C5396B94DA0A}"/>
            </a:ext>
          </a:extLst>
        </xdr:cNvPr>
        <xdr:cNvSpPr>
          <a:spLocks noChangeAspect="1" noChangeArrowheads="1"/>
        </xdr:cNvSpPr>
      </xdr:nvSpPr>
      <xdr:spPr bwMode="auto">
        <a:xfrm>
          <a:off x="11486029" y="5412441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23</xdr:row>
      <xdr:rowOff>0</xdr:rowOff>
    </xdr:from>
    <xdr:ext cx="304800" cy="304165"/>
    <xdr:sp macro="" textlink="">
      <xdr:nvSpPr>
        <xdr:cNvPr id="12" name="AutoShape 7" descr="Logo 10 aÃ±os">
          <a:extLst>
            <a:ext uri="{FF2B5EF4-FFF2-40B4-BE49-F238E27FC236}">
              <a16:creationId xmlns:a16="http://schemas.microsoft.com/office/drawing/2014/main" id="{10367F5A-02CF-458B-80EE-1C51578C728F}"/>
            </a:ext>
            <a:ext uri="{147F2762-F138-4A5C-976F-8EAC2B608ADB}">
              <a16:predDERef xmlns:a16="http://schemas.microsoft.com/office/drawing/2014/main" pred="{FA711819-D31E-5943-B93D-E1C3879F977A}"/>
            </a:ext>
          </a:extLst>
        </xdr:cNvPr>
        <xdr:cNvSpPr>
          <a:spLocks noChangeAspect="1" noChangeArrowheads="1"/>
        </xdr:cNvSpPr>
      </xdr:nvSpPr>
      <xdr:spPr bwMode="auto">
        <a:xfrm>
          <a:off x="11486029" y="5412441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23</xdr:row>
      <xdr:rowOff>0</xdr:rowOff>
    </xdr:from>
    <xdr:ext cx="304800" cy="302260"/>
    <xdr:sp macro="" textlink="">
      <xdr:nvSpPr>
        <xdr:cNvPr id="13" name="AutoShape 8" descr="Formato firma email ">
          <a:extLst>
            <a:ext uri="{FF2B5EF4-FFF2-40B4-BE49-F238E27FC236}">
              <a16:creationId xmlns:a16="http://schemas.microsoft.com/office/drawing/2014/main" id="{0E83DF38-3755-49A6-98B3-92D3544006C3}"/>
            </a:ext>
            <a:ext uri="{147F2762-F138-4A5C-976F-8EAC2B608ADB}">
              <a16:predDERef xmlns:a16="http://schemas.microsoft.com/office/drawing/2014/main" pred="{6E454FEF-9225-D74A-9BAD-6D9B24A66CDD}"/>
            </a:ext>
          </a:extLst>
        </xdr:cNvPr>
        <xdr:cNvSpPr>
          <a:spLocks noChangeAspect="1" noChangeArrowheads="1"/>
        </xdr:cNvSpPr>
      </xdr:nvSpPr>
      <xdr:spPr bwMode="auto">
        <a:xfrm>
          <a:off x="11486029" y="5412441"/>
          <a:ext cx="304800" cy="30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22</xdr:row>
      <xdr:rowOff>0</xdr:rowOff>
    </xdr:from>
    <xdr:ext cx="304800" cy="300990"/>
    <xdr:sp macro="" textlink="">
      <xdr:nvSpPr>
        <xdr:cNvPr id="14" name="AutoShape 6" descr="Logo 10 aÃ±os">
          <a:extLst>
            <a:ext uri="{FF2B5EF4-FFF2-40B4-BE49-F238E27FC236}">
              <a16:creationId xmlns:a16="http://schemas.microsoft.com/office/drawing/2014/main" id="{F558BDF7-768D-4A9E-88F1-DAFDBA581B17}"/>
            </a:ext>
          </a:extLst>
        </xdr:cNvPr>
        <xdr:cNvSpPr>
          <a:spLocks noChangeAspect="1" noChangeArrowheads="1"/>
        </xdr:cNvSpPr>
      </xdr:nvSpPr>
      <xdr:spPr bwMode="auto">
        <a:xfrm>
          <a:off x="15038294" y="5210735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22</xdr:row>
      <xdr:rowOff>0</xdr:rowOff>
    </xdr:from>
    <xdr:ext cx="304800" cy="300990"/>
    <xdr:sp macro="" textlink="">
      <xdr:nvSpPr>
        <xdr:cNvPr id="15" name="AutoShape 7" descr="Logo 10 aÃ±os">
          <a:extLst>
            <a:ext uri="{FF2B5EF4-FFF2-40B4-BE49-F238E27FC236}">
              <a16:creationId xmlns:a16="http://schemas.microsoft.com/office/drawing/2014/main" id="{264E5F90-3D2E-443C-8CB8-29035B426F40}"/>
            </a:ext>
          </a:extLst>
        </xdr:cNvPr>
        <xdr:cNvSpPr>
          <a:spLocks noChangeAspect="1" noChangeArrowheads="1"/>
        </xdr:cNvSpPr>
      </xdr:nvSpPr>
      <xdr:spPr bwMode="auto">
        <a:xfrm>
          <a:off x="15038294" y="5210735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22</xdr:row>
      <xdr:rowOff>0</xdr:rowOff>
    </xdr:from>
    <xdr:ext cx="304800" cy="299085"/>
    <xdr:sp macro="" textlink="">
      <xdr:nvSpPr>
        <xdr:cNvPr id="16" name="AutoShape 8" descr="Formato firma email ">
          <a:extLst>
            <a:ext uri="{FF2B5EF4-FFF2-40B4-BE49-F238E27FC236}">
              <a16:creationId xmlns:a16="http://schemas.microsoft.com/office/drawing/2014/main" id="{D0EC035D-C04B-4778-BAEC-A075718C080C}"/>
            </a:ext>
          </a:extLst>
        </xdr:cNvPr>
        <xdr:cNvSpPr>
          <a:spLocks noChangeAspect="1" noChangeArrowheads="1"/>
        </xdr:cNvSpPr>
      </xdr:nvSpPr>
      <xdr:spPr bwMode="auto">
        <a:xfrm>
          <a:off x="15038294" y="5210735"/>
          <a:ext cx="304800" cy="2990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23</xdr:row>
      <xdr:rowOff>0</xdr:rowOff>
    </xdr:from>
    <xdr:ext cx="304800" cy="304165"/>
    <xdr:sp macro="" textlink="">
      <xdr:nvSpPr>
        <xdr:cNvPr id="17" name="AutoShape 6" descr="Logo 10 aÃ±os">
          <a:extLst>
            <a:ext uri="{FF2B5EF4-FFF2-40B4-BE49-F238E27FC236}">
              <a16:creationId xmlns:a16="http://schemas.microsoft.com/office/drawing/2014/main" id="{E85FC934-5C39-4BFA-AA99-5174E3B25CB6}"/>
            </a:ext>
            <a:ext uri="{147F2762-F138-4A5C-976F-8EAC2B608ADB}">
              <a16:predDERef xmlns:a16="http://schemas.microsoft.com/office/drawing/2014/main" pred="{89E95D96-92AE-384D-9C0E-C5396B94DA0A}"/>
            </a:ext>
          </a:extLst>
        </xdr:cNvPr>
        <xdr:cNvSpPr>
          <a:spLocks noChangeAspect="1" noChangeArrowheads="1"/>
        </xdr:cNvSpPr>
      </xdr:nvSpPr>
      <xdr:spPr bwMode="auto">
        <a:xfrm>
          <a:off x="15038294" y="5412441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23</xdr:row>
      <xdr:rowOff>0</xdr:rowOff>
    </xdr:from>
    <xdr:ext cx="304800" cy="304165"/>
    <xdr:sp macro="" textlink="">
      <xdr:nvSpPr>
        <xdr:cNvPr id="18" name="AutoShape 7" descr="Logo 10 aÃ±os">
          <a:extLst>
            <a:ext uri="{FF2B5EF4-FFF2-40B4-BE49-F238E27FC236}">
              <a16:creationId xmlns:a16="http://schemas.microsoft.com/office/drawing/2014/main" id="{3DA68B7A-9FB4-4215-8617-FA17AD583CFC}"/>
            </a:ext>
            <a:ext uri="{147F2762-F138-4A5C-976F-8EAC2B608ADB}">
              <a16:predDERef xmlns:a16="http://schemas.microsoft.com/office/drawing/2014/main" pred="{FA711819-D31E-5943-B93D-E1C3879F977A}"/>
            </a:ext>
          </a:extLst>
        </xdr:cNvPr>
        <xdr:cNvSpPr>
          <a:spLocks noChangeAspect="1" noChangeArrowheads="1"/>
        </xdr:cNvSpPr>
      </xdr:nvSpPr>
      <xdr:spPr bwMode="auto">
        <a:xfrm>
          <a:off x="15038294" y="5412441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23</xdr:row>
      <xdr:rowOff>0</xdr:rowOff>
    </xdr:from>
    <xdr:ext cx="304800" cy="302260"/>
    <xdr:sp macro="" textlink="">
      <xdr:nvSpPr>
        <xdr:cNvPr id="19" name="AutoShape 8" descr="Formato firma email ">
          <a:extLst>
            <a:ext uri="{FF2B5EF4-FFF2-40B4-BE49-F238E27FC236}">
              <a16:creationId xmlns:a16="http://schemas.microsoft.com/office/drawing/2014/main" id="{EA74808A-F1BD-4C71-B399-7794D36EC35F}"/>
            </a:ext>
            <a:ext uri="{147F2762-F138-4A5C-976F-8EAC2B608ADB}">
              <a16:predDERef xmlns:a16="http://schemas.microsoft.com/office/drawing/2014/main" pred="{6E454FEF-9225-D74A-9BAD-6D9B24A66CDD}"/>
            </a:ext>
          </a:extLst>
        </xdr:cNvPr>
        <xdr:cNvSpPr>
          <a:spLocks noChangeAspect="1" noChangeArrowheads="1"/>
        </xdr:cNvSpPr>
      </xdr:nvSpPr>
      <xdr:spPr bwMode="auto">
        <a:xfrm>
          <a:off x="15038294" y="5412441"/>
          <a:ext cx="304800" cy="30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3</xdr:row>
      <xdr:rowOff>0</xdr:rowOff>
    </xdr:from>
    <xdr:to>
      <xdr:col>21</xdr:col>
      <xdr:colOff>304800</xdr:colOff>
      <xdr:row>3</xdr:row>
      <xdr:rowOff>0</xdr:rowOff>
    </xdr:to>
    <xdr:sp macro="" textlink="">
      <xdr:nvSpPr>
        <xdr:cNvPr id="4" name="AutoShape 6" descr="Logo 10 aÃ±os">
          <a:extLst>
            <a:ext uri="{FF2B5EF4-FFF2-40B4-BE49-F238E27FC236}">
              <a16:creationId xmlns:a16="http://schemas.microsoft.com/office/drawing/2014/main" id="{E2D98237-CAC4-4B78-BE6A-05FF4952E8EE}"/>
            </a:ext>
          </a:extLst>
        </xdr:cNvPr>
        <xdr:cNvSpPr>
          <a:spLocks noChangeAspect="1" noChangeArrowheads="1"/>
        </xdr:cNvSpPr>
      </xdr:nvSpPr>
      <xdr:spPr bwMode="auto">
        <a:xfrm>
          <a:off x="22583775" y="1447800"/>
          <a:ext cx="3048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304800</xdr:colOff>
      <xdr:row>3</xdr:row>
      <xdr:rowOff>0</xdr:rowOff>
    </xdr:to>
    <xdr:sp macro="" textlink="">
      <xdr:nvSpPr>
        <xdr:cNvPr id="5" name="AutoShape 7" descr="Logo 10 aÃ±os">
          <a:extLst>
            <a:ext uri="{FF2B5EF4-FFF2-40B4-BE49-F238E27FC236}">
              <a16:creationId xmlns:a16="http://schemas.microsoft.com/office/drawing/2014/main" id="{E8E13AB2-5692-41B3-A705-AB96DFE9D006}"/>
            </a:ext>
          </a:extLst>
        </xdr:cNvPr>
        <xdr:cNvSpPr>
          <a:spLocks noChangeAspect="1" noChangeArrowheads="1"/>
        </xdr:cNvSpPr>
      </xdr:nvSpPr>
      <xdr:spPr bwMode="auto">
        <a:xfrm>
          <a:off x="22583775" y="1447800"/>
          <a:ext cx="3048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304800</xdr:colOff>
      <xdr:row>3</xdr:row>
      <xdr:rowOff>0</xdr:rowOff>
    </xdr:to>
    <xdr:sp macro="" textlink="">
      <xdr:nvSpPr>
        <xdr:cNvPr id="6" name="AutoShape 8" descr="Formato firma email ">
          <a:extLst>
            <a:ext uri="{FF2B5EF4-FFF2-40B4-BE49-F238E27FC236}">
              <a16:creationId xmlns:a16="http://schemas.microsoft.com/office/drawing/2014/main" id="{DF0D406F-773D-4213-B28A-F3BEC15A8769}"/>
            </a:ext>
          </a:extLst>
        </xdr:cNvPr>
        <xdr:cNvSpPr>
          <a:spLocks noChangeAspect="1" noChangeArrowheads="1"/>
        </xdr:cNvSpPr>
      </xdr:nvSpPr>
      <xdr:spPr bwMode="auto">
        <a:xfrm>
          <a:off x="22583775" y="1447800"/>
          <a:ext cx="3048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304800</xdr:colOff>
      <xdr:row>3</xdr:row>
      <xdr:rowOff>0</xdr:rowOff>
    </xdr:to>
    <xdr:sp macro="" textlink="">
      <xdr:nvSpPr>
        <xdr:cNvPr id="7" name="AutoShape 6" descr="Logo 10 aÃ±os">
          <a:extLst>
            <a:ext uri="{FF2B5EF4-FFF2-40B4-BE49-F238E27FC236}">
              <a16:creationId xmlns:a16="http://schemas.microsoft.com/office/drawing/2014/main" id="{58E9BEE6-317F-4BA2-AD39-4662D5CC53FD}"/>
            </a:ext>
          </a:extLst>
        </xdr:cNvPr>
        <xdr:cNvSpPr>
          <a:spLocks noChangeAspect="1" noChangeArrowheads="1"/>
        </xdr:cNvSpPr>
      </xdr:nvSpPr>
      <xdr:spPr bwMode="auto">
        <a:xfrm>
          <a:off x="22583775" y="1447800"/>
          <a:ext cx="3048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304800</xdr:colOff>
      <xdr:row>3</xdr:row>
      <xdr:rowOff>0</xdr:rowOff>
    </xdr:to>
    <xdr:sp macro="" textlink="">
      <xdr:nvSpPr>
        <xdr:cNvPr id="8" name="AutoShape 7" descr="Logo 10 aÃ±os">
          <a:extLst>
            <a:ext uri="{FF2B5EF4-FFF2-40B4-BE49-F238E27FC236}">
              <a16:creationId xmlns:a16="http://schemas.microsoft.com/office/drawing/2014/main" id="{A9508A2E-35BC-4E1C-A69D-05966E2F42B4}"/>
            </a:ext>
          </a:extLst>
        </xdr:cNvPr>
        <xdr:cNvSpPr>
          <a:spLocks noChangeAspect="1" noChangeArrowheads="1"/>
        </xdr:cNvSpPr>
      </xdr:nvSpPr>
      <xdr:spPr bwMode="auto">
        <a:xfrm>
          <a:off x="22583775" y="1447800"/>
          <a:ext cx="3048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304800</xdr:colOff>
      <xdr:row>3</xdr:row>
      <xdr:rowOff>0</xdr:rowOff>
    </xdr:to>
    <xdr:sp macro="" textlink="">
      <xdr:nvSpPr>
        <xdr:cNvPr id="9" name="AutoShape 8" descr="Formato firma email ">
          <a:extLst>
            <a:ext uri="{FF2B5EF4-FFF2-40B4-BE49-F238E27FC236}">
              <a16:creationId xmlns:a16="http://schemas.microsoft.com/office/drawing/2014/main" id="{2975175D-CCD1-4525-8935-00D0D0ECAF72}"/>
            </a:ext>
          </a:extLst>
        </xdr:cNvPr>
        <xdr:cNvSpPr>
          <a:spLocks noChangeAspect="1" noChangeArrowheads="1"/>
        </xdr:cNvSpPr>
      </xdr:nvSpPr>
      <xdr:spPr bwMode="auto">
        <a:xfrm>
          <a:off x="22583775" y="1447800"/>
          <a:ext cx="3048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rafico | OXDA" id="{615C333D-814A-4474-8F51-FECBC0C296FF}" userId="d99bdd04190225f8" providerId="Windows Live"/>
  <person displayName="Angeles Samano | OXDA" id="{FFC5CDA0-4CFE-4109-B342-1307CFF291AB}" userId="e1afb80cb6346096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2" dT="2026-02-12T19:23:43.98" personId="{615C333D-814A-4474-8F51-FECBC0C296FF}" id="{A9CD8B5B-D656-4114-A3BD-79779EFB7EE8}">
    <text xml:space="preserve">C-102 Y C-107
</text>
  </threadedComment>
  <threadedComment ref="D13" dT="2026-02-12T19:23:05.74" personId="{615C333D-814A-4474-8F51-FECBC0C296FF}" id="{D9A349B8-1871-41B1-95B0-8C3F7E40B972}">
    <text>C-102 Y C-104</text>
  </threadedComment>
  <threadedComment ref="D18" dT="2026-02-12T19:23:22.22" personId="{615C333D-814A-4474-8F51-FECBC0C296FF}" id="{22E85299-1677-4007-8141-7E85EA9781AD}">
    <text xml:space="preserve">C-102
</text>
  </threadedComment>
  <threadedComment ref="D25" dT="2026-02-12T19:26:42.05" personId="{615C333D-814A-4474-8F51-FECBC0C296FF}" id="{97B8CBD1-B956-42FC-9B44-DDFDCA315C95}">
    <text xml:space="preserve">C-418
</text>
  </threadedComment>
  <threadedComment ref="F25" dT="2026-04-23T17:57:25.12" personId="{FFC5CDA0-4CFE-4109-B342-1307CFF291AB}" id="{7B4B691E-31AC-4BE3-B650-A41D919FF731}">
    <text>C-424</text>
  </threadedComment>
  <threadedComment ref="D35" dT="2026-02-12T19:27:03.07" personId="{615C333D-814A-4474-8F51-FECBC0C296FF}" id="{7C9A9B4F-4C07-4936-BA23-0B12346EF735}">
    <text xml:space="preserve">C-418
</text>
  </threadedComment>
  <threadedComment ref="D128" dT="2026-02-12T19:29:16.31" personId="{615C333D-814A-4474-8F51-FECBC0C296FF}" id="{3D6276A5-B379-4620-ACA6-A98C3468406C}">
    <text xml:space="preserve">C-106
</text>
  </threadedComment>
  <threadedComment ref="F130" dT="2026-04-23T18:28:36.14" personId="{FFC5CDA0-4CFE-4109-B342-1307CFF291AB}" id="{FCA31272-FBF3-4E38-9CF3-56CEAB8E7B5F}">
    <text>C-108</text>
  </threadedComment>
  <threadedComment ref="D177" dT="2026-02-12T19:26:42.05" personId="{615C333D-814A-4474-8F51-FECBC0C296FF}" id="{DC55C0E9-51DD-406B-A9CC-8A57AC287F65}">
    <text xml:space="preserve">C-418
</text>
  </threadedComment>
  <threadedComment ref="F177" dT="2026-04-23T17:57:25.12" personId="{FFC5CDA0-4CFE-4109-B342-1307CFF291AB}" id="{51AFDA73-C5B0-44BF-8FD0-A6D9EBFDC514}">
    <text>C-424</text>
  </threadedComment>
  <threadedComment ref="D187" dT="2026-02-12T19:27:03.07" personId="{615C333D-814A-4474-8F51-FECBC0C296FF}" id="{E8A50D71-AAEF-4C51-8B2F-FE810F4FF833}">
    <text xml:space="preserve">C-418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52" dT="2024-11-06T15:35:46.65" personId="{615C333D-814A-4474-8F51-FECBC0C296FF}" id="{92AA9659-F3AF-4F64-8A9A-70C92EDA2001}">
    <text>NUEVA SUPER CRUNCH</text>
  </threadedComment>
  <threadedComment ref="B132" dT="2024-11-06T15:35:46.65" personId="{615C333D-814A-4474-8F51-FECBC0C296FF}" id="{C9D84825-E12F-440B-8E28-8C6DC1C945F3}">
    <text>NUEVA SUPER CRUNCH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3" dT="2026-01-27T23:41:37.01" personId="{FFC5CDA0-4CFE-4109-B342-1307CFF291AB}" id="{F42B04FE-D7A0-4C11-B0D3-ABB3CE6EB0B6}">
    <text>C-418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J33" dT="2026-02-10T01:01:34.98" personId="{615C333D-814A-4474-8F51-FECBC0C296FF}" id="{9D5FB391-CC2A-4B88-BCF9-0EB4C5E56BDF}">
    <text>KAIDA 11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BBB6C-17E2-461F-A604-7090C6132ABE}">
  <sheetPr>
    <tabColor rgb="FFE9F7FD"/>
  </sheetPr>
  <dimension ref="A1:K60"/>
  <sheetViews>
    <sheetView topLeftCell="A10" zoomScaleNormal="100" workbookViewId="0">
      <pane xSplit="1" ySplit="2" topLeftCell="B39" activePane="bottomRight" state="frozen"/>
      <selection activeCell="A10" sqref="A10"/>
      <selection pane="topRight" activeCell="B10" sqref="B10"/>
      <selection pane="bottomLeft" activeCell="A12" sqref="A12"/>
      <selection pane="bottomRight" activeCell="C53" sqref="C53"/>
    </sheetView>
  </sheetViews>
  <sheetFormatPr baseColWidth="10" defaultColWidth="10.7109375" defaultRowHeight="15" x14ac:dyDescent="0.25"/>
  <cols>
    <col min="1" max="1" width="23.5703125" bestFit="1" customWidth="1"/>
    <col min="2" max="2" width="15.42578125" bestFit="1" customWidth="1"/>
    <col min="3" max="3" width="11.42578125" bestFit="1" customWidth="1"/>
    <col min="5" max="5" width="11.7109375" bestFit="1" customWidth="1"/>
    <col min="6" max="6" width="7" style="193" customWidth="1"/>
    <col min="10" max="10" width="13.5703125" customWidth="1"/>
  </cols>
  <sheetData>
    <row r="1" spans="1:11" hidden="1" x14ac:dyDescent="0.25">
      <c r="A1" s="124"/>
      <c r="B1" s="641" t="s">
        <v>0</v>
      </c>
      <c r="C1" s="642"/>
      <c r="D1" s="642"/>
      <c r="E1" s="642"/>
    </row>
    <row r="2" spans="1:11" ht="45" hidden="1" x14ac:dyDescent="0.25">
      <c r="A2" s="128" t="s">
        <v>1</v>
      </c>
      <c r="B2" s="129" t="s">
        <v>2</v>
      </c>
      <c r="C2" s="129" t="s">
        <v>3</v>
      </c>
      <c r="D2" s="129" t="s">
        <v>4</v>
      </c>
      <c r="E2" s="129" t="s">
        <v>5</v>
      </c>
      <c r="G2" s="304" t="s">
        <v>6</v>
      </c>
      <c r="H2" s="150" t="s">
        <v>7</v>
      </c>
      <c r="I2" s="150" t="s">
        <v>8</v>
      </c>
      <c r="J2" s="150" t="s">
        <v>9</v>
      </c>
    </row>
    <row r="3" spans="1:11" hidden="1" x14ac:dyDescent="0.25">
      <c r="A3" s="125" t="s">
        <v>10</v>
      </c>
      <c r="B3" s="126"/>
      <c r="C3" s="126"/>
      <c r="D3" s="126"/>
      <c r="E3" s="126"/>
      <c r="G3" s="195"/>
      <c r="H3" s="127"/>
      <c r="I3" s="127"/>
      <c r="J3" s="127"/>
    </row>
    <row r="4" spans="1:11" ht="30" hidden="1" x14ac:dyDescent="0.25">
      <c r="A4" s="303" t="s">
        <v>11</v>
      </c>
      <c r="B4" s="126"/>
      <c r="C4" s="126"/>
      <c r="D4" s="126"/>
      <c r="E4" s="126"/>
      <c r="G4" s="228"/>
      <c r="H4" s="127"/>
      <c r="I4" s="127"/>
      <c r="J4" s="127"/>
    </row>
    <row r="5" spans="1:11" hidden="1" x14ac:dyDescent="0.25">
      <c r="A5" s="125" t="s">
        <v>12</v>
      </c>
      <c r="B5" s="126"/>
      <c r="C5" s="126"/>
      <c r="D5" s="126"/>
      <c r="E5" s="126"/>
      <c r="G5" s="228"/>
      <c r="H5" s="127"/>
      <c r="I5" s="127"/>
      <c r="J5" s="127"/>
    </row>
    <row r="6" spans="1:11" hidden="1" x14ac:dyDescent="0.25">
      <c r="A6" s="125" t="s">
        <v>13</v>
      </c>
      <c r="B6" s="126"/>
      <c r="C6" s="126"/>
      <c r="D6" s="126"/>
      <c r="E6" s="126"/>
      <c r="G6" s="228"/>
      <c r="H6" s="127"/>
      <c r="I6" s="127"/>
      <c r="J6" s="127"/>
    </row>
    <row r="7" spans="1:11" hidden="1" x14ac:dyDescent="0.25">
      <c r="A7" s="130" t="s">
        <v>14</v>
      </c>
      <c r="B7" s="131"/>
      <c r="C7" s="131"/>
      <c r="D7" s="131"/>
      <c r="E7" s="131"/>
      <c r="G7" s="228"/>
      <c r="H7" s="127"/>
      <c r="I7" s="127"/>
      <c r="J7" s="127"/>
    </row>
    <row r="8" spans="1:11" ht="15.75" hidden="1" thickBot="1" x14ac:dyDescent="0.3">
      <c r="A8" s="130" t="s">
        <v>15</v>
      </c>
      <c r="B8" s="131"/>
      <c r="C8" s="131"/>
      <c r="D8" s="131"/>
      <c r="E8" s="131"/>
      <c r="G8" s="125"/>
      <c r="H8" s="125"/>
      <c r="I8" s="127"/>
      <c r="J8" s="127"/>
    </row>
    <row r="9" spans="1:11" ht="15.75" hidden="1" thickBot="1" x14ac:dyDescent="0.3">
      <c r="A9" s="132" t="s">
        <v>16</v>
      </c>
      <c r="B9" s="133"/>
      <c r="C9" s="133"/>
      <c r="D9" s="133"/>
      <c r="E9" s="133"/>
      <c r="F9" s="194"/>
      <c r="G9" s="149"/>
      <c r="H9" s="149"/>
      <c r="I9" s="149"/>
      <c r="J9" s="210"/>
    </row>
    <row r="10" spans="1:11" x14ac:dyDescent="0.25">
      <c r="A10" s="124"/>
      <c r="B10" s="638" t="s">
        <v>17</v>
      </c>
      <c r="C10" s="638"/>
      <c r="D10" s="638"/>
      <c r="E10" s="638"/>
    </row>
    <row r="11" spans="1:11" ht="30" x14ac:dyDescent="0.25">
      <c r="A11" s="128" t="s">
        <v>1</v>
      </c>
      <c r="B11" s="129" t="s">
        <v>18</v>
      </c>
      <c r="C11" s="129" t="s">
        <v>19</v>
      </c>
      <c r="D11" s="129" t="s">
        <v>20</v>
      </c>
      <c r="E11" s="129" t="s">
        <v>21</v>
      </c>
      <c r="G11" s="304" t="s">
        <v>6</v>
      </c>
      <c r="H11" s="150" t="s">
        <v>7</v>
      </c>
      <c r="I11" s="150" t="s">
        <v>8</v>
      </c>
      <c r="J11" s="150" t="s">
        <v>9</v>
      </c>
    </row>
    <row r="12" spans="1:11" x14ac:dyDescent="0.25">
      <c r="A12" s="125" t="s">
        <v>10</v>
      </c>
      <c r="B12" s="126">
        <f>+'$$$$$'!S22</f>
        <v>2232136.2824999997</v>
      </c>
      <c r="C12" s="126">
        <f>+'$$$$$'!R22</f>
        <v>7406.75</v>
      </c>
      <c r="D12" s="126">
        <f>+B12/C12</f>
        <v>301.36514429405605</v>
      </c>
      <c r="E12" s="126">
        <f>+CANCÚN!J26</f>
        <v>1803</v>
      </c>
      <c r="G12" s="228">
        <v>2268</v>
      </c>
      <c r="H12" s="127">
        <v>2000</v>
      </c>
      <c r="I12" s="127">
        <f t="shared" ref="I12:I17" si="0">+G12+C12</f>
        <v>9674.75</v>
      </c>
      <c r="J12" s="127">
        <f t="shared" ref="J12:J17" si="1">+I12-H12</f>
        <v>7674.75</v>
      </c>
      <c r="K12" s="410">
        <f t="shared" ref="K12:K16" si="2">+J12/H12</f>
        <v>3.8373750000000002</v>
      </c>
    </row>
    <row r="13" spans="1:11" ht="30" x14ac:dyDescent="0.25">
      <c r="A13" s="303" t="s">
        <v>11</v>
      </c>
      <c r="B13" s="126">
        <f>+'$$$$$'!S46+'$$$$$'!S70+'$$$$$'!S94+'$$$$$'!S171</f>
        <v>1775097.1490000002</v>
      </c>
      <c r="C13" s="126">
        <f>+'$$$$$'!T171+'$$$$$'!T94+'$$$$$'!T70+'$$$$$'!T46</f>
        <v>3774.6000000000004</v>
      </c>
      <c r="D13" s="126">
        <f t="shared" ref="D13:D17" si="3">+B13/C13</f>
        <v>470.27424071424787</v>
      </c>
      <c r="E13" s="126">
        <f>+'RESUMEN CDMX'!J26+FRIGARSA!G24+FRESCO!G25+CANBELT!L8</f>
        <v>1539.7</v>
      </c>
      <c r="G13" s="228">
        <v>2268</v>
      </c>
      <c r="H13" s="127">
        <v>1200</v>
      </c>
      <c r="I13" s="127">
        <f t="shared" si="0"/>
        <v>6042.6</v>
      </c>
      <c r="J13" s="127">
        <f t="shared" si="1"/>
        <v>4842.6000000000004</v>
      </c>
      <c r="K13" s="410">
        <f t="shared" si="2"/>
        <v>4.0354999999999999</v>
      </c>
    </row>
    <row r="14" spans="1:11" x14ac:dyDescent="0.25">
      <c r="A14" s="125" t="s">
        <v>12</v>
      </c>
      <c r="B14" s="126">
        <f>+'$$$$$'!S139</f>
        <v>1544466.5495999998</v>
      </c>
      <c r="C14" s="126">
        <f>+'$$$$$'!R139</f>
        <v>5539.16</v>
      </c>
      <c r="D14" s="126">
        <f t="shared" si="3"/>
        <v>278.82685273579386</v>
      </c>
      <c r="E14" s="126">
        <f>+'VULPES PAPAS'!G35</f>
        <v>2324.58</v>
      </c>
      <c r="G14" s="228"/>
      <c r="H14" s="127">
        <v>3200</v>
      </c>
      <c r="I14" s="127">
        <f t="shared" si="0"/>
        <v>5539.16</v>
      </c>
      <c r="J14" s="127">
        <f t="shared" si="1"/>
        <v>2339.16</v>
      </c>
      <c r="K14" s="410">
        <f t="shared" si="2"/>
        <v>0.7309874999999999</v>
      </c>
    </row>
    <row r="15" spans="1:11" x14ac:dyDescent="0.25">
      <c r="A15" s="125" t="s">
        <v>13</v>
      </c>
      <c r="B15" s="126">
        <f>+'$$$$$'!S112</f>
        <v>449970.4</v>
      </c>
      <c r="C15" s="126">
        <f>+'$$$$$'!R112</f>
        <v>1372</v>
      </c>
      <c r="D15" s="126">
        <f t="shared" si="3"/>
        <v>327.96676384839651</v>
      </c>
      <c r="E15" s="126">
        <f>+FRIJALISCO!J28</f>
        <v>2613</v>
      </c>
      <c r="G15" s="228"/>
      <c r="H15" s="127">
        <v>2200</v>
      </c>
      <c r="I15" s="127">
        <f t="shared" si="0"/>
        <v>1372</v>
      </c>
      <c r="J15" s="127">
        <f t="shared" si="1"/>
        <v>-828</v>
      </c>
      <c r="K15" s="410">
        <f t="shared" si="2"/>
        <v>-0.37636363636363634</v>
      </c>
    </row>
    <row r="16" spans="1:11" x14ac:dyDescent="0.25">
      <c r="A16" s="130" t="s">
        <v>14</v>
      </c>
      <c r="B16" s="126">
        <f>+'$$$$$'!S175</f>
        <v>94930.96</v>
      </c>
      <c r="C16" s="126">
        <f>+'$$$$$'!R174</f>
        <v>356</v>
      </c>
      <c r="D16" s="126">
        <f t="shared" si="3"/>
        <v>266.66000000000003</v>
      </c>
      <c r="E16" s="126">
        <f>+ALFRIMEX!H8</f>
        <v>158</v>
      </c>
      <c r="G16" s="228"/>
      <c r="H16" s="127">
        <v>50</v>
      </c>
      <c r="I16" s="127">
        <f t="shared" si="0"/>
        <v>356</v>
      </c>
      <c r="J16" s="127">
        <f t="shared" si="1"/>
        <v>306</v>
      </c>
      <c r="K16" s="410">
        <f t="shared" si="2"/>
        <v>6.12</v>
      </c>
    </row>
    <row r="17" spans="1:11" ht="15.75" thickBot="1" x14ac:dyDescent="0.3">
      <c r="A17" s="130" t="s">
        <v>15</v>
      </c>
      <c r="B17" s="131">
        <f>+'$$$$$'!S167</f>
        <v>307923.39230000001</v>
      </c>
      <c r="C17" s="131">
        <f>+'$$$$$'!R167</f>
        <v>980.84</v>
      </c>
      <c r="D17" s="126">
        <f t="shared" si="3"/>
        <v>313.9384530606419</v>
      </c>
      <c r="E17" s="394">
        <v>0</v>
      </c>
      <c r="G17" s="125"/>
      <c r="H17" s="125"/>
      <c r="I17" s="127">
        <f t="shared" si="0"/>
        <v>980.84</v>
      </c>
      <c r="J17" s="127">
        <f t="shared" si="1"/>
        <v>980.84</v>
      </c>
      <c r="K17" s="409"/>
    </row>
    <row r="18" spans="1:11" ht="15.75" thickBot="1" x14ac:dyDescent="0.3">
      <c r="A18" s="132" t="s">
        <v>16</v>
      </c>
      <c r="B18" s="133">
        <f>+SUM(B12:B17)</f>
        <v>6404524.7334000003</v>
      </c>
      <c r="C18" s="133">
        <f>+SUM(C12:C17)</f>
        <v>19429.350000000002</v>
      </c>
      <c r="D18" s="133">
        <f>+AVERAGE(D12:D17)</f>
        <v>326.5052424421894</v>
      </c>
      <c r="E18" s="133">
        <f>+SUM(E12:E16)</f>
        <v>8438.2799999999988</v>
      </c>
      <c r="F18" s="194"/>
      <c r="G18" s="149">
        <f>+SUM(G12:G17)</f>
        <v>4536</v>
      </c>
      <c r="H18" s="149">
        <f>+SUM(H12:H17)</f>
        <v>8650</v>
      </c>
      <c r="I18" s="149"/>
      <c r="J18" s="210">
        <f>+SUM(J12:J17)</f>
        <v>15315.35</v>
      </c>
      <c r="K18" s="395">
        <f>+J18/H18</f>
        <v>1.7705606936416185</v>
      </c>
    </row>
    <row r="20" spans="1:11" x14ac:dyDescent="0.25">
      <c r="A20" s="124"/>
      <c r="B20" s="638" t="s">
        <v>22</v>
      </c>
      <c r="C20" s="638"/>
      <c r="D20" s="638"/>
      <c r="E20" s="638"/>
    </row>
    <row r="21" spans="1:11" ht="30" x14ac:dyDescent="0.25">
      <c r="A21" s="128" t="s">
        <v>1</v>
      </c>
      <c r="B21" s="129" t="s">
        <v>18</v>
      </c>
      <c r="C21" s="129" t="s">
        <v>19</v>
      </c>
      <c r="D21" s="129" t="s">
        <v>20</v>
      </c>
      <c r="E21" s="129" t="s">
        <v>21</v>
      </c>
      <c r="G21" s="304" t="s">
        <v>6</v>
      </c>
      <c r="H21" s="150" t="s">
        <v>7</v>
      </c>
      <c r="I21" s="150" t="s">
        <v>8</v>
      </c>
      <c r="J21" s="150" t="s">
        <v>9</v>
      </c>
    </row>
    <row r="22" spans="1:11" x14ac:dyDescent="0.25">
      <c r="A22" s="125" t="s">
        <v>10</v>
      </c>
      <c r="B22" s="126">
        <f>+'$$$$$'!U22</f>
        <v>1713755.0649999999</v>
      </c>
      <c r="C22" s="126">
        <f>+'$$$$$'!T22</f>
        <v>5630</v>
      </c>
      <c r="D22" s="126">
        <f t="shared" ref="D22:D27" si="4">+B22/C22</f>
        <v>304.39699200710481</v>
      </c>
      <c r="E22" s="126">
        <f>+CANCÚN!O26</f>
        <v>1776.75</v>
      </c>
      <c r="G22" s="195"/>
      <c r="H22" s="127"/>
      <c r="I22" s="127"/>
      <c r="J22" s="127"/>
    </row>
    <row r="23" spans="1:11" ht="30" x14ac:dyDescent="0.25">
      <c r="A23" s="303" t="s">
        <v>11</v>
      </c>
      <c r="B23" s="126">
        <f>+'$$$$$'!U198+'$$$$$'!U171+'$$$$$'!U94+'$$$$$'!U70+'$$$$$'!U46</f>
        <v>1961617.5430000001</v>
      </c>
      <c r="C23" s="126">
        <f>+'$$$$$'!T46+'$$$$$'!T70+'$$$$$'!T94+'$$$$$'!T171+'$$$$$'!T198</f>
        <v>5822.6</v>
      </c>
      <c r="D23" s="126">
        <f t="shared" si="4"/>
        <v>336.8971839040978</v>
      </c>
      <c r="E23" s="126">
        <f>+'RESUMEN CDMX'!O26+FRIGARSA!L24+FRESCO!L25+MEXIDELI!L24+CANBELT!L8</f>
        <v>1420</v>
      </c>
      <c r="G23" s="228">
        <v>2198</v>
      </c>
      <c r="H23" s="127"/>
      <c r="I23" s="127"/>
      <c r="J23" s="127"/>
    </row>
    <row r="24" spans="1:11" x14ac:dyDescent="0.25">
      <c r="A24" s="125" t="s">
        <v>12</v>
      </c>
      <c r="B24" s="126">
        <f>+'$$$$$'!U139</f>
        <v>1677356.5496</v>
      </c>
      <c r="C24" s="126">
        <f>+'$$$$$'!T139</f>
        <v>6005.16</v>
      </c>
      <c r="D24" s="126">
        <f t="shared" si="4"/>
        <v>279.31921041237871</v>
      </c>
      <c r="E24" s="126">
        <f>+'VULPES PAPAS'!L35</f>
        <v>1353.1799999999998</v>
      </c>
      <c r="G24" s="228"/>
      <c r="H24" s="127"/>
      <c r="I24" s="127"/>
      <c r="J24" s="127"/>
    </row>
    <row r="25" spans="1:11" x14ac:dyDescent="0.25">
      <c r="A25" s="125" t="s">
        <v>13</v>
      </c>
      <c r="B25" s="126">
        <f>+'$$$$$'!U112</f>
        <v>666908.80000000005</v>
      </c>
      <c r="C25" s="126">
        <f>+'$$$$$'!T112</f>
        <v>2464</v>
      </c>
      <c r="D25" s="126">
        <f t="shared" si="4"/>
        <v>270.66103896103897</v>
      </c>
      <c r="E25" s="126">
        <f>+FRIJALISCO!O28</f>
        <v>1745</v>
      </c>
      <c r="G25" s="228"/>
      <c r="H25" s="127"/>
      <c r="I25" s="127"/>
      <c r="J25" s="127"/>
    </row>
    <row r="26" spans="1:11" x14ac:dyDescent="0.25">
      <c r="A26" s="130" t="s">
        <v>14</v>
      </c>
      <c r="B26" s="126">
        <f>+'$$$$$'!U175</f>
        <v>11733.04</v>
      </c>
      <c r="C26" s="126">
        <f>+'$$$$$'!T175</f>
        <v>44</v>
      </c>
      <c r="D26" s="126">
        <f t="shared" si="4"/>
        <v>266.66000000000003</v>
      </c>
      <c r="E26" s="126">
        <v>44</v>
      </c>
      <c r="G26" s="228"/>
      <c r="H26" s="127"/>
      <c r="I26" s="127"/>
      <c r="J26" s="127"/>
    </row>
    <row r="27" spans="1:11" ht="15.75" thickBot="1" x14ac:dyDescent="0.3">
      <c r="A27" s="130" t="s">
        <v>15</v>
      </c>
      <c r="B27" s="131">
        <f>+'$$$$$'!U167</f>
        <v>177402.6936</v>
      </c>
      <c r="C27" s="131">
        <f>+'$$$$$'!T167</f>
        <v>641.31999999999994</v>
      </c>
      <c r="D27" s="126">
        <f t="shared" si="4"/>
        <v>276.6211775712593</v>
      </c>
      <c r="E27" s="131">
        <v>0</v>
      </c>
      <c r="G27" s="125"/>
      <c r="H27" s="125"/>
      <c r="I27" s="127"/>
      <c r="J27" s="127"/>
    </row>
    <row r="28" spans="1:11" ht="15.75" thickBot="1" x14ac:dyDescent="0.3">
      <c r="A28" s="132" t="s">
        <v>16</v>
      </c>
      <c r="B28" s="133">
        <f>SUM(B22:B27)</f>
        <v>6208773.6912000002</v>
      </c>
      <c r="C28" s="133">
        <f t="shared" ref="C28:E28" si="5">SUM(C22:C27)</f>
        <v>20607.080000000002</v>
      </c>
      <c r="D28" s="133">
        <f t="shared" si="5"/>
        <v>1734.5556028558797</v>
      </c>
      <c r="E28" s="133">
        <f t="shared" si="5"/>
        <v>6338.93</v>
      </c>
      <c r="F28" s="194"/>
      <c r="G28" s="149"/>
      <c r="H28" s="149"/>
      <c r="I28" s="149"/>
      <c r="J28" s="210"/>
    </row>
    <row r="30" spans="1:11" x14ac:dyDescent="0.25">
      <c r="A30" s="124"/>
      <c r="B30" s="638" t="s">
        <v>23</v>
      </c>
      <c r="C30" s="638"/>
      <c r="D30" s="638"/>
      <c r="E30" s="638"/>
    </row>
    <row r="31" spans="1:11" ht="30" x14ac:dyDescent="0.25">
      <c r="A31" s="128" t="s">
        <v>1</v>
      </c>
      <c r="B31" s="129" t="s">
        <v>18</v>
      </c>
      <c r="C31" s="129" t="s">
        <v>19</v>
      </c>
      <c r="D31" s="129" t="s">
        <v>20</v>
      </c>
      <c r="E31" s="129" t="s">
        <v>21</v>
      </c>
      <c r="G31" s="304" t="s">
        <v>6</v>
      </c>
      <c r="H31" s="150" t="s">
        <v>7</v>
      </c>
      <c r="I31" s="150" t="s">
        <v>8</v>
      </c>
      <c r="J31" s="150" t="s">
        <v>9</v>
      </c>
    </row>
    <row r="32" spans="1:11" x14ac:dyDescent="0.25">
      <c r="A32" s="125" t="s">
        <v>10</v>
      </c>
      <c r="B32" s="126">
        <f>+'$$$$$'!W22</f>
        <v>911559.37750000006</v>
      </c>
      <c r="C32" s="126">
        <f>+'$$$$$'!V22</f>
        <v>2875.25</v>
      </c>
      <c r="D32" s="126">
        <f>+B32/C32</f>
        <v>317.03656290757328</v>
      </c>
      <c r="E32" s="126">
        <f>+CANCÚN!T26</f>
        <v>2764.75</v>
      </c>
      <c r="G32" s="195"/>
      <c r="H32" s="127"/>
      <c r="I32" s="127"/>
      <c r="J32" s="127"/>
    </row>
    <row r="33" spans="1:11" ht="30" x14ac:dyDescent="0.25">
      <c r="A33" s="303" t="s">
        <v>11</v>
      </c>
      <c r="B33" s="126">
        <f>+'$$$$$'!W46+'$$$$$'!W70+'$$$$$'!W94+'$$$$$'!W171+'$$$$$'!W198</f>
        <v>2359652.46</v>
      </c>
      <c r="C33" s="126">
        <f>+'$$$$$'!V46+'$$$$$'!V70+'$$$$$'!V94+'$$$$$'!V171+'$$$$$'!V198</f>
        <v>6974.8</v>
      </c>
      <c r="D33" s="126">
        <f t="shared" ref="D33:D37" si="6">+B33/C33</f>
        <v>338.31112863451278</v>
      </c>
      <c r="E33" s="126">
        <f>+'RESUMEN CDMX'!T26+FRIGARSA!Q24+FRESCO!Q25+MEXIDELI!Q24+CANBELT!Q8</f>
        <v>1722</v>
      </c>
      <c r="G33" s="228"/>
      <c r="H33" s="127"/>
      <c r="I33" s="127"/>
      <c r="J33" s="127"/>
    </row>
    <row r="34" spans="1:11" x14ac:dyDescent="0.25">
      <c r="A34" s="125" t="s">
        <v>12</v>
      </c>
      <c r="B34" s="126">
        <f>+'$$$$$'!W139</f>
        <v>1401514.9095999999</v>
      </c>
      <c r="C34" s="126">
        <f>+'$$$$$'!V139</f>
        <v>4955.16</v>
      </c>
      <c r="D34" s="126">
        <f t="shared" si="6"/>
        <v>282.8394864343432</v>
      </c>
      <c r="E34" s="126">
        <f>+'VULPES PAPAS'!Q35</f>
        <v>1424.08</v>
      </c>
      <c r="G34" s="228"/>
      <c r="H34" s="127"/>
      <c r="I34" s="127"/>
      <c r="J34" s="127"/>
    </row>
    <row r="35" spans="1:11" x14ac:dyDescent="0.25">
      <c r="A35" s="125" t="s">
        <v>13</v>
      </c>
      <c r="B35" s="126">
        <f>+'$$$$$'!W112</f>
        <v>1084783.83</v>
      </c>
      <c r="C35" s="126">
        <f>+'$$$$$'!V112</f>
        <v>3930</v>
      </c>
      <c r="D35" s="126">
        <f t="shared" si="6"/>
        <v>276.02641984732827</v>
      </c>
      <c r="E35" s="126">
        <f>+FRIJALISCO!T28</f>
        <v>2227</v>
      </c>
      <c r="G35" s="228"/>
      <c r="H35" s="127"/>
      <c r="I35" s="127"/>
      <c r="J35" s="127"/>
    </row>
    <row r="36" spans="1:11" hidden="1" x14ac:dyDescent="0.25">
      <c r="A36" s="130" t="s">
        <v>14</v>
      </c>
      <c r="B36" s="126"/>
      <c r="C36" s="126"/>
      <c r="D36" s="126" t="e">
        <f t="shared" si="6"/>
        <v>#DIV/0!</v>
      </c>
      <c r="E36" s="126"/>
      <c r="G36" s="228"/>
      <c r="H36" s="127"/>
      <c r="I36" s="127"/>
      <c r="J36" s="127"/>
    </row>
    <row r="37" spans="1:11" ht="15.75" thickBot="1" x14ac:dyDescent="0.3">
      <c r="A37" s="130" t="s">
        <v>15</v>
      </c>
      <c r="B37" s="131">
        <f>+'$$$$$'!W167</f>
        <v>649082.81359999999</v>
      </c>
      <c r="C37" s="131">
        <f>+'$$$$$'!V167</f>
        <v>2433.0700000000002</v>
      </c>
      <c r="D37" s="126">
        <f t="shared" si="6"/>
        <v>266.7752319497589</v>
      </c>
      <c r="E37" s="131"/>
      <c r="G37" s="125"/>
      <c r="H37" s="125"/>
      <c r="I37" s="127"/>
      <c r="J37" s="127"/>
    </row>
    <row r="38" spans="1:11" ht="15.75" thickBot="1" x14ac:dyDescent="0.3">
      <c r="A38" s="132" t="s">
        <v>16</v>
      </c>
      <c r="B38" s="133">
        <f>SUM(B32:B37)</f>
        <v>6406593.3906999994</v>
      </c>
      <c r="C38" s="133">
        <f>SUM(C32:C37)</f>
        <v>21168.28</v>
      </c>
      <c r="D38" s="133"/>
      <c r="E38" s="133">
        <f>SUM(E32:E37)</f>
        <v>8137.83</v>
      </c>
      <c r="F38" s="194"/>
      <c r="G38" s="149"/>
      <c r="H38" s="149"/>
      <c r="I38" s="149"/>
      <c r="J38" s="210"/>
    </row>
    <row r="40" spans="1:11" x14ac:dyDescent="0.25">
      <c r="A40" s="124"/>
      <c r="B40" s="638" t="s">
        <v>256</v>
      </c>
      <c r="C40" s="638"/>
      <c r="D40" s="638"/>
      <c r="E40" s="638"/>
    </row>
    <row r="41" spans="1:11" ht="30" x14ac:dyDescent="0.25">
      <c r="A41" s="128" t="s">
        <v>1</v>
      </c>
      <c r="B41" s="129" t="s">
        <v>18</v>
      </c>
      <c r="C41" s="129" t="s">
        <v>19</v>
      </c>
      <c r="D41" s="129" t="s">
        <v>20</v>
      </c>
      <c r="E41" s="129" t="s">
        <v>21</v>
      </c>
      <c r="G41" s="304" t="s">
        <v>6</v>
      </c>
      <c r="H41" s="150" t="s">
        <v>7</v>
      </c>
      <c r="I41" s="150" t="s">
        <v>8</v>
      </c>
      <c r="J41" s="150" t="s">
        <v>9</v>
      </c>
    </row>
    <row r="42" spans="1:11" x14ac:dyDescent="0.25">
      <c r="A42" s="125" t="s">
        <v>10</v>
      </c>
      <c r="B42" s="126">
        <f>+'$$$$$'!Y22</f>
        <v>869367.52249999996</v>
      </c>
      <c r="C42" s="126">
        <f>+'$$$$$'!X22</f>
        <v>3176.25</v>
      </c>
      <c r="D42" s="126">
        <f>+B42/C42</f>
        <v>273.7087831562377</v>
      </c>
      <c r="E42" s="126">
        <f>+CANCÚN!Y26</f>
        <v>2058</v>
      </c>
      <c r="F42" s="194"/>
      <c r="G42" s="530">
        <f>+CANCÚN!BX24+CANCÚN!BY24</f>
        <v>4644</v>
      </c>
      <c r="H42" s="531">
        <f>+CANCÚN!BR24</f>
        <v>2284.0625</v>
      </c>
      <c r="I42" s="531">
        <f>+G42+C42</f>
        <v>7820.25</v>
      </c>
      <c r="J42" s="531">
        <f>+I42-H42</f>
        <v>5536.1875</v>
      </c>
      <c r="K42" s="410">
        <f>+J42/H42</f>
        <v>2.4238336297715146</v>
      </c>
    </row>
    <row r="43" spans="1:11" ht="30" x14ac:dyDescent="0.25">
      <c r="A43" s="303" t="s">
        <v>11</v>
      </c>
      <c r="B43" s="126">
        <f>+'$$$$$'!Y46+'$$$$$'!Y70+'$$$$$'!Y94+'$$$$$'!Y171+'$$$$$'!Y198</f>
        <v>2102810.09</v>
      </c>
      <c r="C43" s="126">
        <f>+'$$$$$'!X46+'$$$$$'!X70+'$$$$$'!X94+'$$$$$'!X171+'$$$$$'!X198</f>
        <v>6095.8</v>
      </c>
      <c r="D43" s="126">
        <f t="shared" ref="D43:D47" si="7">+B43/C43</f>
        <v>344.96047934643519</v>
      </c>
      <c r="E43" s="126">
        <f>+FRIGARSA!V24+FRESCO!BO25+MEXIDELI!V24+CANBELT!V8</f>
        <v>1756</v>
      </c>
      <c r="F43" s="194"/>
      <c r="G43" s="530">
        <f>+'RESUMEN CDMX'!AI26</f>
        <v>1476</v>
      </c>
      <c r="H43" s="531">
        <v>1200</v>
      </c>
      <c r="I43" s="531">
        <f t="shared" ref="I43:I47" si="8">+G43+C43</f>
        <v>7571.8</v>
      </c>
      <c r="J43" s="531">
        <f t="shared" ref="J43:J47" si="9">+I43-H43</f>
        <v>6371.8</v>
      </c>
      <c r="K43" s="410">
        <f t="shared" ref="K43:K47" si="10">+J43/H43</f>
        <v>5.3098333333333336</v>
      </c>
    </row>
    <row r="44" spans="1:11" x14ac:dyDescent="0.25">
      <c r="A44" s="125" t="s">
        <v>12</v>
      </c>
      <c r="B44" s="126">
        <f>+'$$$$$'!Y139</f>
        <v>1376959.7996</v>
      </c>
      <c r="C44" s="126">
        <f>+'$$$$$'!X139</f>
        <v>4971.16</v>
      </c>
      <c r="D44" s="126">
        <f t="shared" si="7"/>
        <v>276.98963614126279</v>
      </c>
      <c r="E44" s="126">
        <f>+'VULPES PAPAS'!V35</f>
        <v>2477.44</v>
      </c>
      <c r="F44" s="194"/>
      <c r="G44" s="532">
        <f>+'RESUMEN LEÓN'!T17</f>
        <v>720</v>
      </c>
      <c r="H44" s="531">
        <v>1000</v>
      </c>
      <c r="I44" s="531">
        <f>+G44+C44+C45</f>
        <v>7625.79</v>
      </c>
      <c r="J44" s="531">
        <f t="shared" si="9"/>
        <v>6625.79</v>
      </c>
      <c r="K44" s="639">
        <f>+J44/H44</f>
        <v>6.6257900000000003</v>
      </c>
    </row>
    <row r="45" spans="1:11" x14ac:dyDescent="0.25">
      <c r="A45" s="130" t="s">
        <v>15</v>
      </c>
      <c r="B45" s="131">
        <f>+'$$$$$'!Y167</f>
        <v>529960.34739999997</v>
      </c>
      <c r="C45" s="131">
        <f>+'$$$$$'!X167</f>
        <v>1934.6299999999999</v>
      </c>
      <c r="D45" s="126">
        <f>+B45/C45</f>
        <v>273.93369657247121</v>
      </c>
      <c r="E45" s="131"/>
      <c r="F45" s="194"/>
      <c r="G45" s="532">
        <v>0</v>
      </c>
      <c r="H45" s="531">
        <v>0</v>
      </c>
      <c r="I45" s="531">
        <v>0</v>
      </c>
      <c r="J45" s="531">
        <v>0</v>
      </c>
      <c r="K45" s="640"/>
    </row>
    <row r="46" spans="1:11" ht="15.75" thickBot="1" x14ac:dyDescent="0.3">
      <c r="A46" s="125" t="s">
        <v>13</v>
      </c>
      <c r="B46" s="126">
        <f>+'$$$$$'!Y112</f>
        <v>1231167.73</v>
      </c>
      <c r="C46" s="126">
        <f>+'$$$$$'!X112</f>
        <v>4584</v>
      </c>
      <c r="D46" s="126">
        <f t="shared" si="7"/>
        <v>268.57934773123907</v>
      </c>
      <c r="E46" s="126">
        <f>+FRIJALISCO!Y28</f>
        <v>3410</v>
      </c>
      <c r="F46" s="194"/>
      <c r="G46" s="532">
        <f>+FRIJALISCO!AN14</f>
        <v>1185</v>
      </c>
      <c r="H46" s="531">
        <v>2800</v>
      </c>
      <c r="I46" s="531">
        <f t="shared" si="8"/>
        <v>5769</v>
      </c>
      <c r="J46" s="531">
        <f t="shared" si="9"/>
        <v>2969</v>
      </c>
      <c r="K46" s="410">
        <f t="shared" si="10"/>
        <v>1.0603571428571428</v>
      </c>
    </row>
    <row r="47" spans="1:11" hidden="1" x14ac:dyDescent="0.25">
      <c r="A47" s="130" t="s">
        <v>14</v>
      </c>
      <c r="B47" s="126"/>
      <c r="C47" s="126"/>
      <c r="D47" s="126" t="e">
        <f t="shared" si="7"/>
        <v>#DIV/0!</v>
      </c>
      <c r="E47" s="126"/>
      <c r="G47" s="228"/>
      <c r="H47" s="127"/>
      <c r="I47" s="127">
        <f t="shared" si="8"/>
        <v>0</v>
      </c>
      <c r="J47" s="127">
        <f t="shared" si="9"/>
        <v>0</v>
      </c>
      <c r="K47" s="410" t="e">
        <f t="shared" si="10"/>
        <v>#DIV/0!</v>
      </c>
    </row>
    <row r="48" spans="1:11" ht="15.75" thickBot="1" x14ac:dyDescent="0.3">
      <c r="A48" s="132" t="s">
        <v>16</v>
      </c>
      <c r="B48" s="133">
        <f>SUM(B42:B47)</f>
        <v>6110265.4895000011</v>
      </c>
      <c r="C48" s="133">
        <f>SUM(C42:C47)</f>
        <v>20761.839999999997</v>
      </c>
      <c r="D48" s="133"/>
      <c r="E48" s="133">
        <f>SUM(E42:E47)</f>
        <v>9701.44</v>
      </c>
      <c r="F48" s="194"/>
      <c r="G48" s="149">
        <f>SUM(G42:G47)</f>
        <v>8025</v>
      </c>
      <c r="H48" s="149">
        <f>SUM(H42:H47)</f>
        <v>7284.0625</v>
      </c>
      <c r="I48" s="149">
        <f>SUM(I42:I47)</f>
        <v>28786.84</v>
      </c>
      <c r="J48" s="149">
        <f>SUM(J42:J47)</f>
        <v>21502.7775</v>
      </c>
    </row>
    <row r="49" spans="1:11" x14ac:dyDescent="0.25">
      <c r="E49" s="534">
        <f>+C48/E38</f>
        <v>2.5512747255718042</v>
      </c>
    </row>
    <row r="51" spans="1:11" x14ac:dyDescent="0.25">
      <c r="A51" s="124"/>
      <c r="B51" s="638" t="s">
        <v>298</v>
      </c>
      <c r="C51" s="638"/>
      <c r="D51" s="638"/>
      <c r="E51" s="638"/>
    </row>
    <row r="52" spans="1:11" ht="30" x14ac:dyDescent="0.25">
      <c r="A52" s="128" t="s">
        <v>1</v>
      </c>
      <c r="B52" s="129" t="s">
        <v>18</v>
      </c>
      <c r="C52" s="129" t="s">
        <v>19</v>
      </c>
      <c r="D52" s="129" t="s">
        <v>20</v>
      </c>
      <c r="E52" s="129" t="s">
        <v>21</v>
      </c>
      <c r="G52" s="304" t="s">
        <v>6</v>
      </c>
      <c r="H52" s="150" t="s">
        <v>7</v>
      </c>
      <c r="I52" s="150" t="s">
        <v>8</v>
      </c>
      <c r="J52" s="150" t="s">
        <v>9</v>
      </c>
    </row>
    <row r="53" spans="1:11" x14ac:dyDescent="0.25">
      <c r="A53" s="125" t="s">
        <v>10</v>
      </c>
      <c r="B53" s="126">
        <f>+'$$$$$'!AA22</f>
        <v>743039.46</v>
      </c>
      <c r="C53" s="126">
        <f>+'$$$$$'!Z22</f>
        <v>2692</v>
      </c>
      <c r="D53" s="126">
        <f>+B53/C53</f>
        <v>276.01763001485881</v>
      </c>
      <c r="E53" s="126">
        <f>+CANCÚN!AD26</f>
        <v>493.25</v>
      </c>
      <c r="F53" s="194"/>
      <c r="G53" s="530">
        <f>+CANCÚN!BX24+CANCÚN!BY24</f>
        <v>4644</v>
      </c>
      <c r="H53" s="531">
        <v>2000</v>
      </c>
      <c r="I53" s="531">
        <f>+G53+C53</f>
        <v>7336</v>
      </c>
      <c r="J53" s="531">
        <f>+I53-H53</f>
        <v>5336</v>
      </c>
      <c r="K53" s="410">
        <f>+J53/H53</f>
        <v>2.6680000000000001</v>
      </c>
    </row>
    <row r="54" spans="1:11" ht="30" x14ac:dyDescent="0.25">
      <c r="A54" s="303" t="s">
        <v>11</v>
      </c>
      <c r="B54" s="126">
        <f>+'$$$$$'!AA70+'$$$$$'!AA94+'$$$$$'!AA171+'$$$$$'!AA198</f>
        <v>2089695.23</v>
      </c>
      <c r="C54" s="126">
        <f>+'$$$$$'!Z198+'$$$$$'!Z171+'$$$$$'!Z94+'$$$$$'!Z70</f>
        <v>5625.8</v>
      </c>
      <c r="D54" s="126">
        <f t="shared" ref="D54:D55" si="11">+B54/C54</f>
        <v>371.44854598457107</v>
      </c>
      <c r="E54" s="126">
        <f>+'RESUMEN CDMX'!AC26</f>
        <v>411</v>
      </c>
      <c r="F54" s="194"/>
      <c r="G54" s="530">
        <f>+'RESUMEN CDMX'!AI26+'RESUMEN CDMX'!AJ26</f>
        <v>3024</v>
      </c>
      <c r="H54" s="531">
        <v>1200</v>
      </c>
      <c r="I54" s="531">
        <f t="shared" ref="I54" si="12">+G54+C54</f>
        <v>8649.7999999999993</v>
      </c>
      <c r="J54" s="531">
        <f t="shared" ref="J54:J55" si="13">+I54-H54</f>
        <v>7449.7999999999993</v>
      </c>
      <c r="K54" s="410">
        <f t="shared" ref="K54" si="14">+J54/H54</f>
        <v>6.2081666666666662</v>
      </c>
    </row>
    <row r="55" spans="1:11" x14ac:dyDescent="0.25">
      <c r="A55" s="125" t="s">
        <v>12</v>
      </c>
      <c r="B55" s="126">
        <f>+'$$$$$'!AA139</f>
        <v>1358075.6096000001</v>
      </c>
      <c r="C55" s="126">
        <f>+'$$$$$'!Z139</f>
        <v>4926.16</v>
      </c>
      <c r="D55" s="126">
        <f t="shared" si="11"/>
        <v>275.6864595547039</v>
      </c>
      <c r="E55" s="126">
        <f>+'VULPES PAPAS'!V46</f>
        <v>0</v>
      </c>
      <c r="F55" s="194"/>
      <c r="G55" s="530">
        <f>+'RESUMEN LEÓN'!T32+'RESUMEN LEÓN'!T17+'RESUMEN LEÓN'!U17</f>
        <v>2622</v>
      </c>
      <c r="H55" s="531">
        <v>1000</v>
      </c>
      <c r="I55" s="531">
        <f>+G55+C55+C56</f>
        <v>8933.7900000000009</v>
      </c>
      <c r="J55" s="531">
        <f t="shared" si="13"/>
        <v>7933.7900000000009</v>
      </c>
      <c r="K55" s="639">
        <f>+J55/H55</f>
        <v>7.933790000000001</v>
      </c>
    </row>
    <row r="56" spans="1:11" x14ac:dyDescent="0.25">
      <c r="A56" s="130" t="s">
        <v>15</v>
      </c>
      <c r="B56" s="131">
        <f>+'$$$$$'!AA167</f>
        <v>396285.98739999998</v>
      </c>
      <c r="C56" s="131">
        <f>+'$$$$$'!Z167</f>
        <v>1385.63</v>
      </c>
      <c r="D56" s="126">
        <f>+B56/C56</f>
        <v>285.99697422832929</v>
      </c>
      <c r="E56" s="131">
        <f>+'RESUMEN LEÓN'!I37</f>
        <v>913</v>
      </c>
      <c r="F56" s="194"/>
      <c r="G56" s="530">
        <v>0</v>
      </c>
      <c r="H56" s="531">
        <v>0</v>
      </c>
      <c r="I56" s="531">
        <v>0</v>
      </c>
      <c r="J56" s="531">
        <v>0</v>
      </c>
      <c r="K56" s="640"/>
    </row>
    <row r="57" spans="1:11" ht="15.75" thickBot="1" x14ac:dyDescent="0.3">
      <c r="A57" s="125" t="s">
        <v>13</v>
      </c>
      <c r="B57" s="126">
        <f>+'$$$$$'!AA112</f>
        <v>1993599.98</v>
      </c>
      <c r="C57" s="126">
        <f>+'$$$$$'!Z112</f>
        <v>7351</v>
      </c>
      <c r="D57" s="126">
        <f t="shared" ref="D57:D58" si="15">+B57/C57</f>
        <v>271.20119439532039</v>
      </c>
      <c r="E57" s="126">
        <f>+FRIJALISCO!AD28</f>
        <v>858</v>
      </c>
      <c r="F57" s="194"/>
      <c r="G57" s="530">
        <f>+FRIJALISCO!AN14</f>
        <v>1185</v>
      </c>
      <c r="H57" s="531">
        <v>2800</v>
      </c>
      <c r="I57" s="531">
        <f t="shared" ref="I57:I58" si="16">+G57+C57</f>
        <v>8536</v>
      </c>
      <c r="J57" s="531">
        <f t="shared" ref="J57:J58" si="17">+I57-H57</f>
        <v>5736</v>
      </c>
      <c r="K57" s="410">
        <f t="shared" ref="K57:K58" si="18">+J57/H57</f>
        <v>2.0485714285714285</v>
      </c>
    </row>
    <row r="58" spans="1:11" ht="15.75" hidden="1" thickBot="1" x14ac:dyDescent="0.3">
      <c r="A58" s="130" t="s">
        <v>14</v>
      </c>
      <c r="B58" s="126"/>
      <c r="C58" s="126"/>
      <c r="D58" s="126" t="e">
        <f t="shared" si="15"/>
        <v>#DIV/0!</v>
      </c>
      <c r="E58" s="126"/>
      <c r="G58" s="228"/>
      <c r="H58" s="127"/>
      <c r="I58" s="127">
        <f t="shared" si="16"/>
        <v>0</v>
      </c>
      <c r="J58" s="127">
        <f t="shared" si="17"/>
        <v>0</v>
      </c>
      <c r="K58" s="410" t="e">
        <f t="shared" si="18"/>
        <v>#DIV/0!</v>
      </c>
    </row>
    <row r="59" spans="1:11" ht="15.75" thickBot="1" x14ac:dyDescent="0.3">
      <c r="A59" s="132" t="s">
        <v>16</v>
      </c>
      <c r="B59" s="133">
        <f>SUM(B53:B58)</f>
        <v>6580696.2670000009</v>
      </c>
      <c r="C59" s="133">
        <f>SUM(C53:C58)</f>
        <v>21980.59</v>
      </c>
      <c r="D59" s="133"/>
      <c r="E59" s="133">
        <f>SUM(E53:E58)</f>
        <v>2675.25</v>
      </c>
      <c r="F59" s="194"/>
      <c r="G59" s="149">
        <f>SUM(G53:G58)</f>
        <v>11475</v>
      </c>
      <c r="H59" s="149">
        <f>SUM(H53:H58)</f>
        <v>7000</v>
      </c>
      <c r="I59" s="149">
        <f>SUM(I53:I58)</f>
        <v>33455.589999999997</v>
      </c>
      <c r="J59" s="149">
        <f>SUM(J53:J58)</f>
        <v>26455.59</v>
      </c>
    </row>
    <row r="60" spans="1:11" x14ac:dyDescent="0.25">
      <c r="E60" s="534">
        <f>+C59/E48</f>
        <v>2.26570385427318</v>
      </c>
    </row>
  </sheetData>
  <mergeCells count="8">
    <mergeCell ref="B51:E51"/>
    <mergeCell ref="K55:K56"/>
    <mergeCell ref="K44:K45"/>
    <mergeCell ref="B20:E20"/>
    <mergeCell ref="B1:E1"/>
    <mergeCell ref="B10:E10"/>
    <mergeCell ref="B30:E30"/>
    <mergeCell ref="B40:E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B28B2-E1B2-4C88-B9F5-507FED5A2F99}">
  <dimension ref="A1:AQ198"/>
  <sheetViews>
    <sheetView showGridLines="0" zoomScale="85" zoomScaleNormal="85" workbookViewId="0">
      <pane xSplit="8" ySplit="2" topLeftCell="N3" activePane="bottomRight" state="frozen"/>
      <selection pane="topRight" activeCell="I1" sqref="I1"/>
      <selection pane="bottomLeft" activeCell="A3" sqref="A3"/>
      <selection pane="bottomRight" activeCell="E119" sqref="E119"/>
    </sheetView>
  </sheetViews>
  <sheetFormatPr baseColWidth="10" defaultColWidth="10.7109375" defaultRowHeight="15.75" x14ac:dyDescent="0.25"/>
  <cols>
    <col min="1" max="1" width="23.140625" style="89" customWidth="1"/>
    <col min="2" max="2" width="45.28515625" customWidth="1"/>
    <col min="3" max="6" width="11.7109375" style="120" customWidth="1"/>
    <col min="7" max="7" width="14.42578125" style="211" customWidth="1"/>
    <col min="8" max="8" width="11.7109375" style="211" customWidth="1"/>
    <col min="9" max="12" width="11.7109375" style="120" customWidth="1"/>
    <col min="13" max="13" width="11.7109375" style="227" customWidth="1"/>
    <col min="14" max="14" width="11.42578125" style="120" customWidth="1"/>
    <col min="15" max="15" width="11.140625" style="120" customWidth="1"/>
    <col min="16" max="16" width="10.85546875" style="396" customWidth="1"/>
    <col min="17" max="17" width="5.7109375" style="120" customWidth="1"/>
    <col min="18" max="18" width="10.7109375" style="71" customWidth="1"/>
    <col min="19" max="19" width="14.140625" style="106" customWidth="1"/>
    <col min="20" max="20" width="10.7109375" style="71" customWidth="1"/>
    <col min="21" max="21" width="14.140625" style="106" customWidth="1"/>
    <col min="22" max="22" width="11.42578125" style="71" customWidth="1"/>
    <col min="23" max="23" width="13.85546875" style="106" customWidth="1"/>
    <col min="24" max="24" width="11.42578125" style="71" customWidth="1"/>
    <col min="25" max="25" width="14.140625" style="106" customWidth="1"/>
    <col min="26" max="26" width="11.42578125" style="71" customWidth="1"/>
    <col min="27" max="27" width="14.140625" style="106" customWidth="1"/>
    <col min="28" max="28" width="11.42578125" style="71" customWidth="1"/>
    <col min="29" max="29" width="14.140625" style="106" customWidth="1"/>
    <col min="30" max="30" width="11.42578125" style="71" customWidth="1"/>
    <col min="31" max="31" width="14.140625" style="106" customWidth="1"/>
    <col min="32" max="32" width="11.42578125" style="71" customWidth="1"/>
    <col min="33" max="33" width="14.140625" style="106" customWidth="1"/>
    <col min="34" max="34" width="11.42578125" style="71" customWidth="1"/>
    <col min="35" max="35" width="14.140625" style="106" bestFit="1" customWidth="1"/>
    <col min="36" max="36" width="11.42578125" style="71" customWidth="1"/>
    <col min="37" max="37" width="14.140625" style="106" bestFit="1" customWidth="1"/>
    <col min="38" max="38" width="11.42578125" style="71" customWidth="1"/>
    <col min="39" max="39" width="14.140625" style="106" bestFit="1" customWidth="1"/>
    <col min="40" max="40" width="11.42578125" style="71" hidden="1" customWidth="1"/>
    <col min="41" max="41" width="7.42578125" style="106" hidden="1" customWidth="1"/>
    <col min="42" max="42" width="11.42578125" style="71" customWidth="1"/>
    <col min="43" max="43" width="14.140625" style="106" bestFit="1" customWidth="1"/>
  </cols>
  <sheetData>
    <row r="1" spans="1:43" ht="16.5" thickBot="1" x14ac:dyDescent="0.3">
      <c r="Q1" s="305"/>
    </row>
    <row r="2" spans="1:43" ht="30" customHeight="1" thickBot="1" x14ac:dyDescent="0.3">
      <c r="C2" s="192" t="s">
        <v>24</v>
      </c>
      <c r="D2" s="231" t="s">
        <v>25</v>
      </c>
      <c r="E2" s="232" t="s">
        <v>26</v>
      </c>
      <c r="F2" s="233" t="s">
        <v>27</v>
      </c>
      <c r="G2" s="237" t="s">
        <v>28</v>
      </c>
      <c r="H2" s="239" t="s">
        <v>29</v>
      </c>
      <c r="I2" s="97" t="s">
        <v>30</v>
      </c>
      <c r="J2" s="234" t="s">
        <v>31</v>
      </c>
      <c r="K2" s="235" t="s">
        <v>32</v>
      </c>
      <c r="L2" s="236" t="s">
        <v>33</v>
      </c>
      <c r="M2" s="237" t="s">
        <v>34</v>
      </c>
      <c r="N2" s="238" t="s">
        <v>35</v>
      </c>
      <c r="O2" s="295" t="s">
        <v>36</v>
      </c>
      <c r="P2" s="397" t="s">
        <v>37</v>
      </c>
      <c r="Q2" s="306"/>
      <c r="R2" s="298" t="s">
        <v>38</v>
      </c>
      <c r="S2" s="104" t="s">
        <v>39</v>
      </c>
      <c r="T2" s="93" t="s">
        <v>40</v>
      </c>
      <c r="U2" s="107" t="s">
        <v>39</v>
      </c>
      <c r="V2" s="94" t="s">
        <v>41</v>
      </c>
      <c r="W2" s="108" t="s">
        <v>39</v>
      </c>
      <c r="X2" s="95" t="s">
        <v>42</v>
      </c>
      <c r="Y2" s="109" t="s">
        <v>39</v>
      </c>
      <c r="Z2" s="96" t="s">
        <v>43</v>
      </c>
      <c r="AA2" s="110" t="s">
        <v>39</v>
      </c>
      <c r="AB2" s="97" t="s">
        <v>44</v>
      </c>
      <c r="AC2" s="111" t="s">
        <v>39</v>
      </c>
      <c r="AD2" s="98" t="s">
        <v>45</v>
      </c>
      <c r="AE2" s="112" t="s">
        <v>39</v>
      </c>
      <c r="AF2" s="99" t="s">
        <v>46</v>
      </c>
      <c r="AG2" s="113" t="s">
        <v>39</v>
      </c>
      <c r="AH2" s="100" t="s">
        <v>47</v>
      </c>
      <c r="AI2" s="114" t="s">
        <v>39</v>
      </c>
      <c r="AJ2" s="95" t="s">
        <v>48</v>
      </c>
      <c r="AK2" s="109" t="s">
        <v>39</v>
      </c>
      <c r="AL2" s="101" t="s">
        <v>49</v>
      </c>
      <c r="AM2" s="101" t="s">
        <v>39</v>
      </c>
      <c r="AN2" s="102" t="s">
        <v>50</v>
      </c>
      <c r="AO2" s="115" t="s">
        <v>39</v>
      </c>
      <c r="AP2" s="302" t="s">
        <v>50</v>
      </c>
      <c r="AQ2" s="302" t="s">
        <v>39</v>
      </c>
    </row>
    <row r="3" spans="1:43" ht="16.5" thickBot="1" x14ac:dyDescent="0.3">
      <c r="A3" s="141" t="s">
        <v>51</v>
      </c>
      <c r="B3" s="142"/>
      <c r="C3"/>
      <c r="D3"/>
      <c r="E3"/>
      <c r="F3"/>
      <c r="G3"/>
      <c r="H3"/>
      <c r="I3"/>
      <c r="J3"/>
      <c r="K3"/>
      <c r="L3"/>
      <c r="M3"/>
      <c r="N3"/>
      <c r="O3"/>
      <c r="P3" s="398"/>
      <c r="Q3" s="307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 s="92"/>
      <c r="AO3" s="91"/>
      <c r="AP3"/>
      <c r="AQ3"/>
    </row>
    <row r="4" spans="1:43" x14ac:dyDescent="0.25">
      <c r="A4" s="87" t="s">
        <v>52</v>
      </c>
      <c r="B4" s="90" t="s">
        <v>53</v>
      </c>
      <c r="C4"/>
      <c r="D4"/>
      <c r="E4"/>
      <c r="F4"/>
      <c r="G4"/>
      <c r="H4"/>
      <c r="I4"/>
      <c r="J4"/>
      <c r="K4"/>
      <c r="L4"/>
      <c r="M4"/>
      <c r="N4"/>
      <c r="O4"/>
      <c r="P4" s="398"/>
      <c r="Q4" s="307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 s="92"/>
      <c r="AO4" s="91"/>
      <c r="AP4"/>
      <c r="AQ4"/>
    </row>
    <row r="5" spans="1:43" x14ac:dyDescent="0.25">
      <c r="A5" s="243">
        <v>804104</v>
      </c>
      <c r="B5" s="244" t="s">
        <v>54</v>
      </c>
      <c r="C5" s="121">
        <v>404.86</v>
      </c>
      <c r="D5" s="121">
        <f>+C5</f>
        <v>404.86</v>
      </c>
      <c r="E5" s="121">
        <f t="shared" ref="E5:O5" si="0">+D5</f>
        <v>404.86</v>
      </c>
      <c r="F5" s="121">
        <f t="shared" si="0"/>
        <v>404.86</v>
      </c>
      <c r="G5" s="121">
        <f t="shared" si="0"/>
        <v>404.86</v>
      </c>
      <c r="H5" s="121">
        <f t="shared" si="0"/>
        <v>404.86</v>
      </c>
      <c r="I5" s="121">
        <f t="shared" si="0"/>
        <v>404.86</v>
      </c>
      <c r="J5" s="121">
        <f t="shared" si="0"/>
        <v>404.86</v>
      </c>
      <c r="K5" s="121">
        <f t="shared" si="0"/>
        <v>404.86</v>
      </c>
      <c r="L5" s="121">
        <f t="shared" si="0"/>
        <v>404.86</v>
      </c>
      <c r="M5" s="121">
        <f t="shared" si="0"/>
        <v>404.86</v>
      </c>
      <c r="N5" s="121">
        <f t="shared" si="0"/>
        <v>404.86</v>
      </c>
      <c r="O5" s="121">
        <f t="shared" si="0"/>
        <v>404.86</v>
      </c>
      <c r="P5" s="399">
        <f>+AVERAGE(D5:O5)</f>
        <v>404.86000000000007</v>
      </c>
      <c r="Q5" s="308"/>
      <c r="R5" s="229">
        <f>+CANCÚN!K3</f>
        <v>493.25</v>
      </c>
      <c r="S5" s="91">
        <f>+R5*D5</f>
        <v>199697.19500000001</v>
      </c>
      <c r="T5" s="229">
        <f>+CANCÚN!P3</f>
        <v>259</v>
      </c>
      <c r="U5" s="91">
        <f>+T5*E5</f>
        <v>104858.74</v>
      </c>
      <c r="V5" s="229">
        <f>+CANCÚN!U3</f>
        <v>103.25</v>
      </c>
      <c r="W5" s="91">
        <f>+V5*F5</f>
        <v>41801.794999999998</v>
      </c>
      <c r="X5" s="229">
        <f>+CANCÚN!Z3</f>
        <v>59.25</v>
      </c>
      <c r="Y5" s="91">
        <f>+X5*G5</f>
        <v>23987.955000000002</v>
      </c>
      <c r="Z5" s="229">
        <f>+CANCÚN!AE3</f>
        <v>35</v>
      </c>
      <c r="AA5" s="91">
        <f>+Z5*H5</f>
        <v>14170.1</v>
      </c>
      <c r="AB5" s="92"/>
      <c r="AC5" s="91"/>
      <c r="AD5" s="92"/>
      <c r="AE5" s="91"/>
      <c r="AF5" s="92"/>
      <c r="AG5" s="91"/>
      <c r="AH5" s="92"/>
      <c r="AI5" s="91"/>
      <c r="AJ5" s="92"/>
      <c r="AK5" s="91"/>
      <c r="AL5" s="92"/>
      <c r="AM5" s="91"/>
      <c r="AN5" s="92"/>
      <c r="AO5" s="91"/>
      <c r="AP5" s="92"/>
      <c r="AQ5" s="91"/>
    </row>
    <row r="6" spans="1:43" x14ac:dyDescent="0.25">
      <c r="A6" s="243">
        <v>805567</v>
      </c>
      <c r="B6" s="245" t="s">
        <v>55</v>
      </c>
      <c r="C6" s="121">
        <v>406.79</v>
      </c>
      <c r="D6" s="121">
        <f t="shared" ref="D6:O21" si="1">+C6</f>
        <v>406.79</v>
      </c>
      <c r="E6" s="121">
        <f t="shared" si="1"/>
        <v>406.79</v>
      </c>
      <c r="F6" s="121">
        <f t="shared" si="1"/>
        <v>406.79</v>
      </c>
      <c r="G6" s="121">
        <f t="shared" si="1"/>
        <v>406.79</v>
      </c>
      <c r="H6" s="121">
        <f t="shared" si="1"/>
        <v>406.79</v>
      </c>
      <c r="I6" s="121">
        <f t="shared" si="1"/>
        <v>406.79</v>
      </c>
      <c r="J6" s="121">
        <f t="shared" si="1"/>
        <v>406.79</v>
      </c>
      <c r="K6" s="121">
        <f t="shared" si="1"/>
        <v>406.79</v>
      </c>
      <c r="L6" s="121">
        <f t="shared" si="1"/>
        <v>406.79</v>
      </c>
      <c r="M6" s="121">
        <f t="shared" si="1"/>
        <v>406.79</v>
      </c>
      <c r="N6" s="121">
        <f t="shared" si="1"/>
        <v>406.79</v>
      </c>
      <c r="O6" s="121">
        <f t="shared" si="1"/>
        <v>406.79</v>
      </c>
      <c r="P6" s="399">
        <f t="shared" ref="P6:P21" si="2">+AVERAGE(D6:O6)</f>
        <v>406.79</v>
      </c>
      <c r="Q6" s="308"/>
      <c r="R6" s="229">
        <f>+CANCÚN!K4</f>
        <v>743.5</v>
      </c>
      <c r="S6" s="91">
        <f t="shared" ref="S6:S21" si="3">+R6*D6</f>
        <v>302448.36499999999</v>
      </c>
      <c r="T6" s="229">
        <f>+CANCÚN!P4</f>
        <v>743.5</v>
      </c>
      <c r="U6" s="91">
        <f t="shared" ref="U6:U20" si="4">+T6*E6</f>
        <v>302448.36499999999</v>
      </c>
      <c r="V6" s="229">
        <f>+CANCÚN!U4</f>
        <v>466.25</v>
      </c>
      <c r="W6" s="91">
        <f t="shared" ref="W6:W21" si="5">+V6*F6</f>
        <v>189665.83750000002</v>
      </c>
      <c r="X6" s="229">
        <f>+CANCÚN!Z4</f>
        <v>148.25</v>
      </c>
      <c r="Y6" s="91">
        <f t="shared" ref="Y6:Y20" si="6">+X6*G6</f>
        <v>60306.6175</v>
      </c>
      <c r="Z6" s="229">
        <f>+CANCÚN!AE4</f>
        <v>111.25</v>
      </c>
      <c r="AA6" s="91">
        <f t="shared" ref="AA6:AA21" si="7">+Z6*H6</f>
        <v>45255.387500000004</v>
      </c>
      <c r="AB6" s="92"/>
      <c r="AC6" s="91"/>
      <c r="AD6" s="92"/>
      <c r="AE6" s="91"/>
      <c r="AF6" s="92"/>
      <c r="AG6" s="91"/>
      <c r="AH6" s="92"/>
      <c r="AI6" s="91"/>
      <c r="AJ6" s="92"/>
      <c r="AK6" s="91"/>
      <c r="AL6" s="92"/>
      <c r="AM6" s="91"/>
      <c r="AN6" s="92"/>
      <c r="AO6" s="91"/>
      <c r="AP6" s="92"/>
      <c r="AQ6" s="91"/>
    </row>
    <row r="7" spans="1:43" x14ac:dyDescent="0.25">
      <c r="A7" s="243">
        <v>803528</v>
      </c>
      <c r="B7" s="245" t="s">
        <v>56</v>
      </c>
      <c r="C7" s="121">
        <v>264.35000000000002</v>
      </c>
      <c r="D7" s="121">
        <f t="shared" si="1"/>
        <v>264.35000000000002</v>
      </c>
      <c r="E7" s="121">
        <f t="shared" si="1"/>
        <v>264.35000000000002</v>
      </c>
      <c r="F7" s="121">
        <f t="shared" si="1"/>
        <v>264.35000000000002</v>
      </c>
      <c r="G7" s="121">
        <f t="shared" si="1"/>
        <v>264.35000000000002</v>
      </c>
      <c r="H7" s="121">
        <f t="shared" si="1"/>
        <v>264.35000000000002</v>
      </c>
      <c r="I7" s="121">
        <f t="shared" si="1"/>
        <v>264.35000000000002</v>
      </c>
      <c r="J7" s="121">
        <f t="shared" si="1"/>
        <v>264.35000000000002</v>
      </c>
      <c r="K7" s="121">
        <f t="shared" si="1"/>
        <v>264.35000000000002</v>
      </c>
      <c r="L7" s="121">
        <f t="shared" si="1"/>
        <v>264.35000000000002</v>
      </c>
      <c r="M7" s="121">
        <f t="shared" si="1"/>
        <v>264.35000000000002</v>
      </c>
      <c r="N7" s="121">
        <f t="shared" si="1"/>
        <v>264.35000000000002</v>
      </c>
      <c r="O7" s="121">
        <f t="shared" si="1"/>
        <v>264.35000000000002</v>
      </c>
      <c r="P7" s="399">
        <f t="shared" si="2"/>
        <v>264.34999999999997</v>
      </c>
      <c r="Q7" s="308"/>
      <c r="R7" s="229">
        <f>+CANCÚN!K5</f>
        <v>0</v>
      </c>
      <c r="S7" s="91">
        <f t="shared" si="3"/>
        <v>0</v>
      </c>
      <c r="T7" s="229">
        <f>+CANCÚN!P5</f>
        <v>0</v>
      </c>
      <c r="U7" s="91">
        <f t="shared" si="4"/>
        <v>0</v>
      </c>
      <c r="V7" s="229">
        <f>+CANCÚN!U5</f>
        <v>0</v>
      </c>
      <c r="W7" s="91">
        <f t="shared" si="5"/>
        <v>0</v>
      </c>
      <c r="X7" s="229">
        <f>+CANCÚN!Z5</f>
        <v>0</v>
      </c>
      <c r="Y7" s="91">
        <f t="shared" si="6"/>
        <v>0</v>
      </c>
      <c r="Z7" s="229">
        <f>+CANCÚN!AE5</f>
        <v>0</v>
      </c>
      <c r="AA7" s="91">
        <f t="shared" si="7"/>
        <v>0</v>
      </c>
      <c r="AB7" s="92"/>
      <c r="AC7" s="91"/>
      <c r="AD7" s="92"/>
      <c r="AE7" s="91"/>
      <c r="AF7" s="92"/>
      <c r="AG7" s="91"/>
      <c r="AH7" s="92"/>
      <c r="AI7" s="91"/>
      <c r="AJ7" s="92"/>
      <c r="AK7" s="91"/>
      <c r="AL7" s="92"/>
      <c r="AM7" s="91"/>
      <c r="AN7" s="92"/>
      <c r="AO7" s="91"/>
      <c r="AP7" s="92"/>
      <c r="AQ7" s="91"/>
    </row>
    <row r="8" spans="1:43" x14ac:dyDescent="0.25">
      <c r="A8" s="243">
        <v>806685</v>
      </c>
      <c r="B8" s="245" t="s">
        <v>57</v>
      </c>
      <c r="C8" s="121">
        <v>360.49</v>
      </c>
      <c r="D8" s="121">
        <f t="shared" si="1"/>
        <v>360.49</v>
      </c>
      <c r="E8" s="121">
        <f t="shared" si="1"/>
        <v>360.49</v>
      </c>
      <c r="F8" s="121">
        <f t="shared" si="1"/>
        <v>360.49</v>
      </c>
      <c r="G8" s="121">
        <f t="shared" si="1"/>
        <v>360.49</v>
      </c>
      <c r="H8" s="121">
        <f t="shared" si="1"/>
        <v>360.49</v>
      </c>
      <c r="I8" s="121">
        <f t="shared" si="1"/>
        <v>360.49</v>
      </c>
      <c r="J8" s="121">
        <f t="shared" si="1"/>
        <v>360.49</v>
      </c>
      <c r="K8" s="121">
        <f t="shared" si="1"/>
        <v>360.49</v>
      </c>
      <c r="L8" s="121">
        <f t="shared" si="1"/>
        <v>360.49</v>
      </c>
      <c r="M8" s="121">
        <f t="shared" si="1"/>
        <v>360.49</v>
      </c>
      <c r="N8" s="121">
        <f t="shared" si="1"/>
        <v>360.49</v>
      </c>
      <c r="O8" s="121">
        <f t="shared" si="1"/>
        <v>360.49</v>
      </c>
      <c r="P8" s="399">
        <f t="shared" si="2"/>
        <v>360.48999999999995</v>
      </c>
      <c r="Q8" s="308"/>
      <c r="R8" s="229">
        <f>+CANCÚN!K6</f>
        <v>0.25</v>
      </c>
      <c r="S8" s="91">
        <f t="shared" si="3"/>
        <v>90.122500000000002</v>
      </c>
      <c r="T8" s="229">
        <f>+CANCÚN!P6</f>
        <v>0</v>
      </c>
      <c r="U8" s="91">
        <f t="shared" si="4"/>
        <v>0</v>
      </c>
      <c r="V8" s="229">
        <f>+CANCÚN!U6</f>
        <v>0</v>
      </c>
      <c r="W8" s="91">
        <f t="shared" si="5"/>
        <v>0</v>
      </c>
      <c r="X8" s="229">
        <f>+CANCÚN!Z6</f>
        <v>0</v>
      </c>
      <c r="Y8" s="91">
        <f t="shared" si="6"/>
        <v>0</v>
      </c>
      <c r="Z8" s="229">
        <f>+CANCÚN!AE6</f>
        <v>0</v>
      </c>
      <c r="AA8" s="91">
        <f t="shared" si="7"/>
        <v>0</v>
      </c>
      <c r="AB8" s="92"/>
      <c r="AC8" s="91"/>
      <c r="AD8" s="92"/>
      <c r="AE8" s="91"/>
      <c r="AF8" s="92"/>
      <c r="AG8" s="91"/>
      <c r="AH8" s="92"/>
      <c r="AI8" s="91"/>
      <c r="AJ8" s="92"/>
      <c r="AK8" s="91"/>
      <c r="AL8" s="92"/>
      <c r="AM8" s="91"/>
      <c r="AN8" s="92"/>
      <c r="AO8" s="91"/>
      <c r="AP8" s="92"/>
      <c r="AQ8" s="91"/>
    </row>
    <row r="9" spans="1:43" hidden="1" x14ac:dyDescent="0.25">
      <c r="A9" s="243"/>
      <c r="B9" s="245"/>
      <c r="C9" s="121"/>
      <c r="D9" s="121">
        <f t="shared" si="1"/>
        <v>0</v>
      </c>
      <c r="E9" s="121">
        <f t="shared" si="1"/>
        <v>0</v>
      </c>
      <c r="F9" s="121">
        <f t="shared" si="1"/>
        <v>0</v>
      </c>
      <c r="G9" s="121">
        <f t="shared" si="1"/>
        <v>0</v>
      </c>
      <c r="H9" s="121">
        <f t="shared" si="1"/>
        <v>0</v>
      </c>
      <c r="I9" s="121">
        <f t="shared" si="1"/>
        <v>0</v>
      </c>
      <c r="J9" s="121">
        <f t="shared" si="1"/>
        <v>0</v>
      </c>
      <c r="K9" s="121">
        <f t="shared" si="1"/>
        <v>0</v>
      </c>
      <c r="L9" s="121">
        <f t="shared" si="1"/>
        <v>0</v>
      </c>
      <c r="M9" s="121">
        <f t="shared" si="1"/>
        <v>0</v>
      </c>
      <c r="N9" s="121">
        <f t="shared" si="1"/>
        <v>0</v>
      </c>
      <c r="O9" s="121">
        <f t="shared" si="1"/>
        <v>0</v>
      </c>
      <c r="P9" s="399">
        <f t="shared" si="2"/>
        <v>0</v>
      </c>
      <c r="Q9" s="308"/>
      <c r="R9" s="229"/>
      <c r="S9" s="91">
        <f t="shared" si="3"/>
        <v>0</v>
      </c>
      <c r="T9" s="229"/>
      <c r="U9" s="91">
        <f t="shared" si="4"/>
        <v>0</v>
      </c>
      <c r="V9" s="229"/>
      <c r="W9" s="91">
        <f t="shared" si="5"/>
        <v>0</v>
      </c>
      <c r="X9" s="229"/>
      <c r="Y9" s="91">
        <f t="shared" si="6"/>
        <v>0</v>
      </c>
      <c r="Z9" s="229"/>
      <c r="AA9" s="91">
        <f t="shared" si="7"/>
        <v>0</v>
      </c>
      <c r="AB9" s="92"/>
      <c r="AC9" s="91"/>
      <c r="AD9" s="92"/>
      <c r="AE9" s="91"/>
      <c r="AF9" s="92"/>
      <c r="AG9" s="91"/>
      <c r="AH9" s="92"/>
      <c r="AI9" s="91"/>
      <c r="AJ9" s="92"/>
      <c r="AK9" s="91"/>
      <c r="AL9" s="92"/>
      <c r="AM9" s="91"/>
      <c r="AN9" s="92"/>
      <c r="AO9" s="91"/>
      <c r="AP9" s="92"/>
      <c r="AQ9" s="91"/>
    </row>
    <row r="10" spans="1:43" hidden="1" x14ac:dyDescent="0.25">
      <c r="A10" s="243"/>
      <c r="B10" s="245"/>
      <c r="C10" s="121"/>
      <c r="D10" s="121">
        <f t="shared" si="1"/>
        <v>0</v>
      </c>
      <c r="E10" s="121">
        <f t="shared" si="1"/>
        <v>0</v>
      </c>
      <c r="F10" s="121">
        <f t="shared" si="1"/>
        <v>0</v>
      </c>
      <c r="G10" s="121">
        <f t="shared" si="1"/>
        <v>0</v>
      </c>
      <c r="H10" s="121">
        <f t="shared" si="1"/>
        <v>0</v>
      </c>
      <c r="I10" s="121">
        <f t="shared" si="1"/>
        <v>0</v>
      </c>
      <c r="J10" s="121">
        <f t="shared" si="1"/>
        <v>0</v>
      </c>
      <c r="K10" s="121">
        <f t="shared" si="1"/>
        <v>0</v>
      </c>
      <c r="L10" s="121">
        <f t="shared" si="1"/>
        <v>0</v>
      </c>
      <c r="M10" s="121">
        <f t="shared" si="1"/>
        <v>0</v>
      </c>
      <c r="N10" s="121">
        <f t="shared" si="1"/>
        <v>0</v>
      </c>
      <c r="O10" s="121">
        <f t="shared" si="1"/>
        <v>0</v>
      </c>
      <c r="P10" s="399">
        <f t="shared" si="2"/>
        <v>0</v>
      </c>
      <c r="Q10" s="308"/>
      <c r="R10" s="229"/>
      <c r="S10" s="91">
        <f t="shared" si="3"/>
        <v>0</v>
      </c>
      <c r="T10" s="229"/>
      <c r="U10" s="91">
        <f t="shared" si="4"/>
        <v>0</v>
      </c>
      <c r="V10" s="229"/>
      <c r="W10" s="91">
        <f t="shared" si="5"/>
        <v>0</v>
      </c>
      <c r="X10" s="229"/>
      <c r="Y10" s="91">
        <f t="shared" si="6"/>
        <v>0</v>
      </c>
      <c r="Z10" s="229"/>
      <c r="AA10" s="91">
        <f t="shared" si="7"/>
        <v>0</v>
      </c>
      <c r="AB10" s="92"/>
      <c r="AC10" s="91"/>
      <c r="AD10" s="92"/>
      <c r="AE10" s="91"/>
      <c r="AF10" s="92"/>
      <c r="AG10" s="91"/>
      <c r="AH10" s="92"/>
      <c r="AI10" s="91"/>
      <c r="AJ10" s="92"/>
      <c r="AK10" s="91"/>
      <c r="AL10" s="92"/>
      <c r="AM10" s="91"/>
      <c r="AN10" s="92"/>
      <c r="AO10" s="91"/>
      <c r="AP10" s="92"/>
      <c r="AQ10" s="91"/>
    </row>
    <row r="11" spans="1:43" hidden="1" x14ac:dyDescent="0.25">
      <c r="A11" s="243"/>
      <c r="B11" s="245"/>
      <c r="C11" s="121"/>
      <c r="D11" s="121">
        <f t="shared" si="1"/>
        <v>0</v>
      </c>
      <c r="E11" s="121">
        <f t="shared" si="1"/>
        <v>0</v>
      </c>
      <c r="F11" s="121">
        <f t="shared" si="1"/>
        <v>0</v>
      </c>
      <c r="G11" s="121">
        <f t="shared" si="1"/>
        <v>0</v>
      </c>
      <c r="H11" s="121">
        <f t="shared" si="1"/>
        <v>0</v>
      </c>
      <c r="I11" s="121">
        <f t="shared" si="1"/>
        <v>0</v>
      </c>
      <c r="J11" s="121">
        <f t="shared" si="1"/>
        <v>0</v>
      </c>
      <c r="K11" s="121">
        <f t="shared" si="1"/>
        <v>0</v>
      </c>
      <c r="L11" s="121">
        <f t="shared" si="1"/>
        <v>0</v>
      </c>
      <c r="M11" s="121">
        <f t="shared" si="1"/>
        <v>0</v>
      </c>
      <c r="N11" s="121">
        <f t="shared" si="1"/>
        <v>0</v>
      </c>
      <c r="O11" s="121">
        <f t="shared" si="1"/>
        <v>0</v>
      </c>
      <c r="P11" s="399">
        <f t="shared" si="2"/>
        <v>0</v>
      </c>
      <c r="Q11" s="308"/>
      <c r="R11" s="229"/>
      <c r="S11" s="91">
        <f t="shared" si="3"/>
        <v>0</v>
      </c>
      <c r="T11" s="229"/>
      <c r="U11" s="91">
        <f t="shared" si="4"/>
        <v>0</v>
      </c>
      <c r="V11" s="229"/>
      <c r="W11" s="91">
        <f t="shared" si="5"/>
        <v>0</v>
      </c>
      <c r="X11" s="229"/>
      <c r="Y11" s="91">
        <f t="shared" si="6"/>
        <v>0</v>
      </c>
      <c r="Z11" s="229"/>
      <c r="AA11" s="91">
        <f t="shared" si="7"/>
        <v>0</v>
      </c>
      <c r="AB11" s="92"/>
      <c r="AC11" s="91"/>
      <c r="AD11" s="92"/>
      <c r="AE11" s="91"/>
      <c r="AF11" s="92"/>
      <c r="AG11" s="91"/>
      <c r="AH11" s="92"/>
      <c r="AI11" s="91"/>
      <c r="AJ11" s="92"/>
      <c r="AK11" s="91"/>
      <c r="AL11" s="92"/>
      <c r="AM11" s="91"/>
      <c r="AN11" s="92"/>
      <c r="AO11" s="91"/>
      <c r="AP11" s="92"/>
      <c r="AQ11" s="91"/>
    </row>
    <row r="12" spans="1:43" x14ac:dyDescent="0.25">
      <c r="A12" s="255">
        <v>105632</v>
      </c>
      <c r="B12" s="256" t="s">
        <v>58</v>
      </c>
      <c r="C12" s="121">
        <v>280.75</v>
      </c>
      <c r="D12" s="429">
        <v>258.94</v>
      </c>
      <c r="E12" s="121">
        <f t="shared" si="1"/>
        <v>258.94</v>
      </c>
      <c r="F12" s="121">
        <f t="shared" si="1"/>
        <v>258.94</v>
      </c>
      <c r="G12" s="121">
        <f t="shared" si="1"/>
        <v>258.94</v>
      </c>
      <c r="H12" s="121">
        <f t="shared" si="1"/>
        <v>258.94</v>
      </c>
      <c r="I12" s="121">
        <f t="shared" si="1"/>
        <v>258.94</v>
      </c>
      <c r="J12" s="121">
        <f t="shared" si="1"/>
        <v>258.94</v>
      </c>
      <c r="K12" s="121">
        <f t="shared" si="1"/>
        <v>258.94</v>
      </c>
      <c r="L12" s="121">
        <f t="shared" si="1"/>
        <v>258.94</v>
      </c>
      <c r="M12" s="121">
        <f t="shared" si="1"/>
        <v>258.94</v>
      </c>
      <c r="N12" s="121">
        <f t="shared" si="1"/>
        <v>258.94</v>
      </c>
      <c r="O12" s="121">
        <f t="shared" si="1"/>
        <v>258.94</v>
      </c>
      <c r="P12" s="399">
        <f t="shared" si="2"/>
        <v>258.94</v>
      </c>
      <c r="Q12" s="308"/>
      <c r="R12" s="229">
        <f>+CANCÚN!K13</f>
        <v>3287.75</v>
      </c>
      <c r="S12" s="91">
        <f t="shared" si="3"/>
        <v>851329.98499999999</v>
      </c>
      <c r="T12" s="229">
        <f>+CANCÚN!P13</f>
        <v>2368</v>
      </c>
      <c r="U12" s="91">
        <f t="shared" si="4"/>
        <v>613169.92000000004</v>
      </c>
      <c r="V12" s="229">
        <f>+CANCÚN!U13</f>
        <v>746.75</v>
      </c>
      <c r="W12" s="91">
        <f t="shared" si="5"/>
        <v>193363.44500000001</v>
      </c>
      <c r="X12" s="229">
        <f>+CANCÚN!Z13</f>
        <v>0</v>
      </c>
      <c r="Y12" s="91">
        <f t="shared" si="6"/>
        <v>0</v>
      </c>
      <c r="Z12" s="229">
        <f>+CANCÚN!AE13</f>
        <v>0</v>
      </c>
      <c r="AA12" s="91">
        <f t="shared" si="7"/>
        <v>0</v>
      </c>
      <c r="AB12" s="92"/>
      <c r="AC12" s="91"/>
      <c r="AD12" s="92"/>
      <c r="AE12" s="91"/>
      <c r="AF12" s="92"/>
      <c r="AG12" s="91"/>
      <c r="AH12" s="92"/>
      <c r="AI12" s="91"/>
      <c r="AJ12" s="92"/>
      <c r="AK12" s="91"/>
      <c r="AL12" s="92"/>
      <c r="AM12" s="91"/>
      <c r="AN12" s="92"/>
      <c r="AO12" s="91"/>
      <c r="AP12" s="92"/>
      <c r="AQ12" s="91"/>
    </row>
    <row r="13" spans="1:43" x14ac:dyDescent="0.25">
      <c r="A13" s="255">
        <v>102341</v>
      </c>
      <c r="B13" s="256" t="s">
        <v>59</v>
      </c>
      <c r="C13" s="121"/>
      <c r="D13" s="429">
        <v>290.70999999999998</v>
      </c>
      <c r="E13" s="121">
        <f t="shared" si="1"/>
        <v>290.70999999999998</v>
      </c>
      <c r="F13" s="121">
        <f t="shared" si="1"/>
        <v>290.70999999999998</v>
      </c>
      <c r="G13" s="121">
        <f t="shared" si="1"/>
        <v>290.70999999999998</v>
      </c>
      <c r="H13" s="121">
        <f t="shared" si="1"/>
        <v>290.70999999999998</v>
      </c>
      <c r="I13" s="121">
        <f t="shared" si="1"/>
        <v>290.70999999999998</v>
      </c>
      <c r="J13" s="121">
        <f t="shared" si="1"/>
        <v>290.70999999999998</v>
      </c>
      <c r="K13" s="121">
        <f t="shared" si="1"/>
        <v>290.70999999999998</v>
      </c>
      <c r="L13" s="121">
        <f t="shared" si="1"/>
        <v>290.70999999999998</v>
      </c>
      <c r="M13" s="121">
        <f t="shared" si="1"/>
        <v>290.70999999999998</v>
      </c>
      <c r="N13" s="121">
        <f t="shared" si="1"/>
        <v>290.70999999999998</v>
      </c>
      <c r="O13" s="121">
        <f t="shared" si="1"/>
        <v>290.70999999999998</v>
      </c>
      <c r="P13" s="399">
        <f t="shared" si="2"/>
        <v>290.70999999999998</v>
      </c>
      <c r="Q13" s="308"/>
      <c r="R13" s="229">
        <f>+CANCÚN!K15</f>
        <v>2144.5</v>
      </c>
      <c r="S13" s="91">
        <f t="shared" si="3"/>
        <v>623427.59499999997</v>
      </c>
      <c r="T13" s="229">
        <f>+CANCÚN!P15</f>
        <v>1630.5</v>
      </c>
      <c r="U13" s="91">
        <f t="shared" si="4"/>
        <v>474002.65499999997</v>
      </c>
      <c r="V13" s="229">
        <f>+CANCÚN!U15</f>
        <v>1020.25</v>
      </c>
      <c r="W13" s="91">
        <f t="shared" si="5"/>
        <v>296596.8775</v>
      </c>
      <c r="X13" s="229">
        <f>+CANCÚN!Z15</f>
        <v>576.25</v>
      </c>
      <c r="Y13" s="91">
        <f t="shared" si="6"/>
        <v>167521.63749999998</v>
      </c>
      <c r="Z13" s="229">
        <f>+CANCÚN!AE15</f>
        <v>550.25</v>
      </c>
      <c r="AA13" s="91">
        <f t="shared" si="7"/>
        <v>159963.17749999999</v>
      </c>
      <c r="AB13" s="92"/>
      <c r="AC13" s="91"/>
      <c r="AD13" s="92"/>
      <c r="AE13" s="91"/>
      <c r="AF13" s="92"/>
      <c r="AG13" s="91"/>
      <c r="AH13" s="92"/>
      <c r="AI13" s="91"/>
      <c r="AJ13" s="92"/>
      <c r="AK13" s="91"/>
      <c r="AL13" s="92"/>
      <c r="AM13" s="91"/>
      <c r="AN13" s="92"/>
      <c r="AO13" s="91"/>
      <c r="AP13" s="92"/>
      <c r="AQ13" s="91"/>
    </row>
    <row r="14" spans="1:43" x14ac:dyDescent="0.25">
      <c r="A14" s="255">
        <v>102310</v>
      </c>
      <c r="B14" s="256" t="s">
        <v>60</v>
      </c>
      <c r="C14" s="121">
        <v>361.11</v>
      </c>
      <c r="D14" s="121">
        <f t="shared" si="1"/>
        <v>361.11</v>
      </c>
      <c r="E14" s="121">
        <f t="shared" si="1"/>
        <v>361.11</v>
      </c>
      <c r="F14" s="121">
        <f t="shared" si="1"/>
        <v>361.11</v>
      </c>
      <c r="G14" s="429">
        <v>282.79000000000002</v>
      </c>
      <c r="H14" s="121">
        <f t="shared" si="1"/>
        <v>282.79000000000002</v>
      </c>
      <c r="I14" s="121">
        <f t="shared" si="1"/>
        <v>282.79000000000002</v>
      </c>
      <c r="J14" s="121">
        <f t="shared" si="1"/>
        <v>282.79000000000002</v>
      </c>
      <c r="K14" s="121">
        <f t="shared" si="1"/>
        <v>282.79000000000002</v>
      </c>
      <c r="L14" s="121">
        <f t="shared" si="1"/>
        <v>282.79000000000002</v>
      </c>
      <c r="M14" s="121">
        <f t="shared" si="1"/>
        <v>282.79000000000002</v>
      </c>
      <c r="N14" s="121">
        <f t="shared" si="1"/>
        <v>282.79000000000002</v>
      </c>
      <c r="O14" s="121">
        <f t="shared" si="1"/>
        <v>282.79000000000002</v>
      </c>
      <c r="P14" s="399">
        <f t="shared" si="2"/>
        <v>302.36999999999995</v>
      </c>
      <c r="Q14" s="308"/>
      <c r="R14" s="229">
        <f>+CANCÚN!K16</f>
        <v>99</v>
      </c>
      <c r="S14" s="91">
        <f t="shared" si="3"/>
        <v>35749.89</v>
      </c>
      <c r="T14" s="229">
        <f>+CANCÚN!P16</f>
        <v>66.5</v>
      </c>
      <c r="U14" s="91">
        <f t="shared" si="4"/>
        <v>24013.815000000002</v>
      </c>
      <c r="V14" s="229">
        <f>+CANCÚN!U16</f>
        <v>38.75</v>
      </c>
      <c r="W14" s="91">
        <f t="shared" si="5"/>
        <v>13993.012500000001</v>
      </c>
      <c r="X14" s="229">
        <f>+CANCÚN!Z16</f>
        <v>134.75</v>
      </c>
      <c r="Y14" s="91">
        <f t="shared" si="6"/>
        <v>38105.952499999999</v>
      </c>
      <c r="Z14" s="229">
        <f>+CANCÚN!AE16</f>
        <v>123.75</v>
      </c>
      <c r="AA14" s="91">
        <f t="shared" si="7"/>
        <v>34995.262500000004</v>
      </c>
      <c r="AB14" s="92"/>
      <c r="AC14" s="91"/>
      <c r="AD14" s="92"/>
      <c r="AE14" s="91"/>
      <c r="AF14" s="92"/>
      <c r="AG14" s="91"/>
      <c r="AH14" s="92"/>
      <c r="AI14" s="91"/>
      <c r="AJ14" s="92"/>
      <c r="AK14" s="91"/>
      <c r="AL14" s="92"/>
      <c r="AM14" s="91"/>
      <c r="AN14" s="92"/>
      <c r="AO14" s="91"/>
      <c r="AP14" s="92"/>
      <c r="AQ14" s="91"/>
    </row>
    <row r="15" spans="1:43" x14ac:dyDescent="0.25">
      <c r="A15" s="255">
        <v>102211</v>
      </c>
      <c r="B15" s="256" t="s">
        <v>61</v>
      </c>
      <c r="C15" s="121">
        <v>360.56</v>
      </c>
      <c r="D15" s="121">
        <f t="shared" si="1"/>
        <v>360.56</v>
      </c>
      <c r="E15" s="121">
        <f t="shared" si="1"/>
        <v>360.56</v>
      </c>
      <c r="F15" s="121">
        <f t="shared" si="1"/>
        <v>360.56</v>
      </c>
      <c r="G15" s="121">
        <f t="shared" si="1"/>
        <v>360.56</v>
      </c>
      <c r="H15" s="121">
        <f t="shared" si="1"/>
        <v>360.56</v>
      </c>
      <c r="I15" s="121">
        <f t="shared" si="1"/>
        <v>360.56</v>
      </c>
      <c r="J15" s="121">
        <f t="shared" si="1"/>
        <v>360.56</v>
      </c>
      <c r="K15" s="121">
        <f t="shared" si="1"/>
        <v>360.56</v>
      </c>
      <c r="L15" s="121">
        <f t="shared" si="1"/>
        <v>360.56</v>
      </c>
      <c r="M15" s="121">
        <f t="shared" si="1"/>
        <v>360.56</v>
      </c>
      <c r="N15" s="121">
        <f t="shared" si="1"/>
        <v>360.56</v>
      </c>
      <c r="O15" s="121">
        <f t="shared" si="1"/>
        <v>360.56</v>
      </c>
      <c r="P15" s="399">
        <f t="shared" si="2"/>
        <v>360.56</v>
      </c>
      <c r="Q15" s="308"/>
      <c r="R15" s="229">
        <f>+CANCÚN!K17</f>
        <v>0</v>
      </c>
      <c r="S15" s="91">
        <f t="shared" si="3"/>
        <v>0</v>
      </c>
      <c r="T15" s="229">
        <f>+CANCÚN!P17</f>
        <v>0</v>
      </c>
      <c r="U15" s="91">
        <f t="shared" si="4"/>
        <v>0</v>
      </c>
      <c r="V15" s="229">
        <f>+CANCÚN!U17</f>
        <v>0</v>
      </c>
      <c r="W15" s="91">
        <f t="shared" si="5"/>
        <v>0</v>
      </c>
      <c r="X15" s="229">
        <f>+CANCÚN!Z17</f>
        <v>0</v>
      </c>
      <c r="Y15" s="91">
        <f t="shared" si="6"/>
        <v>0</v>
      </c>
      <c r="Z15" s="229">
        <f>+CANCÚN!AE17</f>
        <v>0</v>
      </c>
      <c r="AA15" s="91">
        <f t="shared" si="7"/>
        <v>0</v>
      </c>
      <c r="AB15" s="92"/>
      <c r="AC15" s="91"/>
      <c r="AD15" s="92"/>
      <c r="AE15" s="91"/>
      <c r="AF15" s="92"/>
      <c r="AG15" s="91"/>
      <c r="AH15" s="92"/>
      <c r="AI15" s="91"/>
      <c r="AJ15" s="92"/>
      <c r="AK15" s="91"/>
      <c r="AL15" s="92"/>
      <c r="AM15" s="91"/>
      <c r="AN15" s="92"/>
      <c r="AO15" s="91"/>
      <c r="AP15" s="92"/>
      <c r="AQ15" s="91"/>
    </row>
    <row r="16" spans="1:43" x14ac:dyDescent="0.25">
      <c r="A16" s="255">
        <v>104215</v>
      </c>
      <c r="B16" s="256" t="s">
        <v>62</v>
      </c>
      <c r="C16" s="121">
        <v>393.15</v>
      </c>
      <c r="D16" s="121">
        <v>393.15</v>
      </c>
      <c r="E16" s="121">
        <f t="shared" si="1"/>
        <v>393.15</v>
      </c>
      <c r="F16" s="121">
        <f t="shared" si="1"/>
        <v>393.15</v>
      </c>
      <c r="G16" s="121">
        <f t="shared" si="1"/>
        <v>393.15</v>
      </c>
      <c r="H16" s="121">
        <f t="shared" si="1"/>
        <v>393.15</v>
      </c>
      <c r="I16" s="121">
        <f t="shared" si="1"/>
        <v>393.15</v>
      </c>
      <c r="J16" s="121">
        <f t="shared" si="1"/>
        <v>393.15</v>
      </c>
      <c r="K16" s="121">
        <f t="shared" si="1"/>
        <v>393.15</v>
      </c>
      <c r="L16" s="121">
        <f t="shared" si="1"/>
        <v>393.15</v>
      </c>
      <c r="M16" s="121">
        <f t="shared" si="1"/>
        <v>393.15</v>
      </c>
      <c r="N16" s="121">
        <f t="shared" si="1"/>
        <v>393.15</v>
      </c>
      <c r="O16" s="121">
        <f t="shared" si="1"/>
        <v>393.15</v>
      </c>
      <c r="P16" s="399">
        <f t="shared" si="2"/>
        <v>393.15000000000003</v>
      </c>
      <c r="Q16" s="308"/>
      <c r="R16" s="229">
        <f>+CANCÚN!K18</f>
        <v>0</v>
      </c>
      <c r="S16" s="91">
        <f t="shared" si="3"/>
        <v>0</v>
      </c>
      <c r="T16" s="229">
        <f>+CANCÚN!P18</f>
        <v>0</v>
      </c>
      <c r="U16" s="91">
        <f t="shared" si="4"/>
        <v>0</v>
      </c>
      <c r="V16" s="229">
        <f>+CANCÚN!U18</f>
        <v>0</v>
      </c>
      <c r="W16" s="91">
        <f t="shared" si="5"/>
        <v>0</v>
      </c>
      <c r="X16" s="229">
        <f>+CANCÚN!Z18</f>
        <v>0</v>
      </c>
      <c r="Y16" s="91">
        <f t="shared" si="6"/>
        <v>0</v>
      </c>
      <c r="Z16" s="229">
        <f>+CANCÚN!AE18</f>
        <v>0</v>
      </c>
      <c r="AA16" s="91">
        <f t="shared" si="7"/>
        <v>0</v>
      </c>
      <c r="AB16" s="92"/>
      <c r="AC16" s="91"/>
      <c r="AD16" s="92"/>
      <c r="AE16" s="91"/>
      <c r="AF16" s="92"/>
      <c r="AG16" s="91"/>
      <c r="AH16" s="92"/>
      <c r="AI16" s="91"/>
      <c r="AJ16" s="92"/>
      <c r="AK16" s="91"/>
      <c r="AL16" s="92"/>
      <c r="AM16" s="91"/>
      <c r="AN16" s="92"/>
      <c r="AO16" s="91"/>
      <c r="AP16" s="92"/>
      <c r="AQ16" s="91"/>
    </row>
    <row r="17" spans="1:43" x14ac:dyDescent="0.25">
      <c r="A17" s="255">
        <v>114054</v>
      </c>
      <c r="B17" s="256" t="s">
        <v>63</v>
      </c>
      <c r="C17" s="121">
        <v>370.2</v>
      </c>
      <c r="D17" s="121">
        <f t="shared" si="1"/>
        <v>370.2</v>
      </c>
      <c r="E17" s="121">
        <f t="shared" si="1"/>
        <v>370.2</v>
      </c>
      <c r="F17" s="121">
        <f t="shared" si="1"/>
        <v>370.2</v>
      </c>
      <c r="G17" s="121">
        <f t="shared" si="1"/>
        <v>370.2</v>
      </c>
      <c r="H17" s="121">
        <f t="shared" si="1"/>
        <v>370.2</v>
      </c>
      <c r="I17" s="121">
        <f t="shared" si="1"/>
        <v>370.2</v>
      </c>
      <c r="J17" s="121">
        <f t="shared" si="1"/>
        <v>370.2</v>
      </c>
      <c r="K17" s="121">
        <f t="shared" si="1"/>
        <v>370.2</v>
      </c>
      <c r="L17" s="121">
        <f t="shared" si="1"/>
        <v>370.2</v>
      </c>
      <c r="M17" s="121">
        <f t="shared" si="1"/>
        <v>370.2</v>
      </c>
      <c r="N17" s="121">
        <f t="shared" si="1"/>
        <v>370.2</v>
      </c>
      <c r="O17" s="121">
        <f t="shared" si="1"/>
        <v>370.2</v>
      </c>
      <c r="P17" s="399">
        <f t="shared" si="2"/>
        <v>370.19999999999987</v>
      </c>
      <c r="Q17" s="308"/>
      <c r="R17" s="229">
        <f>+CANCÚN!K19</f>
        <v>486.25</v>
      </c>
      <c r="S17" s="91">
        <f t="shared" si="3"/>
        <v>180009.75</v>
      </c>
      <c r="T17" s="229">
        <f>+CANCÚN!P19</f>
        <v>447.75</v>
      </c>
      <c r="U17" s="91">
        <f t="shared" si="4"/>
        <v>165757.04999999999</v>
      </c>
      <c r="V17" s="229">
        <f>+CANCÚN!U19</f>
        <v>420.75</v>
      </c>
      <c r="W17" s="91">
        <f t="shared" si="5"/>
        <v>155761.65</v>
      </c>
      <c r="X17" s="229">
        <f>+CANCÚN!Z19</f>
        <v>391.5</v>
      </c>
      <c r="Y17" s="91">
        <f t="shared" si="6"/>
        <v>144933.29999999999</v>
      </c>
      <c r="Z17" s="229">
        <f>+CANCÚN!AE19</f>
        <v>384.5</v>
      </c>
      <c r="AA17" s="91">
        <f t="shared" si="7"/>
        <v>142341.9</v>
      </c>
      <c r="AB17" s="92"/>
      <c r="AC17" s="91"/>
      <c r="AD17" s="92"/>
      <c r="AE17" s="91"/>
      <c r="AF17" s="92"/>
      <c r="AG17" s="91"/>
      <c r="AH17" s="92"/>
      <c r="AI17" s="91"/>
      <c r="AJ17" s="92"/>
      <c r="AK17" s="91"/>
      <c r="AL17" s="92"/>
      <c r="AM17" s="91"/>
      <c r="AN17" s="92"/>
      <c r="AO17" s="91"/>
      <c r="AP17" s="92"/>
      <c r="AQ17" s="91"/>
    </row>
    <row r="18" spans="1:43" x14ac:dyDescent="0.25">
      <c r="A18" s="255">
        <v>102419</v>
      </c>
      <c r="B18" s="256" t="s">
        <v>64</v>
      </c>
      <c r="C18" s="121">
        <v>311.91000000000003</v>
      </c>
      <c r="D18" s="429">
        <v>257.12</v>
      </c>
      <c r="E18" s="121">
        <f t="shared" si="1"/>
        <v>257.12</v>
      </c>
      <c r="F18" s="121">
        <f t="shared" si="1"/>
        <v>257.12</v>
      </c>
      <c r="G18" s="429">
        <v>234.64</v>
      </c>
      <c r="H18" s="121">
        <f t="shared" si="1"/>
        <v>234.64</v>
      </c>
      <c r="I18" s="121">
        <f t="shared" si="1"/>
        <v>234.64</v>
      </c>
      <c r="J18" s="121">
        <f t="shared" si="1"/>
        <v>234.64</v>
      </c>
      <c r="K18" s="121">
        <f t="shared" si="1"/>
        <v>234.64</v>
      </c>
      <c r="L18" s="121">
        <f t="shared" si="1"/>
        <v>234.64</v>
      </c>
      <c r="M18" s="121">
        <f t="shared" si="1"/>
        <v>234.64</v>
      </c>
      <c r="N18" s="121">
        <f t="shared" si="1"/>
        <v>234.64</v>
      </c>
      <c r="O18" s="121">
        <f t="shared" si="1"/>
        <v>234.64</v>
      </c>
      <c r="P18" s="399">
        <f t="shared" si="2"/>
        <v>240.25999999999991</v>
      </c>
      <c r="Q18" s="308"/>
      <c r="R18" s="229">
        <f>+CANCÚN!K20</f>
        <v>149</v>
      </c>
      <c r="S18" s="91">
        <f t="shared" si="3"/>
        <v>38310.879999999997</v>
      </c>
      <c r="T18" s="229">
        <f>+CANCÚN!P20</f>
        <v>114.75</v>
      </c>
      <c r="U18" s="91">
        <f t="shared" si="4"/>
        <v>29504.52</v>
      </c>
      <c r="V18" s="229">
        <f>+CANCÚN!U20</f>
        <v>79.25</v>
      </c>
      <c r="W18" s="91">
        <f t="shared" si="5"/>
        <v>20376.760000000002</v>
      </c>
      <c r="X18" s="229">
        <f>+CANCÚN!Z20</f>
        <v>182.25</v>
      </c>
      <c r="Y18" s="91">
        <f t="shared" si="6"/>
        <v>42763.14</v>
      </c>
      <c r="Z18" s="229">
        <f>+CANCÚN!AE20</f>
        <v>166.5</v>
      </c>
      <c r="AA18" s="91">
        <f t="shared" si="7"/>
        <v>39067.56</v>
      </c>
      <c r="AB18" s="92"/>
      <c r="AC18" s="91"/>
      <c r="AD18" s="92"/>
      <c r="AE18" s="91"/>
      <c r="AF18" s="92"/>
      <c r="AG18" s="91"/>
      <c r="AH18" s="92"/>
      <c r="AI18" s="91"/>
      <c r="AJ18" s="92"/>
      <c r="AK18" s="91"/>
      <c r="AL18" s="92"/>
      <c r="AM18" s="91"/>
      <c r="AN18" s="92"/>
      <c r="AO18" s="91"/>
      <c r="AP18" s="92"/>
      <c r="AQ18" s="91"/>
    </row>
    <row r="19" spans="1:43" x14ac:dyDescent="0.25">
      <c r="A19" s="255">
        <v>1000440</v>
      </c>
      <c r="B19" s="256" t="s">
        <v>65</v>
      </c>
      <c r="C19" s="121">
        <v>330</v>
      </c>
      <c r="D19" s="121">
        <f t="shared" si="1"/>
        <v>330</v>
      </c>
      <c r="E19" s="121">
        <f t="shared" si="1"/>
        <v>330</v>
      </c>
      <c r="F19" s="121">
        <f t="shared" si="1"/>
        <v>330</v>
      </c>
      <c r="G19" s="121">
        <f t="shared" si="1"/>
        <v>330</v>
      </c>
      <c r="H19" s="121">
        <f t="shared" si="1"/>
        <v>330</v>
      </c>
      <c r="I19" s="121">
        <f t="shared" si="1"/>
        <v>330</v>
      </c>
      <c r="J19" s="121">
        <f t="shared" si="1"/>
        <v>330</v>
      </c>
      <c r="K19" s="121">
        <f t="shared" si="1"/>
        <v>330</v>
      </c>
      <c r="L19" s="121">
        <f t="shared" si="1"/>
        <v>330</v>
      </c>
      <c r="M19" s="121">
        <f t="shared" si="1"/>
        <v>330</v>
      </c>
      <c r="N19" s="121">
        <f t="shared" si="1"/>
        <v>330</v>
      </c>
      <c r="O19" s="121">
        <f t="shared" si="1"/>
        <v>330</v>
      </c>
      <c r="P19" s="399">
        <f t="shared" si="2"/>
        <v>330</v>
      </c>
      <c r="Q19" s="308"/>
      <c r="R19" s="229">
        <f>+CANCÚN!K21</f>
        <v>3.25</v>
      </c>
      <c r="S19" s="91">
        <f t="shared" si="3"/>
        <v>1072.5</v>
      </c>
      <c r="T19" s="229">
        <f>+CANCÚN!P21</f>
        <v>0</v>
      </c>
      <c r="U19" s="91">
        <f t="shared" si="4"/>
        <v>0</v>
      </c>
      <c r="V19" s="229">
        <f>+CANCÚN!U21</f>
        <v>0</v>
      </c>
      <c r="W19" s="91">
        <f t="shared" si="5"/>
        <v>0</v>
      </c>
      <c r="X19" s="229">
        <f>+CANCÚN!Z21</f>
        <v>0</v>
      </c>
      <c r="Y19" s="91">
        <f t="shared" si="6"/>
        <v>0</v>
      </c>
      <c r="Z19" s="229">
        <f>+CANCÚN!AE21</f>
        <v>0</v>
      </c>
      <c r="AA19" s="91">
        <f t="shared" si="7"/>
        <v>0</v>
      </c>
      <c r="AB19" s="92"/>
      <c r="AC19" s="91"/>
      <c r="AD19" s="92"/>
      <c r="AE19" s="91"/>
      <c r="AF19" s="92"/>
      <c r="AG19" s="91"/>
      <c r="AH19" s="92"/>
      <c r="AI19" s="91"/>
      <c r="AJ19" s="92"/>
      <c r="AK19" s="91"/>
      <c r="AL19" s="92"/>
      <c r="AM19" s="91"/>
      <c r="AN19" s="92"/>
      <c r="AO19" s="91"/>
      <c r="AP19" s="92"/>
      <c r="AQ19" s="91"/>
    </row>
    <row r="20" spans="1:43" ht="16.5" thickBot="1" x14ac:dyDescent="0.3">
      <c r="A20" s="255">
        <v>102013</v>
      </c>
      <c r="B20" s="256" t="s">
        <v>58</v>
      </c>
      <c r="C20" s="121">
        <v>318.12</v>
      </c>
      <c r="D20" s="121">
        <f t="shared" si="1"/>
        <v>318.12</v>
      </c>
      <c r="E20" s="121">
        <f t="shared" si="1"/>
        <v>318.12</v>
      </c>
      <c r="F20" s="121">
        <f t="shared" si="1"/>
        <v>318.12</v>
      </c>
      <c r="G20" s="429">
        <v>232.63</v>
      </c>
      <c r="H20" s="121">
        <f t="shared" si="1"/>
        <v>232.63</v>
      </c>
      <c r="I20" s="121">
        <f t="shared" si="1"/>
        <v>232.63</v>
      </c>
      <c r="J20" s="121">
        <f t="shared" si="1"/>
        <v>232.63</v>
      </c>
      <c r="K20" s="121">
        <f t="shared" si="1"/>
        <v>232.63</v>
      </c>
      <c r="L20" s="121">
        <f t="shared" si="1"/>
        <v>232.63</v>
      </c>
      <c r="M20" s="121">
        <f t="shared" si="1"/>
        <v>232.63</v>
      </c>
      <c r="N20" s="121">
        <f t="shared" si="1"/>
        <v>232.63</v>
      </c>
      <c r="O20" s="121">
        <f t="shared" si="1"/>
        <v>232.63</v>
      </c>
      <c r="P20" s="399">
        <f t="shared" si="2"/>
        <v>254.00250000000005</v>
      </c>
      <c r="Q20" s="308"/>
      <c r="R20" s="229">
        <f>+CANCÚN!K14</f>
        <v>0</v>
      </c>
      <c r="S20" s="91">
        <f t="shared" si="3"/>
        <v>0</v>
      </c>
      <c r="T20" s="229">
        <f>+CANCÚN!P14</f>
        <v>0</v>
      </c>
      <c r="U20" s="91">
        <f t="shared" si="4"/>
        <v>0</v>
      </c>
      <c r="V20" s="229">
        <f>+CANCÚN!U14</f>
        <v>0</v>
      </c>
      <c r="W20" s="91">
        <f t="shared" si="5"/>
        <v>0</v>
      </c>
      <c r="X20" s="229">
        <f>+CANCÚN!Z14</f>
        <v>1684</v>
      </c>
      <c r="Y20" s="91">
        <f t="shared" si="6"/>
        <v>391748.92</v>
      </c>
      <c r="Z20" s="229">
        <f>+CANCÚN!AE14</f>
        <v>1320.75</v>
      </c>
      <c r="AA20" s="91">
        <f t="shared" si="7"/>
        <v>307246.07250000001</v>
      </c>
      <c r="AB20" s="92"/>
      <c r="AC20" s="91"/>
      <c r="AD20" s="92"/>
      <c r="AE20" s="91"/>
      <c r="AF20" s="92"/>
      <c r="AG20" s="91"/>
      <c r="AH20" s="92"/>
      <c r="AI20" s="91"/>
      <c r="AJ20" s="92"/>
      <c r="AK20" s="91"/>
      <c r="AL20" s="92"/>
      <c r="AM20" s="91"/>
      <c r="AN20" s="92"/>
      <c r="AO20" s="91"/>
      <c r="AP20" s="92"/>
      <c r="AQ20" s="91"/>
    </row>
    <row r="21" spans="1:43" ht="16.5" hidden="1" thickBot="1" x14ac:dyDescent="0.3">
      <c r="A21" s="257"/>
      <c r="B21" s="258"/>
      <c r="C21" s="122"/>
      <c r="D21" s="121">
        <f t="shared" si="1"/>
        <v>0</v>
      </c>
      <c r="E21" s="121">
        <f t="shared" si="1"/>
        <v>0</v>
      </c>
      <c r="F21" s="121">
        <f t="shared" si="1"/>
        <v>0</v>
      </c>
      <c r="G21" s="121">
        <f t="shared" si="1"/>
        <v>0</v>
      </c>
      <c r="H21" s="121">
        <f t="shared" si="1"/>
        <v>0</v>
      </c>
      <c r="I21" s="121">
        <f t="shared" si="1"/>
        <v>0</v>
      </c>
      <c r="J21" s="121">
        <f t="shared" si="1"/>
        <v>0</v>
      </c>
      <c r="K21" s="121">
        <f t="shared" si="1"/>
        <v>0</v>
      </c>
      <c r="L21" s="121">
        <f t="shared" si="1"/>
        <v>0</v>
      </c>
      <c r="M21" s="121">
        <f t="shared" si="1"/>
        <v>0</v>
      </c>
      <c r="N21" s="121">
        <f t="shared" si="1"/>
        <v>0</v>
      </c>
      <c r="O21" s="121">
        <f t="shared" si="1"/>
        <v>0</v>
      </c>
      <c r="P21" s="399">
        <f t="shared" si="2"/>
        <v>0</v>
      </c>
      <c r="Q21" s="309"/>
      <c r="R21" s="299"/>
      <c r="S21" s="91">
        <f t="shared" si="3"/>
        <v>0</v>
      </c>
      <c r="T21" s="103"/>
      <c r="U21" s="105"/>
      <c r="V21" s="103"/>
      <c r="W21" s="91">
        <f t="shared" si="5"/>
        <v>0</v>
      </c>
      <c r="X21" s="103"/>
      <c r="Y21" s="105"/>
      <c r="Z21" s="103"/>
      <c r="AA21" s="91">
        <f t="shared" si="7"/>
        <v>0</v>
      </c>
      <c r="AB21" s="103"/>
      <c r="AC21" s="105"/>
      <c r="AD21" s="103"/>
      <c r="AE21" s="105"/>
      <c r="AF21" s="103"/>
      <c r="AG21" s="105"/>
      <c r="AH21" s="103"/>
      <c r="AI21" s="105"/>
      <c r="AJ21" s="103"/>
      <c r="AK21" s="105"/>
      <c r="AL21" s="103"/>
      <c r="AM21" s="105"/>
      <c r="AN21" s="92"/>
      <c r="AO21" s="91"/>
      <c r="AP21" s="103"/>
      <c r="AQ21" s="105"/>
    </row>
    <row r="22" spans="1:43" ht="16.5" thickBot="1" x14ac:dyDescent="0.3">
      <c r="A22" s="645" t="s">
        <v>66</v>
      </c>
      <c r="B22" s="646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297"/>
      <c r="P22" s="400"/>
      <c r="Q22" s="310"/>
      <c r="R22" s="495">
        <f t="shared" ref="R22:AA22" si="8">+SUM(R5:R21)</f>
        <v>7406.75</v>
      </c>
      <c r="S22" s="294">
        <f t="shared" si="8"/>
        <v>2232136.2824999997</v>
      </c>
      <c r="T22" s="495">
        <f t="shared" si="8"/>
        <v>5630</v>
      </c>
      <c r="U22" s="495">
        <f t="shared" si="8"/>
        <v>1713755.0649999999</v>
      </c>
      <c r="V22" s="495">
        <f t="shared" si="8"/>
        <v>2875.25</v>
      </c>
      <c r="W22" s="495">
        <f t="shared" si="8"/>
        <v>911559.37750000006</v>
      </c>
      <c r="X22" s="495">
        <f t="shared" si="8"/>
        <v>3176.25</v>
      </c>
      <c r="Y22" s="495">
        <f t="shared" si="8"/>
        <v>869367.52249999996</v>
      </c>
      <c r="Z22" s="495">
        <f t="shared" si="8"/>
        <v>2692</v>
      </c>
      <c r="AA22" s="495">
        <f t="shared" si="8"/>
        <v>743039.46</v>
      </c>
      <c r="AB22" s="118"/>
      <c r="AC22" s="117"/>
      <c r="AD22" s="118"/>
      <c r="AE22" s="117"/>
      <c r="AF22" s="118"/>
      <c r="AG22" s="117"/>
      <c r="AH22" s="294"/>
      <c r="AI22" s="294"/>
      <c r="AJ22" s="118"/>
      <c r="AK22" s="117"/>
      <c r="AL22" s="118"/>
      <c r="AM22" s="119"/>
      <c r="AN22" s="293"/>
      <c r="AO22" s="116"/>
      <c r="AP22" s="118"/>
      <c r="AQ22" s="119"/>
    </row>
    <row r="23" spans="1:43" ht="15" x14ac:dyDescent="0.25">
      <c r="A23" s="649"/>
      <c r="B23" s="650"/>
      <c r="C23" s="650"/>
      <c r="D23" s="650"/>
      <c r="E23" s="650"/>
      <c r="F23" s="650"/>
      <c r="G23" s="650"/>
      <c r="H23" s="650"/>
      <c r="I23" s="650"/>
      <c r="J23" s="650"/>
      <c r="K23" s="650"/>
      <c r="L23" s="650"/>
      <c r="M23" s="650"/>
      <c r="N23" s="650"/>
      <c r="O23" s="650"/>
      <c r="P23" s="650"/>
      <c r="Q23" s="650"/>
      <c r="R23" s="650"/>
      <c r="S23" s="650"/>
      <c r="T23" s="650"/>
      <c r="U23" s="650"/>
      <c r="V23" s="650"/>
      <c r="W23" s="650"/>
      <c r="X23" s="650"/>
      <c r="Y23" s="650"/>
      <c r="Z23" s="650"/>
      <c r="AA23" s="650"/>
      <c r="AB23" s="650"/>
      <c r="AC23" s="650"/>
      <c r="AD23" s="650"/>
      <c r="AE23" s="650"/>
      <c r="AF23" s="650"/>
      <c r="AG23" s="650"/>
      <c r="AH23" s="650"/>
      <c r="AI23" s="650"/>
      <c r="AJ23" s="650"/>
      <c r="AK23" s="650"/>
      <c r="AL23" s="650"/>
      <c r="AM23" s="650"/>
      <c r="AN23" s="650"/>
      <c r="AO23" s="650"/>
      <c r="AP23" s="650"/>
      <c r="AQ23" s="650"/>
    </row>
    <row r="24" spans="1:43" ht="19.5" customHeight="1" thickBot="1" x14ac:dyDescent="0.3">
      <c r="A24" s="643" t="s">
        <v>259</v>
      </c>
      <c r="B24" s="644"/>
      <c r="C24"/>
      <c r="D24"/>
      <c r="E24"/>
      <c r="F24"/>
      <c r="G24"/>
      <c r="H24"/>
      <c r="I24"/>
      <c r="J24"/>
      <c r="K24"/>
      <c r="L24"/>
      <c r="M24"/>
      <c r="N24"/>
      <c r="O24"/>
      <c r="P24" s="401"/>
      <c r="Q24" s="307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x14ac:dyDescent="0.25">
      <c r="A25" s="243">
        <v>806685</v>
      </c>
      <c r="B25" s="244" t="s">
        <v>57</v>
      </c>
      <c r="C25" s="121">
        <v>344.32</v>
      </c>
      <c r="D25" s="429">
        <v>305.47000000000003</v>
      </c>
      <c r="E25" s="429">
        <v>297.01</v>
      </c>
      <c r="F25" s="429">
        <v>318.2</v>
      </c>
      <c r="G25" s="121">
        <f t="shared" ref="G25:O25" si="9">+F25</f>
        <v>318.2</v>
      </c>
      <c r="H25" s="121">
        <f t="shared" si="9"/>
        <v>318.2</v>
      </c>
      <c r="I25" s="121">
        <f t="shared" si="9"/>
        <v>318.2</v>
      </c>
      <c r="J25" s="121">
        <f t="shared" si="9"/>
        <v>318.2</v>
      </c>
      <c r="K25" s="121">
        <f t="shared" si="9"/>
        <v>318.2</v>
      </c>
      <c r="L25" s="121">
        <f t="shared" si="9"/>
        <v>318.2</v>
      </c>
      <c r="M25" s="121">
        <f t="shared" si="9"/>
        <v>318.2</v>
      </c>
      <c r="N25" s="121">
        <f t="shared" si="9"/>
        <v>318.2</v>
      </c>
      <c r="O25" s="296">
        <f t="shared" si="9"/>
        <v>318.2</v>
      </c>
      <c r="P25" s="402">
        <f>+AVERAGE(D25:O25)</f>
        <v>315.37333333333328</v>
      </c>
      <c r="Q25" s="311"/>
      <c r="R25" s="229">
        <f>+'RESUMEN CDMX'!K4</f>
        <v>0</v>
      </c>
      <c r="S25" s="91">
        <f>+R25*D25</f>
        <v>0</v>
      </c>
      <c r="T25" s="229">
        <f>+'RESUMEN CDMX'!P4</f>
        <v>0</v>
      </c>
      <c r="U25" s="91">
        <f>+T25*E25</f>
        <v>0</v>
      </c>
      <c r="V25" s="92">
        <v>0</v>
      </c>
      <c r="W25" s="91">
        <f>+V25*F25</f>
        <v>0</v>
      </c>
      <c r="X25" s="92">
        <v>0</v>
      </c>
      <c r="Y25" s="91">
        <f t="shared" ref="Y25:Y41" si="10">+X25*H25</f>
        <v>0</v>
      </c>
      <c r="Z25" s="92"/>
      <c r="AA25" s="91"/>
      <c r="AB25" s="92"/>
      <c r="AC25" s="91"/>
      <c r="AD25" s="92"/>
      <c r="AE25" s="91"/>
      <c r="AF25" s="92"/>
      <c r="AG25" s="91"/>
      <c r="AH25" s="92"/>
      <c r="AI25" s="91"/>
      <c r="AJ25" s="92"/>
      <c r="AK25" s="91"/>
      <c r="AL25" s="92"/>
      <c r="AM25" s="91"/>
      <c r="AN25" s="92"/>
      <c r="AO25" s="91"/>
      <c r="AP25" s="92"/>
      <c r="AQ25" s="91"/>
    </row>
    <row r="26" spans="1:43" x14ac:dyDescent="0.25">
      <c r="A26" s="243">
        <v>806939</v>
      </c>
      <c r="B26" s="244" t="s">
        <v>67</v>
      </c>
      <c r="C26" s="121">
        <v>326.49</v>
      </c>
      <c r="D26" s="121">
        <f t="shared" ref="D26:O44" si="11">+C26</f>
        <v>326.49</v>
      </c>
      <c r="E26" s="429">
        <v>287.31</v>
      </c>
      <c r="F26" s="429">
        <v>308.52999999999997</v>
      </c>
      <c r="G26" s="121">
        <f t="shared" si="11"/>
        <v>308.52999999999997</v>
      </c>
      <c r="H26" s="121">
        <f t="shared" si="11"/>
        <v>308.52999999999997</v>
      </c>
      <c r="I26" s="121">
        <f t="shared" si="11"/>
        <v>308.52999999999997</v>
      </c>
      <c r="J26" s="121">
        <f t="shared" si="11"/>
        <v>308.52999999999997</v>
      </c>
      <c r="K26" s="121">
        <f t="shared" si="11"/>
        <v>308.52999999999997</v>
      </c>
      <c r="L26" s="121">
        <f t="shared" si="11"/>
        <v>308.52999999999997</v>
      </c>
      <c r="M26" s="121">
        <f t="shared" si="11"/>
        <v>308.52999999999997</v>
      </c>
      <c r="N26" s="121">
        <f t="shared" si="11"/>
        <v>308.52999999999997</v>
      </c>
      <c r="O26" s="296">
        <f t="shared" si="11"/>
        <v>308.52999999999997</v>
      </c>
      <c r="P26" s="399">
        <f t="shared" ref="P26:P45" si="12">+AVERAGE(D26:O26)</f>
        <v>308.25833333333321</v>
      </c>
      <c r="Q26" s="308"/>
      <c r="R26" s="229">
        <f>+'RESUMEN CDMX'!K5</f>
        <v>0</v>
      </c>
      <c r="S26" s="91">
        <f t="shared" ref="S26:S42" si="13">+R26*D26</f>
        <v>0</v>
      </c>
      <c r="T26" s="229">
        <f>+'RESUMEN CDMX'!P5</f>
        <v>0</v>
      </c>
      <c r="U26" s="91">
        <f t="shared" ref="U26:U42" si="14">+T26*E26</f>
        <v>0</v>
      </c>
      <c r="V26" s="92">
        <v>0</v>
      </c>
      <c r="W26" s="91">
        <f t="shared" ref="W26:W42" si="15">+V26*F26</f>
        <v>0</v>
      </c>
      <c r="X26" s="92">
        <v>0</v>
      </c>
      <c r="Y26" s="91">
        <f t="shared" si="10"/>
        <v>0</v>
      </c>
      <c r="Z26" s="92"/>
      <c r="AA26" s="91"/>
      <c r="AB26" s="92"/>
      <c r="AC26" s="91"/>
      <c r="AD26" s="92"/>
      <c r="AE26" s="91"/>
      <c r="AF26" s="92"/>
      <c r="AG26" s="91"/>
      <c r="AH26" s="92"/>
      <c r="AI26" s="91"/>
      <c r="AJ26" s="92"/>
      <c r="AK26" s="91"/>
      <c r="AL26" s="92"/>
      <c r="AM26" s="91"/>
      <c r="AN26" s="92"/>
      <c r="AO26" s="91"/>
      <c r="AP26" s="92"/>
      <c r="AQ26" s="91"/>
    </row>
    <row r="27" spans="1:43" x14ac:dyDescent="0.25">
      <c r="A27" s="243">
        <v>806694</v>
      </c>
      <c r="B27" s="244" t="s">
        <v>68</v>
      </c>
      <c r="C27" s="121">
        <v>382.98</v>
      </c>
      <c r="D27" s="121">
        <f t="shared" si="11"/>
        <v>382.98</v>
      </c>
      <c r="E27" s="429">
        <v>325.08</v>
      </c>
      <c r="F27" s="429">
        <v>366.07</v>
      </c>
      <c r="G27" s="121">
        <f t="shared" si="11"/>
        <v>366.07</v>
      </c>
      <c r="H27" s="121">
        <f t="shared" si="11"/>
        <v>366.07</v>
      </c>
      <c r="I27" s="121">
        <f t="shared" si="11"/>
        <v>366.07</v>
      </c>
      <c r="J27" s="121">
        <f t="shared" si="11"/>
        <v>366.07</v>
      </c>
      <c r="K27" s="121">
        <f t="shared" si="11"/>
        <v>366.07</v>
      </c>
      <c r="L27" s="121">
        <f t="shared" si="11"/>
        <v>366.07</v>
      </c>
      <c r="M27" s="121">
        <f t="shared" si="11"/>
        <v>366.07</v>
      </c>
      <c r="N27" s="121">
        <f t="shared" si="11"/>
        <v>366.07</v>
      </c>
      <c r="O27" s="296">
        <f t="shared" si="11"/>
        <v>366.07</v>
      </c>
      <c r="P27" s="399">
        <f t="shared" si="12"/>
        <v>364.06333333333333</v>
      </c>
      <c r="Q27" s="308"/>
      <c r="R27" s="229">
        <f>+'RESUMEN CDMX'!K6</f>
        <v>0</v>
      </c>
      <c r="S27" s="91">
        <f t="shared" si="13"/>
        <v>0</v>
      </c>
      <c r="T27" s="229">
        <f>+'RESUMEN CDMX'!P6</f>
        <v>0</v>
      </c>
      <c r="U27" s="91">
        <f t="shared" si="14"/>
        <v>0</v>
      </c>
      <c r="V27" s="92">
        <v>0</v>
      </c>
      <c r="W27" s="91">
        <f t="shared" si="15"/>
        <v>0</v>
      </c>
      <c r="X27" s="92">
        <v>0</v>
      </c>
      <c r="Y27" s="91">
        <f t="shared" si="10"/>
        <v>0</v>
      </c>
      <c r="Z27" s="92"/>
      <c r="AA27" s="91"/>
      <c r="AB27" s="92"/>
      <c r="AC27" s="91"/>
      <c r="AD27" s="92"/>
      <c r="AE27" s="91"/>
      <c r="AF27" s="92"/>
      <c r="AG27" s="91"/>
      <c r="AH27" s="92"/>
      <c r="AI27" s="91"/>
      <c r="AJ27" s="92"/>
      <c r="AK27" s="91"/>
      <c r="AL27" s="92"/>
      <c r="AM27" s="91"/>
      <c r="AN27" s="92"/>
      <c r="AO27" s="91"/>
      <c r="AP27" s="92"/>
      <c r="AQ27" s="91"/>
    </row>
    <row r="28" spans="1:43" x14ac:dyDescent="0.25">
      <c r="A28" s="243">
        <v>804104</v>
      </c>
      <c r="B28" s="244" t="s">
        <v>69</v>
      </c>
      <c r="C28" s="121">
        <v>369.36</v>
      </c>
      <c r="D28" s="121">
        <f t="shared" si="11"/>
        <v>369.36</v>
      </c>
      <c r="E28" s="121">
        <f t="shared" si="11"/>
        <v>369.36</v>
      </c>
      <c r="F28" s="121">
        <f t="shared" si="11"/>
        <v>369.36</v>
      </c>
      <c r="G28" s="121">
        <f t="shared" si="11"/>
        <v>369.36</v>
      </c>
      <c r="H28" s="121">
        <f t="shared" si="11"/>
        <v>369.36</v>
      </c>
      <c r="I28" s="121">
        <f t="shared" si="11"/>
        <v>369.36</v>
      </c>
      <c r="J28" s="121">
        <f t="shared" si="11"/>
        <v>369.36</v>
      </c>
      <c r="K28" s="121">
        <f t="shared" si="11"/>
        <v>369.36</v>
      </c>
      <c r="L28" s="121">
        <f t="shared" si="11"/>
        <v>369.36</v>
      </c>
      <c r="M28" s="121">
        <f t="shared" si="11"/>
        <v>369.36</v>
      </c>
      <c r="N28" s="121">
        <f t="shared" si="11"/>
        <v>369.36</v>
      </c>
      <c r="O28" s="296">
        <f t="shared" si="11"/>
        <v>369.36</v>
      </c>
      <c r="P28" s="399">
        <f t="shared" si="12"/>
        <v>369.36000000000007</v>
      </c>
      <c r="Q28" s="308"/>
      <c r="R28" s="229">
        <f>+'RESUMEN CDMX'!K7</f>
        <v>0</v>
      </c>
      <c r="S28" s="91">
        <f t="shared" si="13"/>
        <v>0</v>
      </c>
      <c r="T28" s="229">
        <f>+'RESUMEN CDMX'!P7</f>
        <v>0</v>
      </c>
      <c r="U28" s="91">
        <f t="shared" si="14"/>
        <v>0</v>
      </c>
      <c r="V28" s="92">
        <v>0</v>
      </c>
      <c r="W28" s="91">
        <f t="shared" si="15"/>
        <v>0</v>
      </c>
      <c r="X28" s="92">
        <v>0</v>
      </c>
      <c r="Y28" s="91">
        <f t="shared" si="10"/>
        <v>0</v>
      </c>
      <c r="Z28" s="92"/>
      <c r="AA28" s="91"/>
      <c r="AB28" s="92"/>
      <c r="AC28" s="91"/>
      <c r="AD28" s="92"/>
      <c r="AE28" s="91"/>
      <c r="AF28" s="92"/>
      <c r="AG28" s="91"/>
      <c r="AH28" s="92"/>
      <c r="AI28" s="91"/>
      <c r="AJ28" s="92"/>
      <c r="AK28" s="91"/>
      <c r="AL28" s="92"/>
      <c r="AM28" s="91"/>
      <c r="AN28" s="92"/>
      <c r="AO28" s="91"/>
      <c r="AP28" s="92"/>
      <c r="AQ28" s="91"/>
    </row>
    <row r="29" spans="1:43" x14ac:dyDescent="0.25">
      <c r="A29" s="243">
        <v>806686</v>
      </c>
      <c r="B29" s="244" t="s">
        <v>70</v>
      </c>
      <c r="C29" s="121">
        <v>320.48</v>
      </c>
      <c r="D29" s="121">
        <f t="shared" si="11"/>
        <v>320.48</v>
      </c>
      <c r="E29" s="429">
        <v>297.01</v>
      </c>
      <c r="F29" s="121">
        <f t="shared" si="11"/>
        <v>297.01</v>
      </c>
      <c r="G29" s="121">
        <f t="shared" si="11"/>
        <v>297.01</v>
      </c>
      <c r="H29" s="121">
        <f t="shared" si="11"/>
        <v>297.01</v>
      </c>
      <c r="I29" s="121">
        <f t="shared" si="11"/>
        <v>297.01</v>
      </c>
      <c r="J29" s="121">
        <f t="shared" si="11"/>
        <v>297.01</v>
      </c>
      <c r="K29" s="121">
        <f t="shared" si="11"/>
        <v>297.01</v>
      </c>
      <c r="L29" s="121">
        <f t="shared" si="11"/>
        <v>297.01</v>
      </c>
      <c r="M29" s="121">
        <f t="shared" si="11"/>
        <v>297.01</v>
      </c>
      <c r="N29" s="121">
        <f t="shared" si="11"/>
        <v>297.01</v>
      </c>
      <c r="O29" s="296">
        <f t="shared" si="11"/>
        <v>297.01</v>
      </c>
      <c r="P29" s="399">
        <f t="shared" si="12"/>
        <v>298.96583333333342</v>
      </c>
      <c r="Q29" s="308"/>
      <c r="R29" s="229">
        <f>+'RESUMEN CDMX'!K8</f>
        <v>161</v>
      </c>
      <c r="S29" s="91">
        <f t="shared" si="13"/>
        <v>51597.280000000006</v>
      </c>
      <c r="T29" s="229">
        <f>+'RESUMEN CDMX'!P8</f>
        <v>112</v>
      </c>
      <c r="U29" s="91">
        <f t="shared" si="14"/>
        <v>33265.119999999995</v>
      </c>
      <c r="V29" s="92">
        <v>0</v>
      </c>
      <c r="W29" s="91">
        <f t="shared" si="15"/>
        <v>0</v>
      </c>
      <c r="X29" s="92">
        <v>0</v>
      </c>
      <c r="Y29" s="91">
        <f t="shared" si="10"/>
        <v>0</v>
      </c>
      <c r="Z29" s="92"/>
      <c r="AA29" s="91"/>
      <c r="AB29" s="92"/>
      <c r="AC29" s="91"/>
      <c r="AD29" s="92"/>
      <c r="AE29" s="91"/>
      <c r="AF29" s="92"/>
      <c r="AG29" s="91"/>
      <c r="AH29" s="92"/>
      <c r="AI29" s="91"/>
      <c r="AJ29" s="92"/>
      <c r="AK29" s="91"/>
      <c r="AL29" s="92"/>
      <c r="AM29" s="91"/>
      <c r="AN29" s="92"/>
      <c r="AO29" s="91"/>
      <c r="AP29" s="92"/>
      <c r="AQ29" s="91"/>
    </row>
    <row r="30" spans="1:43" x14ac:dyDescent="0.25">
      <c r="A30" s="243">
        <v>804109</v>
      </c>
      <c r="B30" s="244" t="s">
        <v>71</v>
      </c>
      <c r="C30" s="121">
        <v>424.92</v>
      </c>
      <c r="D30" s="121">
        <f t="shared" si="11"/>
        <v>424.92</v>
      </c>
      <c r="E30" s="429">
        <v>361.2</v>
      </c>
      <c r="F30" s="429">
        <v>370.16</v>
      </c>
      <c r="G30" s="121">
        <f t="shared" si="11"/>
        <v>370.16</v>
      </c>
      <c r="H30" s="121">
        <f t="shared" si="11"/>
        <v>370.16</v>
      </c>
      <c r="I30" s="121">
        <f t="shared" si="11"/>
        <v>370.16</v>
      </c>
      <c r="J30" s="121">
        <f t="shared" si="11"/>
        <v>370.16</v>
      </c>
      <c r="K30" s="121">
        <f t="shared" si="11"/>
        <v>370.16</v>
      </c>
      <c r="L30" s="121">
        <f t="shared" si="11"/>
        <v>370.16</v>
      </c>
      <c r="M30" s="121">
        <f t="shared" si="11"/>
        <v>370.16</v>
      </c>
      <c r="N30" s="121">
        <f t="shared" si="11"/>
        <v>370.16</v>
      </c>
      <c r="O30" s="296">
        <f t="shared" si="11"/>
        <v>370.16</v>
      </c>
      <c r="P30" s="399">
        <f t="shared" si="12"/>
        <v>373.97666666666663</v>
      </c>
      <c r="Q30" s="308"/>
      <c r="R30" s="229">
        <f>+'RESUMEN CDMX'!K9</f>
        <v>1</v>
      </c>
      <c r="S30" s="91">
        <f t="shared" si="13"/>
        <v>424.92</v>
      </c>
      <c r="T30" s="229">
        <f>+'RESUMEN CDMX'!P9</f>
        <v>1</v>
      </c>
      <c r="U30" s="91">
        <f t="shared" si="14"/>
        <v>361.2</v>
      </c>
      <c r="V30" s="92">
        <v>0</v>
      </c>
      <c r="W30" s="91">
        <f t="shared" si="15"/>
        <v>0</v>
      </c>
      <c r="X30" s="92">
        <v>0</v>
      </c>
      <c r="Y30" s="91">
        <f t="shared" si="10"/>
        <v>0</v>
      </c>
      <c r="Z30" s="92"/>
      <c r="AA30" s="91"/>
      <c r="AB30" s="92"/>
      <c r="AC30" s="91"/>
      <c r="AD30" s="92"/>
      <c r="AE30" s="91"/>
      <c r="AF30" s="92"/>
      <c r="AG30" s="91"/>
      <c r="AH30" s="92"/>
      <c r="AI30" s="91"/>
      <c r="AJ30" s="92"/>
      <c r="AK30" s="91"/>
      <c r="AL30" s="92"/>
      <c r="AM30" s="91"/>
      <c r="AN30" s="92"/>
      <c r="AO30" s="91"/>
      <c r="AP30" s="92"/>
      <c r="AQ30" s="91"/>
    </row>
    <row r="31" spans="1:43" x14ac:dyDescent="0.25">
      <c r="A31" s="243">
        <v>806980</v>
      </c>
      <c r="B31" s="244" t="s">
        <v>72</v>
      </c>
      <c r="C31" s="121">
        <v>371.47</v>
      </c>
      <c r="D31" s="121">
        <f t="shared" si="11"/>
        <v>371.47</v>
      </c>
      <c r="E31" s="429">
        <v>314.14</v>
      </c>
      <c r="F31" s="121">
        <f t="shared" si="11"/>
        <v>314.14</v>
      </c>
      <c r="G31" s="121">
        <f t="shared" si="11"/>
        <v>314.14</v>
      </c>
      <c r="H31" s="121">
        <f t="shared" si="11"/>
        <v>314.14</v>
      </c>
      <c r="I31" s="121">
        <f t="shared" si="11"/>
        <v>314.14</v>
      </c>
      <c r="J31" s="121">
        <f t="shared" si="11"/>
        <v>314.14</v>
      </c>
      <c r="K31" s="121">
        <f t="shared" si="11"/>
        <v>314.14</v>
      </c>
      <c r="L31" s="121">
        <f t="shared" si="11"/>
        <v>314.14</v>
      </c>
      <c r="M31" s="121">
        <f t="shared" si="11"/>
        <v>314.14</v>
      </c>
      <c r="N31" s="121">
        <f t="shared" si="11"/>
        <v>314.14</v>
      </c>
      <c r="O31" s="296">
        <f t="shared" si="11"/>
        <v>314.14</v>
      </c>
      <c r="P31" s="399">
        <f t="shared" si="12"/>
        <v>318.9174999999999</v>
      </c>
      <c r="Q31" s="308"/>
      <c r="R31" s="229">
        <f>+'RESUMEN CDMX'!K10</f>
        <v>25</v>
      </c>
      <c r="S31" s="91">
        <f t="shared" si="13"/>
        <v>9286.75</v>
      </c>
      <c r="T31" s="229">
        <f>+'RESUMEN CDMX'!P10</f>
        <v>25</v>
      </c>
      <c r="U31" s="91">
        <f t="shared" si="14"/>
        <v>7853.5</v>
      </c>
      <c r="V31" s="92">
        <v>0</v>
      </c>
      <c r="W31" s="91">
        <f t="shared" si="15"/>
        <v>0</v>
      </c>
      <c r="X31" s="92">
        <v>0</v>
      </c>
      <c r="Y31" s="91">
        <f t="shared" si="10"/>
        <v>0</v>
      </c>
      <c r="Z31" s="92"/>
      <c r="AA31" s="91"/>
      <c r="AB31" s="92"/>
      <c r="AC31" s="91"/>
      <c r="AD31" s="92"/>
      <c r="AE31" s="91"/>
      <c r="AF31" s="92"/>
      <c r="AG31" s="91"/>
      <c r="AH31" s="92"/>
      <c r="AI31" s="91"/>
      <c r="AJ31" s="92"/>
      <c r="AK31" s="91"/>
      <c r="AL31" s="92"/>
      <c r="AM31" s="91"/>
      <c r="AN31" s="92"/>
      <c r="AO31" s="91"/>
      <c r="AP31" s="92"/>
      <c r="AQ31" s="91"/>
    </row>
    <row r="32" spans="1:43" x14ac:dyDescent="0.25">
      <c r="A32" s="243">
        <v>806982</v>
      </c>
      <c r="B32" s="244" t="s">
        <v>73</v>
      </c>
      <c r="C32" s="121">
        <v>346.77</v>
      </c>
      <c r="D32" s="121">
        <f t="shared" si="11"/>
        <v>346.77</v>
      </c>
      <c r="E32" s="121">
        <f t="shared" si="11"/>
        <v>346.77</v>
      </c>
      <c r="F32" s="429">
        <v>337.55</v>
      </c>
      <c r="G32" s="121">
        <f t="shared" si="11"/>
        <v>337.55</v>
      </c>
      <c r="H32" s="121">
        <f t="shared" si="11"/>
        <v>337.55</v>
      </c>
      <c r="I32" s="121">
        <f t="shared" si="11"/>
        <v>337.55</v>
      </c>
      <c r="J32" s="121">
        <f t="shared" si="11"/>
        <v>337.55</v>
      </c>
      <c r="K32" s="121">
        <f t="shared" si="11"/>
        <v>337.55</v>
      </c>
      <c r="L32" s="121">
        <f t="shared" si="11"/>
        <v>337.55</v>
      </c>
      <c r="M32" s="121">
        <f t="shared" si="11"/>
        <v>337.55</v>
      </c>
      <c r="N32" s="121">
        <f t="shared" si="11"/>
        <v>337.55</v>
      </c>
      <c r="O32" s="296">
        <f t="shared" si="11"/>
        <v>337.55</v>
      </c>
      <c r="P32" s="399">
        <f t="shared" si="12"/>
        <v>339.08666666666676</v>
      </c>
      <c r="Q32" s="308"/>
      <c r="R32" s="229">
        <f>+'RESUMEN CDMX'!K11</f>
        <v>50</v>
      </c>
      <c r="S32" s="91">
        <f t="shared" si="13"/>
        <v>17338.5</v>
      </c>
      <c r="T32" s="229">
        <f>+'RESUMEN CDMX'!P11</f>
        <v>50</v>
      </c>
      <c r="U32" s="91">
        <f t="shared" si="14"/>
        <v>17338.5</v>
      </c>
      <c r="V32" s="92">
        <v>0</v>
      </c>
      <c r="W32" s="91">
        <f t="shared" si="15"/>
        <v>0</v>
      </c>
      <c r="X32" s="92">
        <v>0</v>
      </c>
      <c r="Y32" s="91">
        <f t="shared" si="10"/>
        <v>0</v>
      </c>
      <c r="Z32" s="92"/>
      <c r="AA32" s="91"/>
      <c r="AB32" s="92"/>
      <c r="AC32" s="91"/>
      <c r="AD32" s="92"/>
      <c r="AE32" s="91"/>
      <c r="AF32" s="92"/>
      <c r="AG32" s="91"/>
      <c r="AH32" s="92"/>
      <c r="AI32" s="91"/>
      <c r="AJ32" s="92"/>
      <c r="AK32" s="91"/>
      <c r="AL32" s="92"/>
      <c r="AM32" s="91"/>
      <c r="AN32" s="92"/>
      <c r="AO32" s="91"/>
      <c r="AP32" s="92"/>
      <c r="AQ32" s="91"/>
    </row>
    <row r="33" spans="1:43" x14ac:dyDescent="0.25">
      <c r="A33" s="243">
        <v>260612</v>
      </c>
      <c r="B33" s="244" t="s">
        <v>74</v>
      </c>
      <c r="C33" s="121">
        <v>298.86</v>
      </c>
      <c r="D33" s="121">
        <f t="shared" si="11"/>
        <v>298.86</v>
      </c>
      <c r="E33" s="121">
        <f t="shared" si="11"/>
        <v>298.86</v>
      </c>
      <c r="F33" s="121">
        <f t="shared" si="11"/>
        <v>298.86</v>
      </c>
      <c r="G33" s="121">
        <f t="shared" si="11"/>
        <v>298.86</v>
      </c>
      <c r="H33" s="121">
        <f t="shared" si="11"/>
        <v>298.86</v>
      </c>
      <c r="I33" s="121">
        <f t="shared" si="11"/>
        <v>298.86</v>
      </c>
      <c r="J33" s="121">
        <f t="shared" si="11"/>
        <v>298.86</v>
      </c>
      <c r="K33" s="121">
        <f t="shared" si="11"/>
        <v>298.86</v>
      </c>
      <c r="L33" s="121">
        <f t="shared" si="11"/>
        <v>298.86</v>
      </c>
      <c r="M33" s="121">
        <f t="shared" si="11"/>
        <v>298.86</v>
      </c>
      <c r="N33" s="121">
        <f t="shared" si="11"/>
        <v>298.86</v>
      </c>
      <c r="O33" s="296">
        <f t="shared" si="11"/>
        <v>298.86</v>
      </c>
      <c r="P33" s="399">
        <f t="shared" si="12"/>
        <v>298.86000000000007</v>
      </c>
      <c r="Q33" s="308"/>
      <c r="R33" s="229">
        <f>+'RESUMEN CDMX'!K12</f>
        <v>66</v>
      </c>
      <c r="S33" s="91">
        <f t="shared" si="13"/>
        <v>19724.760000000002</v>
      </c>
      <c r="T33" s="229">
        <f>+'RESUMEN CDMX'!P12</f>
        <v>66</v>
      </c>
      <c r="U33" s="91">
        <f t="shared" si="14"/>
        <v>19724.760000000002</v>
      </c>
      <c r="V33" s="92">
        <v>0</v>
      </c>
      <c r="W33" s="91">
        <f t="shared" si="15"/>
        <v>0</v>
      </c>
      <c r="X33" s="92">
        <v>0</v>
      </c>
      <c r="Y33" s="91">
        <f t="shared" si="10"/>
        <v>0</v>
      </c>
      <c r="Z33" s="92"/>
      <c r="AA33" s="91"/>
      <c r="AB33" s="92"/>
      <c r="AC33" s="91"/>
      <c r="AD33" s="92"/>
      <c r="AE33" s="91"/>
      <c r="AF33" s="92"/>
      <c r="AG33" s="91"/>
      <c r="AH33" s="92"/>
      <c r="AI33" s="91"/>
      <c r="AJ33" s="92"/>
      <c r="AK33" s="91"/>
      <c r="AL33" s="92"/>
      <c r="AM33" s="91"/>
      <c r="AN33" s="92"/>
      <c r="AO33" s="91"/>
      <c r="AP33" s="92"/>
      <c r="AQ33" s="91"/>
    </row>
    <row r="34" spans="1:43" x14ac:dyDescent="0.25">
      <c r="A34" s="243">
        <v>804661</v>
      </c>
      <c r="B34" s="244" t="s">
        <v>75</v>
      </c>
      <c r="C34" s="121">
        <v>329.94</v>
      </c>
      <c r="D34" s="121">
        <f t="shared" si="11"/>
        <v>329.94</v>
      </c>
      <c r="E34" s="121">
        <f t="shared" si="11"/>
        <v>329.94</v>
      </c>
      <c r="F34" s="121">
        <f t="shared" si="11"/>
        <v>329.94</v>
      </c>
      <c r="G34" s="121">
        <f t="shared" si="11"/>
        <v>329.94</v>
      </c>
      <c r="H34" s="121">
        <f t="shared" si="11"/>
        <v>329.94</v>
      </c>
      <c r="I34" s="121">
        <f t="shared" si="11"/>
        <v>329.94</v>
      </c>
      <c r="J34" s="121">
        <f t="shared" si="11"/>
        <v>329.94</v>
      </c>
      <c r="K34" s="121">
        <f t="shared" si="11"/>
        <v>329.94</v>
      </c>
      <c r="L34" s="121">
        <f t="shared" si="11"/>
        <v>329.94</v>
      </c>
      <c r="M34" s="121">
        <f t="shared" si="11"/>
        <v>329.94</v>
      </c>
      <c r="N34" s="121">
        <f t="shared" si="11"/>
        <v>329.94</v>
      </c>
      <c r="O34" s="296">
        <f t="shared" si="11"/>
        <v>329.94</v>
      </c>
      <c r="P34" s="399">
        <f t="shared" si="12"/>
        <v>329.94</v>
      </c>
      <c r="Q34" s="308"/>
      <c r="R34" s="229">
        <f>+'RESUMEN CDMX'!K13</f>
        <v>0</v>
      </c>
      <c r="S34" s="91">
        <f t="shared" si="13"/>
        <v>0</v>
      </c>
      <c r="T34" s="229">
        <f>+'RESUMEN CDMX'!P13</f>
        <v>0</v>
      </c>
      <c r="U34" s="91">
        <f t="shared" si="14"/>
        <v>0</v>
      </c>
      <c r="V34" s="92">
        <v>0</v>
      </c>
      <c r="W34" s="91">
        <f t="shared" si="15"/>
        <v>0</v>
      </c>
      <c r="X34" s="92">
        <v>0</v>
      </c>
      <c r="Y34" s="91">
        <f t="shared" si="10"/>
        <v>0</v>
      </c>
      <c r="Z34" s="92"/>
      <c r="AA34" s="91"/>
      <c r="AB34" s="92"/>
      <c r="AC34" s="91"/>
      <c r="AD34" s="92"/>
      <c r="AE34" s="91"/>
      <c r="AF34" s="92"/>
      <c r="AG34" s="91"/>
      <c r="AH34" s="92"/>
      <c r="AI34" s="91"/>
      <c r="AJ34" s="92"/>
      <c r="AK34" s="91"/>
      <c r="AL34" s="92"/>
      <c r="AM34" s="91"/>
      <c r="AN34" s="92"/>
      <c r="AO34" s="91"/>
      <c r="AP34" s="92"/>
      <c r="AQ34" s="91"/>
    </row>
    <row r="35" spans="1:43" x14ac:dyDescent="0.25">
      <c r="A35" s="243">
        <v>806702</v>
      </c>
      <c r="B35" s="244" t="s">
        <v>76</v>
      </c>
      <c r="C35" s="121">
        <v>554.39</v>
      </c>
      <c r="D35" s="429">
        <v>432.95</v>
      </c>
      <c r="E35" s="121">
        <f t="shared" si="11"/>
        <v>432.95</v>
      </c>
      <c r="F35" s="121">
        <f t="shared" si="11"/>
        <v>432.95</v>
      </c>
      <c r="G35" s="121">
        <f t="shared" si="11"/>
        <v>432.95</v>
      </c>
      <c r="H35" s="121">
        <f t="shared" si="11"/>
        <v>432.95</v>
      </c>
      <c r="I35" s="121">
        <f t="shared" si="11"/>
        <v>432.95</v>
      </c>
      <c r="J35" s="121">
        <f t="shared" si="11"/>
        <v>432.95</v>
      </c>
      <c r="K35" s="121">
        <f t="shared" si="11"/>
        <v>432.95</v>
      </c>
      <c r="L35" s="121">
        <f t="shared" si="11"/>
        <v>432.95</v>
      </c>
      <c r="M35" s="121">
        <f t="shared" si="11"/>
        <v>432.95</v>
      </c>
      <c r="N35" s="121">
        <f t="shared" si="11"/>
        <v>432.95</v>
      </c>
      <c r="O35" s="296">
        <f t="shared" si="11"/>
        <v>432.95</v>
      </c>
      <c r="P35" s="399">
        <f t="shared" si="12"/>
        <v>432.94999999999987</v>
      </c>
      <c r="Q35" s="308"/>
      <c r="R35" s="229">
        <f>+'RESUMEN CDMX'!K14</f>
        <v>0</v>
      </c>
      <c r="S35" s="91">
        <f t="shared" si="13"/>
        <v>0</v>
      </c>
      <c r="T35" s="229">
        <f>+'RESUMEN CDMX'!P14</f>
        <v>0</v>
      </c>
      <c r="U35" s="91">
        <f t="shared" si="14"/>
        <v>0</v>
      </c>
      <c r="V35" s="92">
        <v>0</v>
      </c>
      <c r="W35" s="91">
        <f t="shared" si="15"/>
        <v>0</v>
      </c>
      <c r="X35" s="92">
        <v>0</v>
      </c>
      <c r="Y35" s="91">
        <f t="shared" si="10"/>
        <v>0</v>
      </c>
      <c r="Z35" s="92"/>
      <c r="AA35" s="91"/>
      <c r="AB35" s="92"/>
      <c r="AC35" s="91"/>
      <c r="AD35" s="92"/>
      <c r="AE35" s="91"/>
      <c r="AF35" s="92"/>
      <c r="AG35" s="91"/>
      <c r="AH35" s="92"/>
      <c r="AI35" s="91"/>
      <c r="AJ35" s="92"/>
      <c r="AK35" s="91"/>
      <c r="AL35" s="92"/>
      <c r="AM35" s="91"/>
      <c r="AN35" s="92"/>
      <c r="AO35" s="91"/>
      <c r="AP35" s="92"/>
      <c r="AQ35" s="91"/>
    </row>
    <row r="36" spans="1:43" x14ac:dyDescent="0.25">
      <c r="A36" s="267">
        <v>807769</v>
      </c>
      <c r="B36" s="268" t="s">
        <v>77</v>
      </c>
      <c r="C36" s="121">
        <v>346.43</v>
      </c>
      <c r="D36" s="121">
        <f t="shared" si="11"/>
        <v>346.43</v>
      </c>
      <c r="E36" s="121">
        <f t="shared" si="11"/>
        <v>346.43</v>
      </c>
      <c r="F36" s="121">
        <f t="shared" si="11"/>
        <v>346.43</v>
      </c>
      <c r="G36" s="121">
        <f t="shared" si="11"/>
        <v>346.43</v>
      </c>
      <c r="H36" s="121">
        <f t="shared" si="11"/>
        <v>346.43</v>
      </c>
      <c r="I36" s="121">
        <f t="shared" si="11"/>
        <v>346.43</v>
      </c>
      <c r="J36" s="121">
        <f t="shared" si="11"/>
        <v>346.43</v>
      </c>
      <c r="K36" s="121">
        <f t="shared" si="11"/>
        <v>346.43</v>
      </c>
      <c r="L36" s="121">
        <f t="shared" si="11"/>
        <v>346.43</v>
      </c>
      <c r="M36" s="121">
        <f t="shared" si="11"/>
        <v>346.43</v>
      </c>
      <c r="N36" s="121">
        <f t="shared" si="11"/>
        <v>346.43</v>
      </c>
      <c r="O36" s="296">
        <f t="shared" si="11"/>
        <v>346.43</v>
      </c>
      <c r="P36" s="399">
        <f t="shared" si="12"/>
        <v>346.42999999999989</v>
      </c>
      <c r="Q36" s="308"/>
      <c r="R36" s="229">
        <f>+'RESUMEN CDMX'!K15</f>
        <v>0</v>
      </c>
      <c r="S36" s="91">
        <f t="shared" si="13"/>
        <v>0</v>
      </c>
      <c r="T36" s="229">
        <f>+'RESUMEN CDMX'!P15</f>
        <v>0</v>
      </c>
      <c r="U36" s="91">
        <f t="shared" si="14"/>
        <v>0</v>
      </c>
      <c r="V36" s="92">
        <v>0</v>
      </c>
      <c r="W36" s="91">
        <f t="shared" si="15"/>
        <v>0</v>
      </c>
      <c r="X36" s="92">
        <v>0</v>
      </c>
      <c r="Y36" s="91">
        <f t="shared" si="10"/>
        <v>0</v>
      </c>
      <c r="Z36" s="92"/>
      <c r="AA36" s="91"/>
      <c r="AB36" s="92"/>
      <c r="AC36" s="91"/>
      <c r="AD36" s="92"/>
      <c r="AE36" s="91"/>
      <c r="AF36" s="92"/>
      <c r="AG36" s="91"/>
      <c r="AH36" s="92"/>
      <c r="AI36" s="91"/>
      <c r="AJ36" s="92"/>
      <c r="AK36" s="91"/>
      <c r="AL36" s="92"/>
      <c r="AM36" s="91"/>
      <c r="AN36" s="92"/>
      <c r="AO36" s="91"/>
      <c r="AP36" s="92"/>
      <c r="AQ36" s="91"/>
    </row>
    <row r="37" spans="1:43" x14ac:dyDescent="0.25">
      <c r="A37" s="243">
        <v>807329</v>
      </c>
      <c r="B37" s="244" t="s">
        <v>78</v>
      </c>
      <c r="C37" s="121">
        <v>356.34</v>
      </c>
      <c r="D37" s="121">
        <f t="shared" si="11"/>
        <v>356.34</v>
      </c>
      <c r="E37" s="121">
        <f t="shared" si="11"/>
        <v>356.34</v>
      </c>
      <c r="F37" s="121">
        <f t="shared" si="11"/>
        <v>356.34</v>
      </c>
      <c r="G37" s="121">
        <f t="shared" si="11"/>
        <v>356.34</v>
      </c>
      <c r="H37" s="121">
        <f t="shared" si="11"/>
        <v>356.34</v>
      </c>
      <c r="I37" s="121">
        <f t="shared" si="11"/>
        <v>356.34</v>
      </c>
      <c r="J37" s="121">
        <f t="shared" si="11"/>
        <v>356.34</v>
      </c>
      <c r="K37" s="121">
        <f t="shared" si="11"/>
        <v>356.34</v>
      </c>
      <c r="L37" s="121">
        <f t="shared" si="11"/>
        <v>356.34</v>
      </c>
      <c r="M37" s="121">
        <f t="shared" si="11"/>
        <v>356.34</v>
      </c>
      <c r="N37" s="121">
        <f t="shared" si="11"/>
        <v>356.34</v>
      </c>
      <c r="O37" s="296">
        <f t="shared" si="11"/>
        <v>356.34</v>
      </c>
      <c r="P37" s="399">
        <f t="shared" si="12"/>
        <v>356.34000000000009</v>
      </c>
      <c r="Q37" s="308"/>
      <c r="R37" s="229">
        <f>+'RESUMEN CDMX'!K16</f>
        <v>0</v>
      </c>
      <c r="S37" s="91">
        <f t="shared" si="13"/>
        <v>0</v>
      </c>
      <c r="T37" s="229">
        <f>+'RESUMEN CDMX'!P16</f>
        <v>0</v>
      </c>
      <c r="U37" s="91">
        <f t="shared" si="14"/>
        <v>0</v>
      </c>
      <c r="V37" s="92">
        <v>0</v>
      </c>
      <c r="W37" s="91">
        <f t="shared" si="15"/>
        <v>0</v>
      </c>
      <c r="X37" s="92">
        <v>0</v>
      </c>
      <c r="Y37" s="91">
        <f t="shared" si="10"/>
        <v>0</v>
      </c>
      <c r="Z37" s="92"/>
      <c r="AA37" s="91"/>
      <c r="AB37" s="92"/>
      <c r="AC37" s="91"/>
      <c r="AD37" s="92"/>
      <c r="AE37" s="91"/>
      <c r="AF37" s="92"/>
      <c r="AG37" s="91"/>
      <c r="AH37" s="92"/>
      <c r="AI37" s="91"/>
      <c r="AJ37" s="92"/>
      <c r="AK37" s="91"/>
      <c r="AL37" s="92"/>
      <c r="AM37" s="91"/>
      <c r="AN37" s="92"/>
      <c r="AO37" s="91"/>
      <c r="AP37" s="92"/>
      <c r="AQ37" s="91"/>
    </row>
    <row r="38" spans="1:43" x14ac:dyDescent="0.25">
      <c r="A38" s="243">
        <v>805411</v>
      </c>
      <c r="B38" s="244" t="s">
        <v>79</v>
      </c>
      <c r="C38" s="121">
        <v>340.91</v>
      </c>
      <c r="D38" s="121">
        <f t="shared" si="11"/>
        <v>340.91</v>
      </c>
      <c r="E38" s="429">
        <v>306.5</v>
      </c>
      <c r="F38" s="121">
        <f t="shared" si="11"/>
        <v>306.5</v>
      </c>
      <c r="G38" s="121">
        <f t="shared" si="11"/>
        <v>306.5</v>
      </c>
      <c r="H38" s="121">
        <f t="shared" si="11"/>
        <v>306.5</v>
      </c>
      <c r="I38" s="121">
        <f t="shared" si="11"/>
        <v>306.5</v>
      </c>
      <c r="J38" s="121">
        <f t="shared" si="11"/>
        <v>306.5</v>
      </c>
      <c r="K38" s="121">
        <f t="shared" si="11"/>
        <v>306.5</v>
      </c>
      <c r="L38" s="121">
        <f t="shared" si="11"/>
        <v>306.5</v>
      </c>
      <c r="M38" s="121">
        <f t="shared" si="11"/>
        <v>306.5</v>
      </c>
      <c r="N38" s="121">
        <f t="shared" si="11"/>
        <v>306.5</v>
      </c>
      <c r="O38" s="296">
        <f t="shared" si="11"/>
        <v>306.5</v>
      </c>
      <c r="P38" s="399">
        <f t="shared" si="12"/>
        <v>309.36750000000001</v>
      </c>
      <c r="Q38" s="308"/>
      <c r="R38" s="229">
        <f>+'RESUMEN CDMX'!K17</f>
        <v>89.8</v>
      </c>
      <c r="S38" s="91">
        <f t="shared" si="13"/>
        <v>30613.718000000001</v>
      </c>
      <c r="T38" s="229">
        <f>+'RESUMEN CDMX'!P17</f>
        <v>55.8</v>
      </c>
      <c r="U38" s="91">
        <f t="shared" si="14"/>
        <v>17102.7</v>
      </c>
      <c r="V38" s="92">
        <v>0</v>
      </c>
      <c r="W38" s="91">
        <f t="shared" si="15"/>
        <v>0</v>
      </c>
      <c r="X38" s="92">
        <v>0</v>
      </c>
      <c r="Y38" s="91">
        <f t="shared" si="10"/>
        <v>0</v>
      </c>
      <c r="Z38" s="92"/>
      <c r="AA38" s="91"/>
      <c r="AB38" s="92"/>
      <c r="AC38" s="91"/>
      <c r="AD38" s="92"/>
      <c r="AE38" s="91"/>
      <c r="AF38" s="92"/>
      <c r="AG38" s="91"/>
      <c r="AH38" s="92"/>
      <c r="AI38" s="91"/>
      <c r="AJ38" s="92"/>
      <c r="AK38" s="91"/>
      <c r="AL38" s="92"/>
      <c r="AM38" s="91"/>
      <c r="AN38" s="92"/>
      <c r="AO38" s="91"/>
      <c r="AP38" s="92"/>
      <c r="AQ38" s="91"/>
    </row>
    <row r="39" spans="1:43" x14ac:dyDescent="0.25">
      <c r="A39" s="243">
        <v>807679</v>
      </c>
      <c r="B39" s="244" t="s">
        <v>80</v>
      </c>
      <c r="C39" s="121">
        <v>388.31</v>
      </c>
      <c r="D39" s="121">
        <f t="shared" si="11"/>
        <v>388.31</v>
      </c>
      <c r="E39" s="429">
        <v>363.68</v>
      </c>
      <c r="F39" s="429">
        <v>386.98</v>
      </c>
      <c r="G39" s="121">
        <f t="shared" si="11"/>
        <v>386.98</v>
      </c>
      <c r="H39" s="121">
        <f t="shared" si="11"/>
        <v>386.98</v>
      </c>
      <c r="I39" s="121">
        <f t="shared" si="11"/>
        <v>386.98</v>
      </c>
      <c r="J39" s="121">
        <f t="shared" si="11"/>
        <v>386.98</v>
      </c>
      <c r="K39" s="121">
        <f t="shared" si="11"/>
        <v>386.98</v>
      </c>
      <c r="L39" s="121">
        <f t="shared" si="11"/>
        <v>386.98</v>
      </c>
      <c r="M39" s="121">
        <f t="shared" si="11"/>
        <v>386.98</v>
      </c>
      <c r="N39" s="121">
        <f t="shared" si="11"/>
        <v>386.98</v>
      </c>
      <c r="O39" s="296">
        <f t="shared" si="11"/>
        <v>386.98</v>
      </c>
      <c r="P39" s="399">
        <f t="shared" si="12"/>
        <v>385.14916666666659</v>
      </c>
      <c r="Q39" s="308"/>
      <c r="R39" s="229">
        <f>+'RESUMEN CDMX'!K18</f>
        <v>393</v>
      </c>
      <c r="S39" s="91">
        <f t="shared" si="13"/>
        <v>152605.82999999999</v>
      </c>
      <c r="T39" s="229">
        <f>+'RESUMEN CDMX'!P18</f>
        <v>322</v>
      </c>
      <c r="U39" s="91">
        <f t="shared" si="14"/>
        <v>117104.96000000001</v>
      </c>
      <c r="V39" s="92">
        <v>0</v>
      </c>
      <c r="W39" s="91">
        <f t="shared" si="15"/>
        <v>0</v>
      </c>
      <c r="X39" s="92">
        <v>0</v>
      </c>
      <c r="Y39" s="91">
        <f t="shared" si="10"/>
        <v>0</v>
      </c>
      <c r="Z39" s="92"/>
      <c r="AA39" s="91"/>
      <c r="AB39" s="92"/>
      <c r="AC39" s="91"/>
      <c r="AD39" s="92"/>
      <c r="AE39" s="91"/>
      <c r="AF39" s="92"/>
      <c r="AG39" s="91"/>
      <c r="AH39" s="92"/>
      <c r="AI39" s="91"/>
      <c r="AJ39" s="92"/>
      <c r="AK39" s="91"/>
      <c r="AL39" s="92"/>
      <c r="AM39" s="91"/>
      <c r="AN39" s="92"/>
      <c r="AO39" s="91"/>
      <c r="AP39" s="92"/>
      <c r="AQ39" s="91"/>
    </row>
    <row r="40" spans="1:43" x14ac:dyDescent="0.25">
      <c r="A40" s="243">
        <v>805168</v>
      </c>
      <c r="B40" s="244" t="s">
        <v>81</v>
      </c>
      <c r="C40" s="121">
        <v>608.67999999999995</v>
      </c>
      <c r="D40" s="121">
        <f t="shared" si="11"/>
        <v>608.67999999999995</v>
      </c>
      <c r="E40" s="121">
        <f t="shared" si="11"/>
        <v>608.67999999999995</v>
      </c>
      <c r="F40" s="121">
        <f t="shared" si="11"/>
        <v>608.67999999999995</v>
      </c>
      <c r="G40" s="121">
        <f t="shared" si="11"/>
        <v>608.67999999999995</v>
      </c>
      <c r="H40" s="121">
        <f t="shared" si="11"/>
        <v>608.67999999999995</v>
      </c>
      <c r="I40" s="121">
        <f t="shared" si="11"/>
        <v>608.67999999999995</v>
      </c>
      <c r="J40" s="121">
        <f t="shared" si="11"/>
        <v>608.67999999999995</v>
      </c>
      <c r="K40" s="121">
        <f t="shared" si="11"/>
        <v>608.67999999999995</v>
      </c>
      <c r="L40" s="121">
        <f t="shared" si="11"/>
        <v>608.67999999999995</v>
      </c>
      <c r="M40" s="121">
        <f t="shared" si="11"/>
        <v>608.67999999999995</v>
      </c>
      <c r="N40" s="121">
        <f t="shared" si="11"/>
        <v>608.67999999999995</v>
      </c>
      <c r="O40" s="296">
        <f t="shared" si="11"/>
        <v>608.67999999999995</v>
      </c>
      <c r="P40" s="399">
        <f t="shared" si="12"/>
        <v>608.68000000000006</v>
      </c>
      <c r="Q40" s="308"/>
      <c r="R40" s="229">
        <f>+'RESUMEN CDMX'!K19</f>
        <v>277</v>
      </c>
      <c r="S40" s="91">
        <f t="shared" si="13"/>
        <v>168604.36</v>
      </c>
      <c r="T40" s="229">
        <f>+'RESUMEN CDMX'!P19</f>
        <v>200</v>
      </c>
      <c r="U40" s="91">
        <f t="shared" si="14"/>
        <v>121735.99999999999</v>
      </c>
      <c r="V40" s="92">
        <v>0</v>
      </c>
      <c r="W40" s="91">
        <f t="shared" si="15"/>
        <v>0</v>
      </c>
      <c r="X40" s="92">
        <v>0</v>
      </c>
      <c r="Y40" s="91">
        <f t="shared" si="10"/>
        <v>0</v>
      </c>
      <c r="Z40" s="92"/>
      <c r="AA40" s="91"/>
      <c r="AB40" s="92"/>
      <c r="AC40" s="91"/>
      <c r="AD40" s="92"/>
      <c r="AE40" s="91"/>
      <c r="AF40" s="92"/>
      <c r="AG40" s="91"/>
      <c r="AH40" s="92"/>
      <c r="AI40" s="91"/>
      <c r="AJ40" s="92"/>
      <c r="AK40" s="91"/>
      <c r="AL40" s="92"/>
      <c r="AM40" s="91"/>
      <c r="AN40" s="92"/>
      <c r="AO40" s="91"/>
      <c r="AP40" s="92"/>
      <c r="AQ40" s="91"/>
    </row>
    <row r="41" spans="1:43" x14ac:dyDescent="0.25">
      <c r="A41" s="243">
        <v>807363</v>
      </c>
      <c r="B41" s="244" t="s">
        <v>82</v>
      </c>
      <c r="C41" s="121">
        <v>357.28</v>
      </c>
      <c r="D41" s="121">
        <f t="shared" si="11"/>
        <v>357.28</v>
      </c>
      <c r="E41" s="121">
        <f t="shared" si="11"/>
        <v>357.28</v>
      </c>
      <c r="F41" s="121">
        <f t="shared" si="11"/>
        <v>357.28</v>
      </c>
      <c r="G41" s="121">
        <f t="shared" si="11"/>
        <v>357.28</v>
      </c>
      <c r="H41" s="121">
        <f t="shared" si="11"/>
        <v>357.28</v>
      </c>
      <c r="I41" s="121">
        <f t="shared" si="11"/>
        <v>357.28</v>
      </c>
      <c r="J41" s="121">
        <f t="shared" si="11"/>
        <v>357.28</v>
      </c>
      <c r="K41" s="121">
        <f t="shared" si="11"/>
        <v>357.28</v>
      </c>
      <c r="L41" s="121">
        <f t="shared" si="11"/>
        <v>357.28</v>
      </c>
      <c r="M41" s="121">
        <f t="shared" si="11"/>
        <v>357.28</v>
      </c>
      <c r="N41" s="121">
        <f t="shared" si="11"/>
        <v>357.28</v>
      </c>
      <c r="O41" s="296">
        <f t="shared" si="11"/>
        <v>357.28</v>
      </c>
      <c r="P41" s="399">
        <f t="shared" si="12"/>
        <v>357.27999999999992</v>
      </c>
      <c r="Q41" s="308"/>
      <c r="R41" s="229">
        <f>+'RESUMEN CDMX'!K20</f>
        <v>26</v>
      </c>
      <c r="S41" s="91">
        <f t="shared" si="13"/>
        <v>9289.2799999999988</v>
      </c>
      <c r="T41" s="229">
        <f>+'RESUMEN CDMX'!P20</f>
        <v>17</v>
      </c>
      <c r="U41" s="91">
        <f t="shared" si="14"/>
        <v>6073.7599999999993</v>
      </c>
      <c r="V41" s="92">
        <v>0</v>
      </c>
      <c r="W41" s="91">
        <f t="shared" si="15"/>
        <v>0</v>
      </c>
      <c r="X41" s="92">
        <v>0</v>
      </c>
      <c r="Y41" s="91">
        <f t="shared" si="10"/>
        <v>0</v>
      </c>
      <c r="Z41" s="92"/>
      <c r="AA41" s="91"/>
      <c r="AB41" s="92"/>
      <c r="AC41" s="91"/>
      <c r="AD41" s="92"/>
      <c r="AE41" s="91"/>
      <c r="AF41" s="92"/>
      <c r="AG41" s="91"/>
      <c r="AH41" s="92"/>
      <c r="AI41" s="91"/>
      <c r="AJ41" s="92"/>
      <c r="AK41" s="91"/>
      <c r="AL41" s="92"/>
      <c r="AM41" s="91"/>
      <c r="AN41" s="92"/>
      <c r="AO41" s="91"/>
      <c r="AP41" s="92"/>
      <c r="AQ41" s="91"/>
    </row>
    <row r="42" spans="1:43" ht="16.5" thickBot="1" x14ac:dyDescent="0.3">
      <c r="A42" s="263">
        <v>809529</v>
      </c>
      <c r="B42" s="264" t="s">
        <v>83</v>
      </c>
      <c r="C42" s="121">
        <v>353.79</v>
      </c>
      <c r="D42" s="121">
        <f t="shared" si="11"/>
        <v>353.79</v>
      </c>
      <c r="E42" s="121">
        <f t="shared" si="11"/>
        <v>353.79</v>
      </c>
      <c r="F42" s="121">
        <f t="shared" si="11"/>
        <v>353.79</v>
      </c>
      <c r="G42" s="121">
        <f t="shared" si="11"/>
        <v>353.79</v>
      </c>
      <c r="H42" s="121">
        <f t="shared" si="11"/>
        <v>353.79</v>
      </c>
      <c r="I42" s="121">
        <f t="shared" si="11"/>
        <v>353.79</v>
      </c>
      <c r="J42" s="121">
        <f t="shared" si="11"/>
        <v>353.79</v>
      </c>
      <c r="K42" s="121">
        <f t="shared" si="11"/>
        <v>353.79</v>
      </c>
      <c r="L42" s="121">
        <f t="shared" si="11"/>
        <v>353.79</v>
      </c>
      <c r="M42" s="121">
        <f t="shared" si="11"/>
        <v>353.79</v>
      </c>
      <c r="N42" s="121">
        <f t="shared" si="11"/>
        <v>353.79</v>
      </c>
      <c r="O42" s="296">
        <f t="shared" si="11"/>
        <v>353.79</v>
      </c>
      <c r="P42" s="399">
        <f t="shared" si="12"/>
        <v>353.79</v>
      </c>
      <c r="Q42" s="308"/>
      <c r="R42" s="229">
        <f>+'RESUMEN CDMX'!K21</f>
        <v>397</v>
      </c>
      <c r="S42" s="91">
        <f t="shared" si="13"/>
        <v>140454.63</v>
      </c>
      <c r="T42" s="229">
        <f>+'RESUMEN CDMX'!P21</f>
        <v>397</v>
      </c>
      <c r="U42" s="91">
        <f t="shared" si="14"/>
        <v>140454.63</v>
      </c>
      <c r="V42" s="92">
        <v>0</v>
      </c>
      <c r="W42" s="91">
        <f t="shared" si="15"/>
        <v>0</v>
      </c>
      <c r="X42" s="92">
        <v>0</v>
      </c>
      <c r="Y42" s="91">
        <f t="shared" ref="Y42" si="16">+X42*H42</f>
        <v>0</v>
      </c>
      <c r="Z42" s="92"/>
      <c r="AA42" s="91"/>
      <c r="AB42" s="92"/>
      <c r="AC42" s="91"/>
      <c r="AD42" s="92"/>
      <c r="AE42" s="91"/>
      <c r="AF42" s="92"/>
      <c r="AG42" s="91"/>
      <c r="AH42" s="92"/>
      <c r="AI42" s="91"/>
      <c r="AJ42" s="92"/>
      <c r="AK42" s="91"/>
      <c r="AL42" s="92"/>
      <c r="AM42" s="91"/>
      <c r="AN42" s="92"/>
      <c r="AO42" s="91"/>
      <c r="AP42" s="92"/>
      <c r="AQ42" s="91"/>
    </row>
    <row r="43" spans="1:43" hidden="1" x14ac:dyDescent="0.25">
      <c r="A43" s="263"/>
      <c r="B43" s="264"/>
      <c r="C43" s="121"/>
      <c r="D43" s="121">
        <f t="shared" si="11"/>
        <v>0</v>
      </c>
      <c r="E43" s="121">
        <f t="shared" si="11"/>
        <v>0</v>
      </c>
      <c r="F43" s="121">
        <f t="shared" si="11"/>
        <v>0</v>
      </c>
      <c r="G43" s="121">
        <f t="shared" si="11"/>
        <v>0</v>
      </c>
      <c r="H43" s="121">
        <f t="shared" si="11"/>
        <v>0</v>
      </c>
      <c r="I43" s="121">
        <f t="shared" si="11"/>
        <v>0</v>
      </c>
      <c r="J43" s="121">
        <f t="shared" si="11"/>
        <v>0</v>
      </c>
      <c r="K43" s="121">
        <f t="shared" si="11"/>
        <v>0</v>
      </c>
      <c r="L43" s="121">
        <f t="shared" si="11"/>
        <v>0</v>
      </c>
      <c r="M43" s="121">
        <f t="shared" si="11"/>
        <v>0</v>
      </c>
      <c r="N43" s="121">
        <f t="shared" si="11"/>
        <v>0</v>
      </c>
      <c r="O43" s="296">
        <f t="shared" si="11"/>
        <v>0</v>
      </c>
      <c r="P43" s="399">
        <f t="shared" si="12"/>
        <v>0</v>
      </c>
      <c r="Q43" s="308"/>
      <c r="R43" s="229"/>
      <c r="S43" s="91"/>
      <c r="T43" s="92"/>
      <c r="U43" s="91"/>
      <c r="V43" s="92"/>
      <c r="W43" s="91"/>
      <c r="X43" s="92"/>
      <c r="Y43" s="91"/>
      <c r="Z43" s="92"/>
      <c r="AA43" s="91"/>
      <c r="AB43" s="92"/>
      <c r="AC43" s="91"/>
      <c r="AD43" s="92"/>
      <c r="AE43" s="91"/>
      <c r="AF43" s="92"/>
      <c r="AG43" s="91"/>
      <c r="AH43" s="92"/>
      <c r="AI43" s="91"/>
      <c r="AJ43" s="92"/>
      <c r="AK43" s="91"/>
      <c r="AL43" s="92"/>
      <c r="AM43" s="91"/>
      <c r="AN43" s="92"/>
      <c r="AO43" s="91"/>
      <c r="AP43" s="92"/>
      <c r="AQ43" s="91"/>
    </row>
    <row r="44" spans="1:43" hidden="1" x14ac:dyDescent="0.25">
      <c r="A44" s="243"/>
      <c r="B44" s="244"/>
      <c r="C44" s="121"/>
      <c r="D44" s="121">
        <f t="shared" si="11"/>
        <v>0</v>
      </c>
      <c r="E44" s="121">
        <f t="shared" si="11"/>
        <v>0</v>
      </c>
      <c r="F44" s="121">
        <f t="shared" si="11"/>
        <v>0</v>
      </c>
      <c r="G44" s="121">
        <f t="shared" si="11"/>
        <v>0</v>
      </c>
      <c r="H44" s="121">
        <f t="shared" si="11"/>
        <v>0</v>
      </c>
      <c r="I44" s="121">
        <f t="shared" si="11"/>
        <v>0</v>
      </c>
      <c r="J44" s="121">
        <f t="shared" si="11"/>
        <v>0</v>
      </c>
      <c r="K44" s="121">
        <f t="shared" si="11"/>
        <v>0</v>
      </c>
      <c r="L44" s="121">
        <f t="shared" si="11"/>
        <v>0</v>
      </c>
      <c r="M44" s="121">
        <f t="shared" si="11"/>
        <v>0</v>
      </c>
      <c r="N44" s="121">
        <f t="shared" si="11"/>
        <v>0</v>
      </c>
      <c r="O44" s="296">
        <f t="shared" si="11"/>
        <v>0</v>
      </c>
      <c r="P44" s="399">
        <f t="shared" si="12"/>
        <v>0</v>
      </c>
      <c r="Q44" s="308"/>
      <c r="R44" s="229"/>
      <c r="S44" s="91"/>
      <c r="T44" s="92"/>
      <c r="U44" s="91"/>
      <c r="V44" s="92"/>
      <c r="W44" s="91"/>
      <c r="X44" s="92"/>
      <c r="Y44" s="91"/>
      <c r="Z44" s="92"/>
      <c r="AA44" s="91"/>
      <c r="AB44" s="92"/>
      <c r="AC44" s="91"/>
      <c r="AD44" s="92"/>
      <c r="AE44" s="91"/>
      <c r="AF44" s="92"/>
      <c r="AG44" s="91"/>
      <c r="AH44" s="92"/>
      <c r="AI44" s="91"/>
      <c r="AJ44" s="92"/>
      <c r="AK44" s="91"/>
      <c r="AL44" s="92"/>
      <c r="AM44" s="91"/>
      <c r="AN44" s="92"/>
      <c r="AO44" s="91"/>
      <c r="AP44" s="92"/>
      <c r="AQ44" s="91"/>
    </row>
    <row r="45" spans="1:43" ht="16.5" hidden="1" thickBot="1" x14ac:dyDescent="0.3">
      <c r="A45" s="243"/>
      <c r="B45" s="244"/>
      <c r="C45" s="121"/>
      <c r="D45" s="121">
        <f>+C45</f>
        <v>0</v>
      </c>
      <c r="E45" s="121">
        <f t="shared" ref="E45:O45" si="17">+D45</f>
        <v>0</v>
      </c>
      <c r="F45" s="121">
        <f t="shared" si="17"/>
        <v>0</v>
      </c>
      <c r="G45" s="121">
        <f t="shared" si="17"/>
        <v>0</v>
      </c>
      <c r="H45" s="121">
        <f t="shared" si="17"/>
        <v>0</v>
      </c>
      <c r="I45" s="121">
        <f t="shared" si="17"/>
        <v>0</v>
      </c>
      <c r="J45" s="121">
        <f t="shared" si="17"/>
        <v>0</v>
      </c>
      <c r="K45" s="121">
        <f t="shared" si="17"/>
        <v>0</v>
      </c>
      <c r="L45" s="121">
        <f t="shared" si="17"/>
        <v>0</v>
      </c>
      <c r="M45" s="121">
        <f t="shared" si="17"/>
        <v>0</v>
      </c>
      <c r="N45" s="121">
        <f t="shared" si="17"/>
        <v>0</v>
      </c>
      <c r="O45" s="296">
        <f t="shared" si="17"/>
        <v>0</v>
      </c>
      <c r="P45" s="403">
        <f t="shared" si="12"/>
        <v>0</v>
      </c>
      <c r="Q45" s="308"/>
      <c r="R45" s="229"/>
      <c r="S45" s="91"/>
      <c r="T45" s="92"/>
      <c r="U45" s="91"/>
      <c r="V45" s="92"/>
      <c r="W45" s="91"/>
      <c r="X45" s="92"/>
      <c r="Y45" s="91"/>
      <c r="Z45" s="92"/>
      <c r="AA45" s="91"/>
      <c r="AB45" s="92"/>
      <c r="AC45" s="91"/>
      <c r="AD45" s="92"/>
      <c r="AE45" s="91"/>
      <c r="AF45" s="92"/>
      <c r="AG45" s="91"/>
      <c r="AH45" s="92"/>
      <c r="AI45" s="91"/>
      <c r="AJ45" s="92"/>
      <c r="AK45" s="91"/>
      <c r="AL45" s="92"/>
      <c r="AM45" s="91"/>
      <c r="AN45" s="92"/>
      <c r="AO45" s="91"/>
      <c r="AP45" s="92"/>
      <c r="AQ45" s="91"/>
    </row>
    <row r="46" spans="1:43" ht="30" customHeight="1" thickBot="1" x14ac:dyDescent="0.3">
      <c r="A46" s="645" t="s">
        <v>84</v>
      </c>
      <c r="B46" s="646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297"/>
      <c r="P46" s="404"/>
      <c r="Q46" s="310"/>
      <c r="R46" s="293">
        <f>+SUM(R25:R45)</f>
        <v>1485.8</v>
      </c>
      <c r="S46" s="117">
        <f>+SUM(S25:S45)</f>
        <v>599940.02800000005</v>
      </c>
      <c r="T46" s="293">
        <f t="shared" ref="T46:Y46" si="18">+SUM(T25:T45)</f>
        <v>1245.8</v>
      </c>
      <c r="U46" s="117">
        <f t="shared" si="18"/>
        <v>481015.13</v>
      </c>
      <c r="V46" s="293">
        <f t="shared" si="18"/>
        <v>0</v>
      </c>
      <c r="W46" s="117">
        <f t="shared" si="18"/>
        <v>0</v>
      </c>
      <c r="X46" s="293">
        <f t="shared" si="18"/>
        <v>0</v>
      </c>
      <c r="Y46" s="117">
        <f t="shared" si="18"/>
        <v>0</v>
      </c>
      <c r="Z46" s="118"/>
      <c r="AA46" s="117"/>
      <c r="AB46" s="118"/>
      <c r="AC46" s="117"/>
      <c r="AD46" s="118"/>
      <c r="AE46" s="117"/>
      <c r="AF46" s="118"/>
      <c r="AG46" s="117"/>
      <c r="AH46" s="294"/>
      <c r="AI46" s="294"/>
      <c r="AJ46" s="118"/>
      <c r="AK46" s="117"/>
      <c r="AL46" s="118"/>
      <c r="AM46" s="119"/>
      <c r="AN46" s="293"/>
      <c r="AO46" s="116"/>
      <c r="AP46" s="118"/>
      <c r="AQ46" s="119"/>
    </row>
    <row r="47" spans="1:43" ht="15" x14ac:dyDescent="0.25">
      <c r="A47" s="649"/>
      <c r="B47" s="650"/>
      <c r="C47" s="650"/>
      <c r="D47" s="650"/>
      <c r="E47" s="650"/>
      <c r="F47" s="650"/>
      <c r="G47" s="650"/>
      <c r="H47" s="650"/>
      <c r="I47" s="650"/>
      <c r="J47" s="650"/>
      <c r="K47" s="650"/>
      <c r="L47" s="650"/>
      <c r="M47" s="650"/>
      <c r="N47" s="650"/>
      <c r="O47" s="650"/>
      <c r="P47" s="650"/>
      <c r="Q47" s="650"/>
      <c r="R47" s="650"/>
      <c r="S47" s="650"/>
      <c r="T47" s="650"/>
      <c r="U47" s="650"/>
      <c r="V47" s="650"/>
      <c r="W47" s="650"/>
      <c r="X47" s="650"/>
      <c r="Y47" s="650"/>
      <c r="Z47" s="650"/>
      <c r="AA47" s="650"/>
      <c r="AB47" s="650"/>
      <c r="AC47" s="650"/>
      <c r="AD47" s="650"/>
      <c r="AE47" s="650"/>
      <c r="AF47" s="650"/>
      <c r="AG47" s="650"/>
      <c r="AH47" s="650"/>
      <c r="AI47" s="650"/>
      <c r="AJ47" s="650"/>
      <c r="AK47" s="650"/>
      <c r="AL47" s="650"/>
      <c r="AM47" s="650"/>
      <c r="AN47" s="650"/>
      <c r="AO47" s="650"/>
      <c r="AP47" s="650"/>
      <c r="AQ47" s="650"/>
    </row>
    <row r="48" spans="1:43" ht="16.5" thickBot="1" x14ac:dyDescent="0.3">
      <c r="A48" s="643" t="s">
        <v>85</v>
      </c>
      <c r="B48" s="644"/>
      <c r="C48"/>
      <c r="D48"/>
      <c r="E48"/>
      <c r="F48"/>
      <c r="G48"/>
      <c r="H48"/>
      <c r="I48"/>
      <c r="J48"/>
      <c r="K48"/>
      <c r="L48"/>
      <c r="M48"/>
      <c r="N48"/>
      <c r="O48"/>
      <c r="P48" s="401"/>
      <c r="Q48" s="307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 s="92"/>
      <c r="AO48" s="91"/>
      <c r="AP48"/>
      <c r="AQ48"/>
    </row>
    <row r="49" spans="1:43" x14ac:dyDescent="0.25">
      <c r="A49" s="243">
        <v>806685</v>
      </c>
      <c r="B49" s="244" t="s">
        <v>57</v>
      </c>
      <c r="C49" s="121">
        <v>344.32</v>
      </c>
      <c r="D49" s="429">
        <f>+D25</f>
        <v>305.47000000000003</v>
      </c>
      <c r="E49" s="429">
        <f>+E25</f>
        <v>297.01</v>
      </c>
      <c r="F49" s="429">
        <f>+F25</f>
        <v>318.2</v>
      </c>
      <c r="G49" s="121">
        <f t="shared" ref="G49:O49" si="19">+F49</f>
        <v>318.2</v>
      </c>
      <c r="H49" s="121">
        <f t="shared" si="19"/>
        <v>318.2</v>
      </c>
      <c r="I49" s="121">
        <f t="shared" si="19"/>
        <v>318.2</v>
      </c>
      <c r="J49" s="121">
        <f t="shared" si="19"/>
        <v>318.2</v>
      </c>
      <c r="K49" s="121">
        <f t="shared" si="19"/>
        <v>318.2</v>
      </c>
      <c r="L49" s="121">
        <f t="shared" si="19"/>
        <v>318.2</v>
      </c>
      <c r="M49" s="121">
        <f t="shared" si="19"/>
        <v>318.2</v>
      </c>
      <c r="N49" s="121">
        <f t="shared" si="19"/>
        <v>318.2</v>
      </c>
      <c r="O49" s="296">
        <f t="shared" si="19"/>
        <v>318.2</v>
      </c>
      <c r="P49" s="402">
        <f>+AVERAGE(D49:O49)</f>
        <v>315.37333333333328</v>
      </c>
      <c r="Q49" s="311"/>
      <c r="R49" s="229">
        <v>0</v>
      </c>
      <c r="S49" s="91">
        <f>+R49*D49</f>
        <v>0</v>
      </c>
      <c r="T49" s="229"/>
      <c r="U49" s="91">
        <f>+T49*E49</f>
        <v>0</v>
      </c>
      <c r="V49" s="229"/>
      <c r="W49" s="91"/>
      <c r="X49" s="229"/>
      <c r="Y49" s="91"/>
      <c r="Z49" s="92"/>
      <c r="AA49" s="91"/>
      <c r="AB49" s="92"/>
      <c r="AC49" s="91"/>
      <c r="AD49" s="92"/>
      <c r="AE49" s="91"/>
      <c r="AF49" s="92"/>
      <c r="AG49" s="91"/>
      <c r="AH49" s="92"/>
      <c r="AI49" s="91"/>
      <c r="AJ49" s="92"/>
      <c r="AK49" s="91"/>
      <c r="AL49" s="92"/>
      <c r="AM49" s="91"/>
      <c r="AN49" s="92"/>
      <c r="AO49" s="91"/>
      <c r="AP49" s="92"/>
      <c r="AQ49" s="91"/>
    </row>
    <row r="50" spans="1:43" x14ac:dyDescent="0.25">
      <c r="A50" s="243">
        <v>806939</v>
      </c>
      <c r="B50" s="244" t="s">
        <v>67</v>
      </c>
      <c r="C50" s="121">
        <v>326.49</v>
      </c>
      <c r="D50" s="121">
        <f t="shared" ref="D50:O69" si="20">+C50</f>
        <v>326.49</v>
      </c>
      <c r="E50" s="429">
        <f t="shared" ref="E50:F65" si="21">+E26</f>
        <v>287.31</v>
      </c>
      <c r="F50" s="429">
        <f t="shared" si="21"/>
        <v>308.52999999999997</v>
      </c>
      <c r="G50" s="121">
        <f t="shared" si="20"/>
        <v>308.52999999999997</v>
      </c>
      <c r="H50" s="121">
        <f t="shared" si="20"/>
        <v>308.52999999999997</v>
      </c>
      <c r="I50" s="121">
        <f t="shared" si="20"/>
        <v>308.52999999999997</v>
      </c>
      <c r="J50" s="121">
        <f t="shared" si="20"/>
        <v>308.52999999999997</v>
      </c>
      <c r="K50" s="121">
        <f t="shared" si="20"/>
        <v>308.52999999999997</v>
      </c>
      <c r="L50" s="121">
        <f t="shared" si="20"/>
        <v>308.52999999999997</v>
      </c>
      <c r="M50" s="121">
        <f t="shared" si="20"/>
        <v>308.52999999999997</v>
      </c>
      <c r="N50" s="121">
        <f t="shared" si="20"/>
        <v>308.52999999999997</v>
      </c>
      <c r="O50" s="296">
        <f t="shared" si="20"/>
        <v>308.52999999999997</v>
      </c>
      <c r="P50" s="399">
        <f t="shared" ref="P50:P69" si="22">+AVERAGE(D50:O50)</f>
        <v>308.25833333333321</v>
      </c>
      <c r="Q50" s="308"/>
      <c r="R50" s="229">
        <f>+FRESCO!H4</f>
        <v>2</v>
      </c>
      <c r="S50" s="91">
        <f t="shared" ref="S50:S66" si="23">+R50*D50</f>
        <v>652.98</v>
      </c>
      <c r="T50" s="229">
        <f>+FRESCO!M4</f>
        <v>2</v>
      </c>
      <c r="U50" s="91">
        <f t="shared" ref="U50:U65" si="24">+T50*E50</f>
        <v>574.62</v>
      </c>
      <c r="V50" s="229">
        <f>+FRESCO!R4</f>
        <v>2</v>
      </c>
      <c r="W50" s="91">
        <f>+V50*F50</f>
        <v>617.05999999999995</v>
      </c>
      <c r="X50" s="229">
        <f>+FRESCO!BP4</f>
        <v>2</v>
      </c>
      <c r="Y50" s="91">
        <f>+X50*G50</f>
        <v>617.05999999999995</v>
      </c>
      <c r="Z50" s="229">
        <f>+FRESCO!BU4</f>
        <v>2</v>
      </c>
      <c r="AA50" s="91">
        <f>+Z50*N49</f>
        <v>636.4</v>
      </c>
      <c r="AB50" s="92"/>
      <c r="AC50" s="91"/>
      <c r="AD50" s="92"/>
      <c r="AE50" s="91"/>
      <c r="AF50" s="92"/>
      <c r="AG50" s="91"/>
      <c r="AH50" s="92"/>
      <c r="AI50" s="91"/>
      <c r="AJ50" s="92"/>
      <c r="AK50" s="91"/>
      <c r="AL50" s="92"/>
      <c r="AM50" s="91"/>
      <c r="AN50" s="92"/>
      <c r="AO50" s="91"/>
      <c r="AP50" s="92"/>
      <c r="AQ50" s="91"/>
    </row>
    <row r="51" spans="1:43" x14ac:dyDescent="0.25">
      <c r="A51" s="243">
        <v>806694</v>
      </c>
      <c r="B51" s="244" t="s">
        <v>68</v>
      </c>
      <c r="C51" s="121">
        <v>382.98</v>
      </c>
      <c r="D51" s="121">
        <f t="shared" si="20"/>
        <v>382.98</v>
      </c>
      <c r="E51" s="429">
        <f t="shared" si="21"/>
        <v>325.08</v>
      </c>
      <c r="F51" s="429">
        <f t="shared" si="21"/>
        <v>366.07</v>
      </c>
      <c r="G51" s="121">
        <f t="shared" si="20"/>
        <v>366.07</v>
      </c>
      <c r="H51" s="121">
        <f t="shared" si="20"/>
        <v>366.07</v>
      </c>
      <c r="I51" s="121">
        <f t="shared" si="20"/>
        <v>366.07</v>
      </c>
      <c r="J51" s="121">
        <f t="shared" si="20"/>
        <v>366.07</v>
      </c>
      <c r="K51" s="121">
        <f t="shared" si="20"/>
        <v>366.07</v>
      </c>
      <c r="L51" s="121">
        <f t="shared" si="20"/>
        <v>366.07</v>
      </c>
      <c r="M51" s="121">
        <f t="shared" si="20"/>
        <v>366.07</v>
      </c>
      <c r="N51" s="121">
        <f t="shared" si="20"/>
        <v>366.07</v>
      </c>
      <c r="O51" s="296">
        <f t="shared" si="20"/>
        <v>366.07</v>
      </c>
      <c r="P51" s="399">
        <f t="shared" si="22"/>
        <v>364.06333333333333</v>
      </c>
      <c r="Q51" s="308"/>
      <c r="R51" s="229">
        <f>+'RESUMEN CDMX'!W6</f>
        <v>0</v>
      </c>
      <c r="S51" s="91">
        <f t="shared" si="23"/>
        <v>0</v>
      </c>
      <c r="T51" s="229"/>
      <c r="U51" s="91">
        <f t="shared" si="24"/>
        <v>0</v>
      </c>
      <c r="V51" s="229"/>
      <c r="W51" s="91">
        <f t="shared" ref="W51:W66" si="25">+V51*F51</f>
        <v>0</v>
      </c>
      <c r="X51" s="229"/>
      <c r="Y51" s="91">
        <f t="shared" ref="Y51:Y66" si="26">+X51*G51</f>
        <v>0</v>
      </c>
      <c r="Z51" s="92"/>
      <c r="AA51" s="91">
        <f t="shared" ref="AA51:AA66" si="27">+Z51*N50</f>
        <v>0</v>
      </c>
      <c r="AB51" s="92"/>
      <c r="AC51" s="91"/>
      <c r="AD51" s="92"/>
      <c r="AE51" s="91"/>
      <c r="AF51" s="92"/>
      <c r="AG51" s="91"/>
      <c r="AH51" s="92"/>
      <c r="AI51" s="91"/>
      <c r="AJ51" s="92"/>
      <c r="AK51" s="91"/>
      <c r="AL51" s="92"/>
      <c r="AM51" s="91"/>
      <c r="AN51" s="92"/>
      <c r="AO51" s="91"/>
      <c r="AP51" s="92"/>
      <c r="AQ51" s="91"/>
    </row>
    <row r="52" spans="1:43" x14ac:dyDescent="0.25">
      <c r="A52" s="243">
        <v>804104</v>
      </c>
      <c r="B52" s="244" t="s">
        <v>69</v>
      </c>
      <c r="C52" s="121">
        <v>369.36</v>
      </c>
      <c r="D52" s="121">
        <f t="shared" si="20"/>
        <v>369.36</v>
      </c>
      <c r="E52" s="121">
        <f t="shared" si="21"/>
        <v>369.36</v>
      </c>
      <c r="F52" s="121">
        <f t="shared" si="21"/>
        <v>369.36</v>
      </c>
      <c r="G52" s="121">
        <f t="shared" si="20"/>
        <v>369.36</v>
      </c>
      <c r="H52" s="121">
        <f t="shared" si="20"/>
        <v>369.36</v>
      </c>
      <c r="I52" s="121">
        <f t="shared" si="20"/>
        <v>369.36</v>
      </c>
      <c r="J52" s="121">
        <f t="shared" si="20"/>
        <v>369.36</v>
      </c>
      <c r="K52" s="121">
        <f t="shared" si="20"/>
        <v>369.36</v>
      </c>
      <c r="L52" s="121">
        <f t="shared" si="20"/>
        <v>369.36</v>
      </c>
      <c r="M52" s="121">
        <f t="shared" si="20"/>
        <v>369.36</v>
      </c>
      <c r="N52" s="121">
        <f t="shared" si="20"/>
        <v>369.36</v>
      </c>
      <c r="O52" s="296">
        <f t="shared" si="20"/>
        <v>369.36</v>
      </c>
      <c r="P52" s="399">
        <f t="shared" si="22"/>
        <v>369.36000000000007</v>
      </c>
      <c r="Q52" s="308"/>
      <c r="R52" s="229">
        <f>+'RESUMEN CDMX'!W7</f>
        <v>0</v>
      </c>
      <c r="S52" s="91">
        <f t="shared" si="23"/>
        <v>0</v>
      </c>
      <c r="T52" s="229"/>
      <c r="U52" s="91">
        <f t="shared" si="24"/>
        <v>0</v>
      </c>
      <c r="V52" s="229"/>
      <c r="W52" s="91">
        <f t="shared" si="25"/>
        <v>0</v>
      </c>
      <c r="X52" s="229"/>
      <c r="Y52" s="91">
        <f t="shared" si="26"/>
        <v>0</v>
      </c>
      <c r="Z52" s="92"/>
      <c r="AA52" s="91">
        <f t="shared" si="27"/>
        <v>0</v>
      </c>
      <c r="AB52" s="92"/>
      <c r="AC52" s="91"/>
      <c r="AD52" s="92"/>
      <c r="AE52" s="91"/>
      <c r="AF52" s="92"/>
      <c r="AG52" s="91"/>
      <c r="AH52" s="92"/>
      <c r="AI52" s="91"/>
      <c r="AJ52" s="92"/>
      <c r="AK52" s="91"/>
      <c r="AL52" s="92"/>
      <c r="AM52" s="91"/>
      <c r="AN52" s="92"/>
      <c r="AO52" s="91"/>
      <c r="AP52" s="92"/>
      <c r="AQ52" s="91"/>
    </row>
    <row r="53" spans="1:43" x14ac:dyDescent="0.25">
      <c r="A53" s="243">
        <v>806686</v>
      </c>
      <c r="B53" s="244" t="s">
        <v>70</v>
      </c>
      <c r="C53" s="121">
        <v>320.48</v>
      </c>
      <c r="D53" s="121">
        <f t="shared" si="20"/>
        <v>320.48</v>
      </c>
      <c r="E53" s="429">
        <f t="shared" si="21"/>
        <v>297.01</v>
      </c>
      <c r="F53" s="121">
        <f t="shared" si="21"/>
        <v>297.01</v>
      </c>
      <c r="G53" s="121">
        <f t="shared" si="20"/>
        <v>297.01</v>
      </c>
      <c r="H53" s="121">
        <f t="shared" si="20"/>
        <v>297.01</v>
      </c>
      <c r="I53" s="121">
        <f t="shared" si="20"/>
        <v>297.01</v>
      </c>
      <c r="J53" s="121">
        <f t="shared" si="20"/>
        <v>297.01</v>
      </c>
      <c r="K53" s="121">
        <f t="shared" si="20"/>
        <v>297.01</v>
      </c>
      <c r="L53" s="121">
        <f t="shared" si="20"/>
        <v>297.01</v>
      </c>
      <c r="M53" s="121">
        <f t="shared" si="20"/>
        <v>297.01</v>
      </c>
      <c r="N53" s="121">
        <f t="shared" si="20"/>
        <v>297.01</v>
      </c>
      <c r="O53" s="296">
        <f t="shared" si="20"/>
        <v>297.01</v>
      </c>
      <c r="P53" s="399">
        <f t="shared" si="22"/>
        <v>298.96583333333342</v>
      </c>
      <c r="Q53" s="308"/>
      <c r="R53" s="229">
        <f>+FRESCO!H7</f>
        <v>12</v>
      </c>
      <c r="S53" s="91">
        <f t="shared" si="23"/>
        <v>3845.76</v>
      </c>
      <c r="T53" s="229">
        <f>+FRESCO!M7</f>
        <v>12</v>
      </c>
      <c r="U53" s="91">
        <f t="shared" si="24"/>
        <v>3564.12</v>
      </c>
      <c r="V53" s="229">
        <f>+FRESCO!R7</f>
        <v>12</v>
      </c>
      <c r="W53" s="91">
        <f t="shared" si="25"/>
        <v>3564.12</v>
      </c>
      <c r="X53" s="229">
        <f>+FRESCO!BP7</f>
        <v>12</v>
      </c>
      <c r="Y53" s="91">
        <f t="shared" si="26"/>
        <v>3564.12</v>
      </c>
      <c r="Z53" s="229">
        <f>+FRESCO!BU7</f>
        <v>12</v>
      </c>
      <c r="AA53" s="91">
        <f t="shared" si="27"/>
        <v>4432.32</v>
      </c>
      <c r="AB53" s="92"/>
      <c r="AC53" s="91"/>
      <c r="AD53" s="92"/>
      <c r="AE53" s="91"/>
      <c r="AF53" s="92"/>
      <c r="AG53" s="91"/>
      <c r="AH53" s="92"/>
      <c r="AI53" s="91"/>
      <c r="AJ53" s="92"/>
      <c r="AK53" s="91"/>
      <c r="AL53" s="92"/>
      <c r="AM53" s="91"/>
      <c r="AN53" s="92"/>
      <c r="AO53" s="91"/>
      <c r="AP53" s="92"/>
      <c r="AQ53" s="91"/>
    </row>
    <row r="54" spans="1:43" x14ac:dyDescent="0.25">
      <c r="A54" s="243">
        <v>804109</v>
      </c>
      <c r="B54" s="244" t="s">
        <v>71</v>
      </c>
      <c r="C54" s="121">
        <v>424.92</v>
      </c>
      <c r="D54" s="121">
        <f t="shared" si="20"/>
        <v>424.92</v>
      </c>
      <c r="E54" s="429">
        <f t="shared" si="21"/>
        <v>361.2</v>
      </c>
      <c r="F54" s="429">
        <f t="shared" si="21"/>
        <v>370.16</v>
      </c>
      <c r="G54" s="121">
        <f t="shared" si="20"/>
        <v>370.16</v>
      </c>
      <c r="H54" s="121">
        <f t="shared" si="20"/>
        <v>370.16</v>
      </c>
      <c r="I54" s="121">
        <f t="shared" si="20"/>
        <v>370.16</v>
      </c>
      <c r="J54" s="121">
        <f t="shared" si="20"/>
        <v>370.16</v>
      </c>
      <c r="K54" s="121">
        <f t="shared" si="20"/>
        <v>370.16</v>
      </c>
      <c r="L54" s="121">
        <f t="shared" si="20"/>
        <v>370.16</v>
      </c>
      <c r="M54" s="121">
        <f t="shared" si="20"/>
        <v>370.16</v>
      </c>
      <c r="N54" s="121">
        <f t="shared" si="20"/>
        <v>370.16</v>
      </c>
      <c r="O54" s="296">
        <f t="shared" si="20"/>
        <v>370.16</v>
      </c>
      <c r="P54" s="399">
        <f t="shared" si="22"/>
        <v>373.97666666666663</v>
      </c>
      <c r="Q54" s="308"/>
      <c r="R54" s="229">
        <f>+'RESUMEN CDMX'!W9</f>
        <v>0</v>
      </c>
      <c r="S54" s="91">
        <f t="shared" si="23"/>
        <v>0</v>
      </c>
      <c r="T54" s="229"/>
      <c r="U54" s="91">
        <f t="shared" si="24"/>
        <v>0</v>
      </c>
      <c r="V54" s="229"/>
      <c r="W54" s="91">
        <f t="shared" si="25"/>
        <v>0</v>
      </c>
      <c r="X54" s="229"/>
      <c r="Y54" s="91">
        <f t="shared" si="26"/>
        <v>0</v>
      </c>
      <c r="Z54" s="92"/>
      <c r="AA54" s="91">
        <f t="shared" si="27"/>
        <v>0</v>
      </c>
      <c r="AB54" s="92"/>
      <c r="AC54" s="91"/>
      <c r="AD54" s="92"/>
      <c r="AE54" s="91"/>
      <c r="AF54" s="92"/>
      <c r="AG54" s="91"/>
      <c r="AH54" s="92"/>
      <c r="AI54" s="91"/>
      <c r="AJ54" s="92"/>
      <c r="AK54" s="91"/>
      <c r="AL54" s="92"/>
      <c r="AM54" s="91"/>
      <c r="AN54" s="92"/>
      <c r="AO54" s="91"/>
      <c r="AP54" s="92"/>
      <c r="AQ54" s="91"/>
    </row>
    <row r="55" spans="1:43" x14ac:dyDescent="0.25">
      <c r="A55" s="243">
        <v>806980</v>
      </c>
      <c r="B55" s="244" t="s">
        <v>72</v>
      </c>
      <c r="C55" s="121">
        <v>371.47</v>
      </c>
      <c r="D55" s="121">
        <f t="shared" si="20"/>
        <v>371.47</v>
      </c>
      <c r="E55" s="429">
        <f t="shared" si="21"/>
        <v>314.14</v>
      </c>
      <c r="F55" s="121">
        <f t="shared" si="21"/>
        <v>314.14</v>
      </c>
      <c r="G55" s="121">
        <f t="shared" si="20"/>
        <v>314.14</v>
      </c>
      <c r="H55" s="121">
        <f t="shared" si="20"/>
        <v>314.14</v>
      </c>
      <c r="I55" s="121">
        <f t="shared" si="20"/>
        <v>314.14</v>
      </c>
      <c r="J55" s="121">
        <f t="shared" si="20"/>
        <v>314.14</v>
      </c>
      <c r="K55" s="121">
        <f t="shared" si="20"/>
        <v>314.14</v>
      </c>
      <c r="L55" s="121">
        <f t="shared" si="20"/>
        <v>314.14</v>
      </c>
      <c r="M55" s="121">
        <f t="shared" si="20"/>
        <v>314.14</v>
      </c>
      <c r="N55" s="121">
        <f t="shared" si="20"/>
        <v>314.14</v>
      </c>
      <c r="O55" s="296">
        <f t="shared" si="20"/>
        <v>314.14</v>
      </c>
      <c r="P55" s="399">
        <f t="shared" si="22"/>
        <v>318.9174999999999</v>
      </c>
      <c r="Q55" s="308"/>
      <c r="R55" s="229">
        <f>+'RESUMEN CDMX'!W10</f>
        <v>0</v>
      </c>
      <c r="S55" s="91">
        <f t="shared" si="23"/>
        <v>0</v>
      </c>
      <c r="T55" s="229"/>
      <c r="U55" s="91">
        <f t="shared" si="24"/>
        <v>0</v>
      </c>
      <c r="V55" s="229"/>
      <c r="W55" s="91">
        <f t="shared" si="25"/>
        <v>0</v>
      </c>
      <c r="X55" s="229"/>
      <c r="Y55" s="91">
        <f t="shared" si="26"/>
        <v>0</v>
      </c>
      <c r="Z55" s="92"/>
      <c r="AA55" s="91">
        <f t="shared" si="27"/>
        <v>0</v>
      </c>
      <c r="AB55" s="92"/>
      <c r="AC55" s="91"/>
      <c r="AD55" s="92"/>
      <c r="AE55" s="91"/>
      <c r="AF55" s="92"/>
      <c r="AG55" s="91"/>
      <c r="AH55" s="92"/>
      <c r="AI55" s="91"/>
      <c r="AJ55" s="92"/>
      <c r="AK55" s="91"/>
      <c r="AL55" s="92"/>
      <c r="AM55" s="91"/>
      <c r="AN55" s="92"/>
      <c r="AO55" s="91"/>
      <c r="AP55" s="92"/>
      <c r="AQ55" s="91"/>
    </row>
    <row r="56" spans="1:43" x14ac:dyDescent="0.25">
      <c r="A56" s="243">
        <v>806982</v>
      </c>
      <c r="B56" s="244" t="s">
        <v>73</v>
      </c>
      <c r="C56" s="121">
        <v>346.77</v>
      </c>
      <c r="D56" s="121">
        <f t="shared" si="20"/>
        <v>346.77</v>
      </c>
      <c r="E56" s="121">
        <f t="shared" si="21"/>
        <v>346.77</v>
      </c>
      <c r="F56" s="429">
        <f t="shared" si="21"/>
        <v>337.55</v>
      </c>
      <c r="G56" s="121">
        <f t="shared" si="20"/>
        <v>337.55</v>
      </c>
      <c r="H56" s="121">
        <f t="shared" si="20"/>
        <v>337.55</v>
      </c>
      <c r="I56" s="121">
        <f t="shared" si="20"/>
        <v>337.55</v>
      </c>
      <c r="J56" s="121">
        <f t="shared" si="20"/>
        <v>337.55</v>
      </c>
      <c r="K56" s="121">
        <f t="shared" si="20"/>
        <v>337.55</v>
      </c>
      <c r="L56" s="121">
        <f t="shared" si="20"/>
        <v>337.55</v>
      </c>
      <c r="M56" s="121">
        <f t="shared" si="20"/>
        <v>337.55</v>
      </c>
      <c r="N56" s="121">
        <f t="shared" si="20"/>
        <v>337.55</v>
      </c>
      <c r="O56" s="296">
        <f t="shared" si="20"/>
        <v>337.55</v>
      </c>
      <c r="P56" s="399">
        <f t="shared" si="22"/>
        <v>339.08666666666676</v>
      </c>
      <c r="Q56" s="308"/>
      <c r="R56" s="229">
        <f>+'RESUMEN CDMX'!W11</f>
        <v>0</v>
      </c>
      <c r="S56" s="91">
        <f t="shared" si="23"/>
        <v>0</v>
      </c>
      <c r="T56" s="229"/>
      <c r="U56" s="91">
        <f t="shared" si="24"/>
        <v>0</v>
      </c>
      <c r="V56" s="229"/>
      <c r="W56" s="91">
        <f t="shared" si="25"/>
        <v>0</v>
      </c>
      <c r="X56" s="229"/>
      <c r="Y56" s="91">
        <f t="shared" si="26"/>
        <v>0</v>
      </c>
      <c r="Z56" s="92"/>
      <c r="AA56" s="91">
        <f t="shared" si="27"/>
        <v>0</v>
      </c>
      <c r="AB56" s="92"/>
      <c r="AC56" s="91"/>
      <c r="AD56" s="92"/>
      <c r="AE56" s="91"/>
      <c r="AF56" s="92"/>
      <c r="AG56" s="91"/>
      <c r="AH56" s="92"/>
      <c r="AI56" s="91"/>
      <c r="AJ56" s="92"/>
      <c r="AK56" s="91"/>
      <c r="AL56" s="92"/>
      <c r="AM56" s="91"/>
      <c r="AN56" s="92"/>
      <c r="AO56" s="91"/>
      <c r="AP56" s="92"/>
      <c r="AQ56" s="91"/>
    </row>
    <row r="57" spans="1:43" x14ac:dyDescent="0.25">
      <c r="A57" s="243">
        <v>260612</v>
      </c>
      <c r="B57" s="244" t="s">
        <v>74</v>
      </c>
      <c r="C57" s="121">
        <v>298.86</v>
      </c>
      <c r="D57" s="121">
        <f t="shared" si="20"/>
        <v>298.86</v>
      </c>
      <c r="E57" s="121">
        <f t="shared" si="21"/>
        <v>298.86</v>
      </c>
      <c r="F57" s="121">
        <f t="shared" si="21"/>
        <v>298.86</v>
      </c>
      <c r="G57" s="121">
        <f t="shared" si="20"/>
        <v>298.86</v>
      </c>
      <c r="H57" s="121">
        <f t="shared" si="20"/>
        <v>298.86</v>
      </c>
      <c r="I57" s="121">
        <f t="shared" si="20"/>
        <v>298.86</v>
      </c>
      <c r="J57" s="121">
        <f t="shared" si="20"/>
        <v>298.86</v>
      </c>
      <c r="K57" s="121">
        <f t="shared" si="20"/>
        <v>298.86</v>
      </c>
      <c r="L57" s="121">
        <f t="shared" si="20"/>
        <v>298.86</v>
      </c>
      <c r="M57" s="121">
        <f t="shared" si="20"/>
        <v>298.86</v>
      </c>
      <c r="N57" s="121">
        <f t="shared" si="20"/>
        <v>298.86</v>
      </c>
      <c r="O57" s="296">
        <f t="shared" si="20"/>
        <v>298.86</v>
      </c>
      <c r="P57" s="399">
        <f t="shared" si="22"/>
        <v>298.86000000000007</v>
      </c>
      <c r="Q57" s="308"/>
      <c r="R57" s="229">
        <f>+'RESUMEN CDMX'!W12</f>
        <v>0</v>
      </c>
      <c r="S57" s="91">
        <f t="shared" si="23"/>
        <v>0</v>
      </c>
      <c r="T57" s="229"/>
      <c r="U57" s="91">
        <f t="shared" si="24"/>
        <v>0</v>
      </c>
      <c r="V57" s="229"/>
      <c r="W57" s="91">
        <f t="shared" si="25"/>
        <v>0</v>
      </c>
      <c r="X57" s="229"/>
      <c r="Y57" s="91">
        <f t="shared" si="26"/>
        <v>0</v>
      </c>
      <c r="Z57" s="92"/>
      <c r="AA57" s="91">
        <f t="shared" si="27"/>
        <v>0</v>
      </c>
      <c r="AB57" s="92"/>
      <c r="AC57" s="91"/>
      <c r="AD57" s="92"/>
      <c r="AE57" s="91"/>
      <c r="AF57" s="92"/>
      <c r="AG57" s="91"/>
      <c r="AH57" s="92"/>
      <c r="AI57" s="91"/>
      <c r="AJ57" s="92"/>
      <c r="AK57" s="91"/>
      <c r="AL57" s="92"/>
      <c r="AM57" s="91"/>
      <c r="AN57" s="92"/>
      <c r="AO57" s="91"/>
      <c r="AP57" s="92"/>
      <c r="AQ57" s="91"/>
    </row>
    <row r="58" spans="1:43" x14ac:dyDescent="0.25">
      <c r="A58" s="243">
        <v>804661</v>
      </c>
      <c r="B58" s="244" t="s">
        <v>75</v>
      </c>
      <c r="C58" s="121">
        <v>329.94</v>
      </c>
      <c r="D58" s="121">
        <f t="shared" si="20"/>
        <v>329.94</v>
      </c>
      <c r="E58" s="121">
        <f t="shared" si="21"/>
        <v>329.94</v>
      </c>
      <c r="F58" s="121">
        <f t="shared" si="21"/>
        <v>329.94</v>
      </c>
      <c r="G58" s="121">
        <f t="shared" si="20"/>
        <v>329.94</v>
      </c>
      <c r="H58" s="121">
        <f t="shared" si="20"/>
        <v>329.94</v>
      </c>
      <c r="I58" s="121">
        <f t="shared" si="20"/>
        <v>329.94</v>
      </c>
      <c r="J58" s="121">
        <f t="shared" si="20"/>
        <v>329.94</v>
      </c>
      <c r="K58" s="121">
        <f t="shared" si="20"/>
        <v>329.94</v>
      </c>
      <c r="L58" s="121">
        <f t="shared" si="20"/>
        <v>329.94</v>
      </c>
      <c r="M58" s="121">
        <f t="shared" si="20"/>
        <v>329.94</v>
      </c>
      <c r="N58" s="121">
        <f t="shared" si="20"/>
        <v>329.94</v>
      </c>
      <c r="O58" s="296">
        <f t="shared" si="20"/>
        <v>329.94</v>
      </c>
      <c r="P58" s="399">
        <f t="shared" si="22"/>
        <v>329.94</v>
      </c>
      <c r="Q58" s="308"/>
      <c r="R58" s="229">
        <f>+'RESUMEN CDMX'!W13</f>
        <v>0</v>
      </c>
      <c r="S58" s="91">
        <f t="shared" si="23"/>
        <v>0</v>
      </c>
      <c r="T58" s="229"/>
      <c r="U58" s="91">
        <f t="shared" si="24"/>
        <v>0</v>
      </c>
      <c r="V58" s="229"/>
      <c r="W58" s="91">
        <f t="shared" si="25"/>
        <v>0</v>
      </c>
      <c r="X58" s="229"/>
      <c r="Y58" s="91">
        <f t="shared" si="26"/>
        <v>0</v>
      </c>
      <c r="Z58" s="92"/>
      <c r="AA58" s="91">
        <f t="shared" si="27"/>
        <v>0</v>
      </c>
      <c r="AB58" s="92"/>
      <c r="AC58" s="91"/>
      <c r="AD58" s="92"/>
      <c r="AE58" s="91"/>
      <c r="AF58" s="92"/>
      <c r="AG58" s="91"/>
      <c r="AH58" s="92"/>
      <c r="AI58" s="91"/>
      <c r="AJ58" s="92"/>
      <c r="AK58" s="91"/>
      <c r="AL58" s="92"/>
      <c r="AM58" s="91"/>
      <c r="AN58" s="92"/>
      <c r="AO58" s="91"/>
      <c r="AP58" s="92"/>
      <c r="AQ58" s="91"/>
    </row>
    <row r="59" spans="1:43" x14ac:dyDescent="0.25">
      <c r="A59" s="243">
        <v>806702</v>
      </c>
      <c r="B59" s="244" t="s">
        <v>76</v>
      </c>
      <c r="C59" s="121">
        <v>554.39</v>
      </c>
      <c r="D59" s="429">
        <f>+D35</f>
        <v>432.95</v>
      </c>
      <c r="E59" s="121">
        <f t="shared" si="21"/>
        <v>432.95</v>
      </c>
      <c r="F59" s="121">
        <f t="shared" si="21"/>
        <v>432.95</v>
      </c>
      <c r="G59" s="121">
        <f t="shared" si="20"/>
        <v>432.95</v>
      </c>
      <c r="H59" s="121">
        <f t="shared" si="20"/>
        <v>432.95</v>
      </c>
      <c r="I59" s="121">
        <f t="shared" si="20"/>
        <v>432.95</v>
      </c>
      <c r="J59" s="121">
        <f t="shared" si="20"/>
        <v>432.95</v>
      </c>
      <c r="K59" s="121">
        <f t="shared" si="20"/>
        <v>432.95</v>
      </c>
      <c r="L59" s="121">
        <f t="shared" si="20"/>
        <v>432.95</v>
      </c>
      <c r="M59" s="121">
        <f t="shared" si="20"/>
        <v>432.95</v>
      </c>
      <c r="N59" s="121">
        <f t="shared" si="20"/>
        <v>432.95</v>
      </c>
      <c r="O59" s="296">
        <f t="shared" si="20"/>
        <v>432.95</v>
      </c>
      <c r="P59" s="399">
        <f t="shared" si="22"/>
        <v>432.94999999999987</v>
      </c>
      <c r="Q59" s="308"/>
      <c r="R59" s="229">
        <f>+'RESUMEN CDMX'!W14</f>
        <v>0</v>
      </c>
      <c r="S59" s="91">
        <f t="shared" si="23"/>
        <v>0</v>
      </c>
      <c r="T59" s="229"/>
      <c r="U59" s="91">
        <f t="shared" si="24"/>
        <v>0</v>
      </c>
      <c r="V59" s="229"/>
      <c r="W59" s="91">
        <f t="shared" si="25"/>
        <v>0</v>
      </c>
      <c r="X59" s="229"/>
      <c r="Y59" s="91">
        <f t="shared" si="26"/>
        <v>0</v>
      </c>
      <c r="Z59" s="92"/>
      <c r="AA59" s="91">
        <f t="shared" si="27"/>
        <v>0</v>
      </c>
      <c r="AB59" s="92"/>
      <c r="AC59" s="91"/>
      <c r="AD59" s="92"/>
      <c r="AE59" s="91"/>
      <c r="AF59" s="92"/>
      <c r="AG59" s="91"/>
      <c r="AH59" s="92"/>
      <c r="AI59" s="91"/>
      <c r="AJ59" s="92"/>
      <c r="AK59" s="91"/>
      <c r="AL59" s="92"/>
      <c r="AM59" s="91"/>
      <c r="AN59" s="92"/>
      <c r="AO59" s="91"/>
      <c r="AP59" s="92"/>
      <c r="AQ59" s="91"/>
    </row>
    <row r="60" spans="1:43" x14ac:dyDescent="0.25">
      <c r="A60" s="267">
        <v>807769</v>
      </c>
      <c r="B60" s="268" t="s">
        <v>77</v>
      </c>
      <c r="C60" s="121">
        <v>346.43</v>
      </c>
      <c r="D60" s="121">
        <f t="shared" si="20"/>
        <v>346.43</v>
      </c>
      <c r="E60" s="121">
        <f t="shared" si="21"/>
        <v>346.43</v>
      </c>
      <c r="F60" s="121">
        <f t="shared" si="21"/>
        <v>346.43</v>
      </c>
      <c r="G60" s="121">
        <f t="shared" si="20"/>
        <v>346.43</v>
      </c>
      <c r="H60" s="121">
        <f t="shared" si="20"/>
        <v>346.43</v>
      </c>
      <c r="I60" s="121">
        <f t="shared" si="20"/>
        <v>346.43</v>
      </c>
      <c r="J60" s="121">
        <f t="shared" si="20"/>
        <v>346.43</v>
      </c>
      <c r="K60" s="121">
        <f t="shared" si="20"/>
        <v>346.43</v>
      </c>
      <c r="L60" s="121">
        <f t="shared" si="20"/>
        <v>346.43</v>
      </c>
      <c r="M60" s="121">
        <f t="shared" si="20"/>
        <v>346.43</v>
      </c>
      <c r="N60" s="121">
        <f t="shared" si="20"/>
        <v>346.43</v>
      </c>
      <c r="O60" s="296">
        <f t="shared" si="20"/>
        <v>346.43</v>
      </c>
      <c r="P60" s="399">
        <f t="shared" si="22"/>
        <v>346.42999999999989</v>
      </c>
      <c r="Q60" s="308"/>
      <c r="R60" s="229">
        <f>+FRESCO!H15</f>
        <v>165</v>
      </c>
      <c r="S60" s="91">
        <f t="shared" si="23"/>
        <v>57160.950000000004</v>
      </c>
      <c r="T60" s="229">
        <f>+FRESCO!M15</f>
        <v>165</v>
      </c>
      <c r="U60" s="91">
        <f t="shared" si="24"/>
        <v>57160.950000000004</v>
      </c>
      <c r="V60" s="229">
        <f>+FRESCO!R15</f>
        <v>118</v>
      </c>
      <c r="W60" s="91">
        <f t="shared" si="25"/>
        <v>40878.74</v>
      </c>
      <c r="X60" s="229">
        <f>+FRESCO!BP15</f>
        <v>737</v>
      </c>
      <c r="Y60" s="91">
        <f t="shared" si="26"/>
        <v>255318.91</v>
      </c>
      <c r="Z60" s="229">
        <f>+FRESCO!BU15</f>
        <v>737</v>
      </c>
      <c r="AA60" s="91">
        <f t="shared" si="27"/>
        <v>319084.14999999997</v>
      </c>
      <c r="AB60" s="92"/>
      <c r="AC60" s="91"/>
      <c r="AD60" s="92"/>
      <c r="AE60" s="91"/>
      <c r="AF60" s="92"/>
      <c r="AG60" s="91"/>
      <c r="AH60" s="92"/>
      <c r="AI60" s="91"/>
      <c r="AJ60" s="92"/>
      <c r="AK60" s="91"/>
      <c r="AL60" s="92"/>
      <c r="AM60" s="91"/>
      <c r="AN60" s="92"/>
      <c r="AO60" s="91"/>
      <c r="AP60" s="92"/>
      <c r="AQ60" s="91"/>
    </row>
    <row r="61" spans="1:43" x14ac:dyDescent="0.25">
      <c r="A61" s="243">
        <v>807329</v>
      </c>
      <c r="B61" s="244" t="s">
        <v>78</v>
      </c>
      <c r="C61" s="121">
        <v>356.34</v>
      </c>
      <c r="D61" s="121">
        <f t="shared" si="20"/>
        <v>356.34</v>
      </c>
      <c r="E61" s="121">
        <f t="shared" si="21"/>
        <v>356.34</v>
      </c>
      <c r="F61" s="121">
        <f t="shared" si="21"/>
        <v>356.34</v>
      </c>
      <c r="G61" s="121">
        <f t="shared" si="20"/>
        <v>356.34</v>
      </c>
      <c r="H61" s="121">
        <f t="shared" si="20"/>
        <v>356.34</v>
      </c>
      <c r="I61" s="121">
        <f t="shared" si="20"/>
        <v>356.34</v>
      </c>
      <c r="J61" s="121">
        <f t="shared" si="20"/>
        <v>356.34</v>
      </c>
      <c r="K61" s="121">
        <f t="shared" si="20"/>
        <v>356.34</v>
      </c>
      <c r="L61" s="121">
        <f t="shared" si="20"/>
        <v>356.34</v>
      </c>
      <c r="M61" s="121">
        <f t="shared" si="20"/>
        <v>356.34</v>
      </c>
      <c r="N61" s="121">
        <f t="shared" si="20"/>
        <v>356.34</v>
      </c>
      <c r="O61" s="296">
        <f t="shared" si="20"/>
        <v>356.34</v>
      </c>
      <c r="P61" s="399">
        <f t="shared" si="22"/>
        <v>356.34000000000009</v>
      </c>
      <c r="Q61" s="308"/>
      <c r="R61" s="229">
        <f>+FRESCO!H16</f>
        <v>0</v>
      </c>
      <c r="S61" s="91">
        <f t="shared" si="23"/>
        <v>0</v>
      </c>
      <c r="T61" s="229">
        <f>+FRESCO!M16</f>
        <v>0</v>
      </c>
      <c r="U61" s="91">
        <f t="shared" si="24"/>
        <v>0</v>
      </c>
      <c r="V61" s="229">
        <f>+FRESCO!R16</f>
        <v>103</v>
      </c>
      <c r="W61" s="91">
        <f t="shared" si="25"/>
        <v>36703.019999999997</v>
      </c>
      <c r="X61" s="229">
        <f>+FRESCO!BP16</f>
        <v>179</v>
      </c>
      <c r="Y61" s="91">
        <f t="shared" si="26"/>
        <v>63784.859999999993</v>
      </c>
      <c r="Z61" s="229">
        <f>+FRESCO!BU16</f>
        <v>179</v>
      </c>
      <c r="AA61" s="91">
        <f t="shared" si="27"/>
        <v>62010.97</v>
      </c>
      <c r="AB61" s="92"/>
      <c r="AC61" s="91"/>
      <c r="AD61" s="92"/>
      <c r="AE61" s="91"/>
      <c r="AF61" s="92"/>
      <c r="AG61" s="91"/>
      <c r="AH61" s="92"/>
      <c r="AI61" s="91"/>
      <c r="AJ61" s="92"/>
      <c r="AK61" s="91"/>
      <c r="AL61" s="92"/>
      <c r="AM61" s="91"/>
      <c r="AN61" s="92"/>
      <c r="AO61" s="91"/>
      <c r="AP61" s="92"/>
      <c r="AQ61" s="91"/>
    </row>
    <row r="62" spans="1:43" x14ac:dyDescent="0.25">
      <c r="A62" s="243">
        <v>805411</v>
      </c>
      <c r="B62" s="244" t="s">
        <v>79</v>
      </c>
      <c r="C62" s="121">
        <v>340.91</v>
      </c>
      <c r="D62" s="121">
        <f t="shared" si="20"/>
        <v>340.91</v>
      </c>
      <c r="E62" s="429">
        <f t="shared" si="21"/>
        <v>306.5</v>
      </c>
      <c r="F62" s="121">
        <f t="shared" si="21"/>
        <v>306.5</v>
      </c>
      <c r="G62" s="121">
        <f t="shared" si="20"/>
        <v>306.5</v>
      </c>
      <c r="H62" s="121">
        <f t="shared" si="20"/>
        <v>306.5</v>
      </c>
      <c r="I62" s="121">
        <f t="shared" si="20"/>
        <v>306.5</v>
      </c>
      <c r="J62" s="121">
        <f t="shared" si="20"/>
        <v>306.5</v>
      </c>
      <c r="K62" s="121">
        <f t="shared" si="20"/>
        <v>306.5</v>
      </c>
      <c r="L62" s="121">
        <f t="shared" si="20"/>
        <v>306.5</v>
      </c>
      <c r="M62" s="121">
        <f t="shared" si="20"/>
        <v>306.5</v>
      </c>
      <c r="N62" s="121">
        <f t="shared" si="20"/>
        <v>306.5</v>
      </c>
      <c r="O62" s="296">
        <f t="shared" si="20"/>
        <v>306.5</v>
      </c>
      <c r="P62" s="399">
        <f t="shared" si="22"/>
        <v>309.36750000000001</v>
      </c>
      <c r="Q62" s="308"/>
      <c r="R62" s="229">
        <f>+FRESCO!H17</f>
        <v>41</v>
      </c>
      <c r="S62" s="91">
        <f t="shared" si="23"/>
        <v>13977.310000000001</v>
      </c>
      <c r="T62" s="229">
        <f>+FRESCO!M17</f>
        <v>41</v>
      </c>
      <c r="U62" s="91">
        <f t="shared" si="24"/>
        <v>12566.5</v>
      </c>
      <c r="V62" s="229">
        <f>+FRESCO!R17</f>
        <v>173</v>
      </c>
      <c r="W62" s="91">
        <f t="shared" si="25"/>
        <v>53024.5</v>
      </c>
      <c r="X62" s="229">
        <f>+FRESCO!BP17</f>
        <v>164</v>
      </c>
      <c r="Y62" s="91">
        <f t="shared" si="26"/>
        <v>50266</v>
      </c>
      <c r="Z62" s="229">
        <f>+FRESCO!BU17</f>
        <v>164</v>
      </c>
      <c r="AA62" s="91">
        <f t="shared" si="27"/>
        <v>58439.759999999995</v>
      </c>
      <c r="AB62" s="92"/>
      <c r="AC62" s="91"/>
      <c r="AD62" s="92"/>
      <c r="AE62" s="91"/>
      <c r="AF62" s="92"/>
      <c r="AG62" s="91"/>
      <c r="AH62" s="92"/>
      <c r="AI62" s="91"/>
      <c r="AJ62" s="92"/>
      <c r="AK62" s="91"/>
      <c r="AL62" s="92"/>
      <c r="AM62" s="91"/>
      <c r="AN62" s="92"/>
      <c r="AO62" s="91"/>
      <c r="AP62" s="92"/>
      <c r="AQ62" s="91"/>
    </row>
    <row r="63" spans="1:43" x14ac:dyDescent="0.25">
      <c r="A63" s="243">
        <v>807679</v>
      </c>
      <c r="B63" s="244" t="s">
        <v>80</v>
      </c>
      <c r="C63" s="121">
        <v>388.31</v>
      </c>
      <c r="D63" s="121">
        <f t="shared" si="20"/>
        <v>388.31</v>
      </c>
      <c r="E63" s="429">
        <f t="shared" si="21"/>
        <v>363.68</v>
      </c>
      <c r="F63" s="429">
        <f t="shared" si="21"/>
        <v>386.98</v>
      </c>
      <c r="G63" s="121">
        <f t="shared" si="20"/>
        <v>386.98</v>
      </c>
      <c r="H63" s="121">
        <f t="shared" si="20"/>
        <v>386.98</v>
      </c>
      <c r="I63" s="121">
        <f t="shared" si="20"/>
        <v>386.98</v>
      </c>
      <c r="J63" s="121">
        <f t="shared" si="20"/>
        <v>386.98</v>
      </c>
      <c r="K63" s="121">
        <f t="shared" si="20"/>
        <v>386.98</v>
      </c>
      <c r="L63" s="121">
        <f t="shared" si="20"/>
        <v>386.98</v>
      </c>
      <c r="M63" s="121">
        <f t="shared" si="20"/>
        <v>386.98</v>
      </c>
      <c r="N63" s="121">
        <f t="shared" si="20"/>
        <v>386.98</v>
      </c>
      <c r="O63" s="296">
        <f t="shared" si="20"/>
        <v>386.98</v>
      </c>
      <c r="P63" s="399">
        <f t="shared" si="22"/>
        <v>385.14916666666659</v>
      </c>
      <c r="Q63" s="308"/>
      <c r="R63" s="229">
        <f>+FRESCO!H18</f>
        <v>0</v>
      </c>
      <c r="S63" s="91">
        <f t="shared" si="23"/>
        <v>0</v>
      </c>
      <c r="T63" s="229">
        <f>+FRESCO!M18</f>
        <v>99</v>
      </c>
      <c r="U63" s="91">
        <f t="shared" si="24"/>
        <v>36004.32</v>
      </c>
      <c r="V63" s="229">
        <f>+FRESCO!R18</f>
        <v>51</v>
      </c>
      <c r="W63" s="91">
        <f t="shared" si="25"/>
        <v>19735.98</v>
      </c>
      <c r="X63" s="229">
        <f>+FRESCO!BP18</f>
        <v>33</v>
      </c>
      <c r="Y63" s="91">
        <f t="shared" si="26"/>
        <v>12770.34</v>
      </c>
      <c r="Z63" s="229">
        <f>+FRESCO!BU18</f>
        <v>33</v>
      </c>
      <c r="AA63" s="91">
        <f t="shared" si="27"/>
        <v>10114.5</v>
      </c>
      <c r="AB63" s="92"/>
      <c r="AC63" s="91"/>
      <c r="AD63" s="92"/>
      <c r="AE63" s="91"/>
      <c r="AF63" s="92"/>
      <c r="AG63" s="91"/>
      <c r="AH63" s="92"/>
      <c r="AI63" s="91"/>
      <c r="AJ63" s="92"/>
      <c r="AK63" s="91"/>
      <c r="AL63" s="92"/>
      <c r="AM63" s="91"/>
      <c r="AN63" s="92"/>
      <c r="AO63" s="91"/>
      <c r="AP63" s="92"/>
      <c r="AQ63" s="91"/>
    </row>
    <row r="64" spans="1:43" x14ac:dyDescent="0.25">
      <c r="A64" s="243">
        <v>805168</v>
      </c>
      <c r="B64" s="244" t="s">
        <v>81</v>
      </c>
      <c r="C64" s="121">
        <v>608.67999999999995</v>
      </c>
      <c r="D64" s="121">
        <f t="shared" si="20"/>
        <v>608.67999999999995</v>
      </c>
      <c r="E64" s="121">
        <f t="shared" si="21"/>
        <v>608.67999999999995</v>
      </c>
      <c r="F64" s="121">
        <f t="shared" si="21"/>
        <v>608.67999999999995</v>
      </c>
      <c r="G64" s="121">
        <f t="shared" si="20"/>
        <v>608.67999999999995</v>
      </c>
      <c r="H64" s="121">
        <f t="shared" si="20"/>
        <v>608.67999999999995</v>
      </c>
      <c r="I64" s="121">
        <f t="shared" si="20"/>
        <v>608.67999999999995</v>
      </c>
      <c r="J64" s="121">
        <f t="shared" si="20"/>
        <v>608.67999999999995</v>
      </c>
      <c r="K64" s="121">
        <f t="shared" si="20"/>
        <v>608.67999999999995</v>
      </c>
      <c r="L64" s="121">
        <f t="shared" si="20"/>
        <v>608.67999999999995</v>
      </c>
      <c r="M64" s="121">
        <f t="shared" si="20"/>
        <v>608.67999999999995</v>
      </c>
      <c r="N64" s="121">
        <f t="shared" si="20"/>
        <v>608.67999999999995</v>
      </c>
      <c r="O64" s="296">
        <f t="shared" si="20"/>
        <v>608.67999999999995</v>
      </c>
      <c r="P64" s="399">
        <f t="shared" si="22"/>
        <v>608.68000000000006</v>
      </c>
      <c r="Q64" s="308"/>
      <c r="R64" s="229">
        <f>+FRESCO!H19</f>
        <v>8</v>
      </c>
      <c r="S64" s="91">
        <f t="shared" si="23"/>
        <v>4869.4399999999996</v>
      </c>
      <c r="T64" s="229">
        <f>+FRESCO!M19</f>
        <v>8</v>
      </c>
      <c r="U64" s="91">
        <f t="shared" si="24"/>
        <v>4869.4399999999996</v>
      </c>
      <c r="V64" s="229">
        <f>+FRESCO!R19</f>
        <v>96</v>
      </c>
      <c r="W64" s="91">
        <f t="shared" si="25"/>
        <v>58433.279999999999</v>
      </c>
      <c r="X64" s="229">
        <f>+FRESCO!BP19</f>
        <v>96</v>
      </c>
      <c r="Y64" s="91">
        <f t="shared" si="26"/>
        <v>58433.279999999999</v>
      </c>
      <c r="Z64" s="229">
        <f>+FRESCO!BU19</f>
        <v>96</v>
      </c>
      <c r="AA64" s="91">
        <f t="shared" si="27"/>
        <v>37150.080000000002</v>
      </c>
      <c r="AB64" s="92"/>
      <c r="AC64" s="91"/>
      <c r="AD64" s="92"/>
      <c r="AE64" s="91"/>
      <c r="AF64" s="92"/>
      <c r="AG64" s="91"/>
      <c r="AH64" s="92"/>
      <c r="AI64" s="91"/>
      <c r="AJ64" s="92"/>
      <c r="AK64" s="91"/>
      <c r="AL64" s="92"/>
      <c r="AM64" s="91"/>
      <c r="AN64" s="92"/>
      <c r="AO64" s="91"/>
      <c r="AP64" s="92"/>
      <c r="AQ64" s="91"/>
    </row>
    <row r="65" spans="1:43" x14ac:dyDescent="0.25">
      <c r="A65" s="243">
        <v>807363</v>
      </c>
      <c r="B65" s="244" t="s">
        <v>82</v>
      </c>
      <c r="C65" s="121">
        <v>357.28</v>
      </c>
      <c r="D65" s="121">
        <f t="shared" si="20"/>
        <v>357.28</v>
      </c>
      <c r="E65" s="121">
        <f t="shared" si="21"/>
        <v>357.28</v>
      </c>
      <c r="F65" s="121">
        <f t="shared" si="21"/>
        <v>357.28</v>
      </c>
      <c r="G65" s="121">
        <f t="shared" si="20"/>
        <v>357.28</v>
      </c>
      <c r="H65" s="121">
        <f t="shared" si="20"/>
        <v>357.28</v>
      </c>
      <c r="I65" s="121">
        <f t="shared" si="20"/>
        <v>357.28</v>
      </c>
      <c r="J65" s="121">
        <f t="shared" si="20"/>
        <v>357.28</v>
      </c>
      <c r="K65" s="121">
        <f t="shared" si="20"/>
        <v>357.28</v>
      </c>
      <c r="L65" s="121">
        <f t="shared" si="20"/>
        <v>357.28</v>
      </c>
      <c r="M65" s="121">
        <f t="shared" si="20"/>
        <v>357.28</v>
      </c>
      <c r="N65" s="121">
        <f t="shared" si="20"/>
        <v>357.28</v>
      </c>
      <c r="O65" s="296">
        <f t="shared" si="20"/>
        <v>357.28</v>
      </c>
      <c r="P65" s="399">
        <f t="shared" si="22"/>
        <v>357.27999999999992</v>
      </c>
      <c r="Q65" s="308"/>
      <c r="R65" s="229">
        <f>+FRESCO!H21</f>
        <v>392</v>
      </c>
      <c r="S65" s="91">
        <f t="shared" si="23"/>
        <v>140053.75999999998</v>
      </c>
      <c r="T65" s="229">
        <f>+FRESCO!M21</f>
        <v>392</v>
      </c>
      <c r="U65" s="91">
        <f t="shared" si="24"/>
        <v>140053.75999999998</v>
      </c>
      <c r="V65" s="229">
        <f>+FRESCO!R21</f>
        <v>391</v>
      </c>
      <c r="W65" s="91">
        <f t="shared" si="25"/>
        <v>139696.47999999998</v>
      </c>
      <c r="X65" s="229">
        <f>+FRESCO!BP21</f>
        <v>391</v>
      </c>
      <c r="Y65" s="91">
        <f t="shared" si="26"/>
        <v>139696.47999999998</v>
      </c>
      <c r="Z65" s="229">
        <f>+FRESCO!BU21</f>
        <v>391</v>
      </c>
      <c r="AA65" s="91">
        <f t="shared" si="27"/>
        <v>237993.87999999998</v>
      </c>
      <c r="AB65" s="92"/>
      <c r="AC65" s="91"/>
      <c r="AD65" s="92"/>
      <c r="AE65" s="91"/>
      <c r="AF65" s="92"/>
      <c r="AG65" s="91"/>
      <c r="AH65" s="92"/>
      <c r="AI65" s="91"/>
      <c r="AJ65" s="92"/>
      <c r="AK65" s="91"/>
      <c r="AL65" s="92"/>
      <c r="AM65" s="91"/>
      <c r="AN65" s="92"/>
      <c r="AO65" s="91"/>
      <c r="AP65" s="92"/>
      <c r="AQ65" s="91"/>
    </row>
    <row r="66" spans="1:43" ht="16.5" thickBot="1" x14ac:dyDescent="0.3">
      <c r="A66" s="263">
        <v>809529</v>
      </c>
      <c r="B66" s="264" t="s">
        <v>83</v>
      </c>
      <c r="C66" s="121">
        <v>353.79</v>
      </c>
      <c r="D66" s="121">
        <f t="shared" si="20"/>
        <v>353.79</v>
      </c>
      <c r="E66" s="121">
        <f t="shared" si="20"/>
        <v>353.79</v>
      </c>
      <c r="F66" s="121">
        <f t="shared" ref="F66:F69" si="28">+F42</f>
        <v>353.79</v>
      </c>
      <c r="G66" s="121">
        <f t="shared" si="20"/>
        <v>353.79</v>
      </c>
      <c r="H66" s="121">
        <f t="shared" si="20"/>
        <v>353.79</v>
      </c>
      <c r="I66" s="121">
        <f t="shared" si="20"/>
        <v>353.79</v>
      </c>
      <c r="J66" s="121">
        <f t="shared" si="20"/>
        <v>353.79</v>
      </c>
      <c r="K66" s="121">
        <f t="shared" si="20"/>
        <v>353.79</v>
      </c>
      <c r="L66" s="121">
        <f t="shared" si="20"/>
        <v>353.79</v>
      </c>
      <c r="M66" s="121">
        <f t="shared" si="20"/>
        <v>353.79</v>
      </c>
      <c r="N66" s="121">
        <f t="shared" si="20"/>
        <v>353.79</v>
      </c>
      <c r="O66" s="296">
        <f t="shared" si="20"/>
        <v>353.79</v>
      </c>
      <c r="P66" s="399">
        <f t="shared" si="22"/>
        <v>353.79</v>
      </c>
      <c r="Q66" s="308"/>
      <c r="R66" s="229"/>
      <c r="S66" s="91">
        <f t="shared" si="23"/>
        <v>0</v>
      </c>
      <c r="T66" s="229"/>
      <c r="U66" s="91"/>
      <c r="V66" s="229"/>
      <c r="W66" s="91">
        <f t="shared" si="25"/>
        <v>0</v>
      </c>
      <c r="X66" s="229"/>
      <c r="Y66" s="91">
        <f t="shared" si="26"/>
        <v>0</v>
      </c>
      <c r="Z66" s="92"/>
      <c r="AA66" s="91">
        <f t="shared" si="27"/>
        <v>0</v>
      </c>
      <c r="AB66" s="92"/>
      <c r="AC66" s="91"/>
      <c r="AD66" s="92"/>
      <c r="AE66" s="91"/>
      <c r="AF66" s="92"/>
      <c r="AG66" s="91"/>
      <c r="AH66" s="92"/>
      <c r="AI66" s="91"/>
      <c r="AJ66" s="92"/>
      <c r="AK66" s="91"/>
      <c r="AL66" s="92"/>
      <c r="AM66" s="91"/>
      <c r="AN66" s="92"/>
      <c r="AO66" s="91"/>
      <c r="AP66" s="92"/>
      <c r="AQ66" s="91"/>
    </row>
    <row r="67" spans="1:43" hidden="1" x14ac:dyDescent="0.25">
      <c r="A67" s="263"/>
      <c r="B67" s="264"/>
      <c r="C67" s="121"/>
      <c r="D67" s="121">
        <f t="shared" si="20"/>
        <v>0</v>
      </c>
      <c r="E67" s="121">
        <f t="shared" si="20"/>
        <v>0</v>
      </c>
      <c r="F67" s="121">
        <f t="shared" si="28"/>
        <v>0</v>
      </c>
      <c r="G67" s="121">
        <f t="shared" si="20"/>
        <v>0</v>
      </c>
      <c r="H67" s="121">
        <f t="shared" si="20"/>
        <v>0</v>
      </c>
      <c r="I67" s="121">
        <f t="shared" si="20"/>
        <v>0</v>
      </c>
      <c r="J67" s="121">
        <f t="shared" si="20"/>
        <v>0</v>
      </c>
      <c r="K67" s="121">
        <f t="shared" si="20"/>
        <v>0</v>
      </c>
      <c r="L67" s="121">
        <f t="shared" si="20"/>
        <v>0</v>
      </c>
      <c r="M67" s="121">
        <f t="shared" si="20"/>
        <v>0</v>
      </c>
      <c r="N67" s="121">
        <f t="shared" si="20"/>
        <v>0</v>
      </c>
      <c r="O67" s="296">
        <f t="shared" si="20"/>
        <v>0</v>
      </c>
      <c r="P67" s="399">
        <f t="shared" si="22"/>
        <v>0</v>
      </c>
      <c r="Q67" s="308"/>
      <c r="R67" s="229"/>
      <c r="S67" s="91"/>
      <c r="T67" s="92"/>
      <c r="U67" s="91"/>
      <c r="V67" s="92"/>
      <c r="W67" s="91"/>
      <c r="X67" s="92"/>
      <c r="Y67" s="91"/>
      <c r="Z67" s="92"/>
      <c r="AA67" s="91"/>
      <c r="AB67" s="92"/>
      <c r="AC67" s="91"/>
      <c r="AD67" s="92"/>
      <c r="AE67" s="91"/>
      <c r="AF67" s="92"/>
      <c r="AG67" s="91"/>
      <c r="AH67" s="92"/>
      <c r="AI67" s="91"/>
      <c r="AJ67" s="92"/>
      <c r="AK67" s="91"/>
      <c r="AL67" s="92"/>
      <c r="AM67" s="91"/>
      <c r="AN67" s="92"/>
      <c r="AO67" s="91"/>
      <c r="AP67" s="92"/>
      <c r="AQ67" s="91"/>
    </row>
    <row r="68" spans="1:43" hidden="1" x14ac:dyDescent="0.25">
      <c r="A68" s="243"/>
      <c r="B68" s="244"/>
      <c r="C68" s="121"/>
      <c r="D68" s="121">
        <f t="shared" si="20"/>
        <v>0</v>
      </c>
      <c r="E68" s="121">
        <f t="shared" si="20"/>
        <v>0</v>
      </c>
      <c r="F68" s="121">
        <f t="shared" si="28"/>
        <v>0</v>
      </c>
      <c r="G68" s="121">
        <f t="shared" si="20"/>
        <v>0</v>
      </c>
      <c r="H68" s="121">
        <f t="shared" si="20"/>
        <v>0</v>
      </c>
      <c r="I68" s="121">
        <f t="shared" si="20"/>
        <v>0</v>
      </c>
      <c r="J68" s="121">
        <f t="shared" si="20"/>
        <v>0</v>
      </c>
      <c r="K68" s="121">
        <f t="shared" si="20"/>
        <v>0</v>
      </c>
      <c r="L68" s="121">
        <f t="shared" si="20"/>
        <v>0</v>
      </c>
      <c r="M68" s="121">
        <f t="shared" si="20"/>
        <v>0</v>
      </c>
      <c r="N68" s="121">
        <f t="shared" si="20"/>
        <v>0</v>
      </c>
      <c r="O68" s="296">
        <f t="shared" si="20"/>
        <v>0</v>
      </c>
      <c r="P68" s="399">
        <f t="shared" si="22"/>
        <v>0</v>
      </c>
      <c r="Q68" s="308"/>
      <c r="R68" s="229"/>
      <c r="S68" s="91"/>
      <c r="T68" s="92"/>
      <c r="U68" s="91"/>
      <c r="V68" s="92"/>
      <c r="W68" s="91"/>
      <c r="X68" s="92"/>
      <c r="Y68" s="91"/>
      <c r="Z68" s="92"/>
      <c r="AA68" s="91"/>
      <c r="AB68" s="92"/>
      <c r="AC68" s="91"/>
      <c r="AD68" s="92"/>
      <c r="AE68" s="91"/>
      <c r="AF68" s="92"/>
      <c r="AG68" s="91"/>
      <c r="AH68" s="92"/>
      <c r="AI68" s="91"/>
      <c r="AJ68" s="92"/>
      <c r="AK68" s="91"/>
      <c r="AL68" s="92"/>
      <c r="AM68" s="91"/>
      <c r="AN68" s="92"/>
      <c r="AO68" s="91"/>
      <c r="AP68" s="92"/>
      <c r="AQ68" s="91"/>
    </row>
    <row r="69" spans="1:43" ht="16.5" hidden="1" thickBot="1" x14ac:dyDescent="0.3">
      <c r="A69" s="243"/>
      <c r="B69" s="244"/>
      <c r="C69" s="121"/>
      <c r="D69" s="121">
        <f t="shared" si="20"/>
        <v>0</v>
      </c>
      <c r="E69" s="121">
        <f t="shared" si="20"/>
        <v>0</v>
      </c>
      <c r="F69" s="121">
        <f t="shared" si="28"/>
        <v>0</v>
      </c>
      <c r="G69" s="121">
        <f t="shared" si="20"/>
        <v>0</v>
      </c>
      <c r="H69" s="121">
        <f t="shared" si="20"/>
        <v>0</v>
      </c>
      <c r="I69" s="121">
        <f t="shared" si="20"/>
        <v>0</v>
      </c>
      <c r="J69" s="121">
        <f t="shared" si="20"/>
        <v>0</v>
      </c>
      <c r="K69" s="121">
        <f t="shared" si="20"/>
        <v>0</v>
      </c>
      <c r="L69" s="121">
        <f t="shared" si="20"/>
        <v>0</v>
      </c>
      <c r="M69" s="121">
        <f t="shared" si="20"/>
        <v>0</v>
      </c>
      <c r="N69" s="121">
        <f t="shared" si="20"/>
        <v>0</v>
      </c>
      <c r="O69" s="296">
        <f t="shared" si="20"/>
        <v>0</v>
      </c>
      <c r="P69" s="403">
        <f t="shared" si="22"/>
        <v>0</v>
      </c>
      <c r="Q69" s="308"/>
      <c r="R69" s="229"/>
      <c r="S69" s="91"/>
      <c r="T69" s="92"/>
      <c r="U69" s="91"/>
      <c r="V69" s="92"/>
      <c r="W69" s="91"/>
      <c r="X69" s="92"/>
      <c r="Y69" s="91"/>
      <c r="Z69" s="92"/>
      <c r="AA69" s="91"/>
      <c r="AB69" s="92"/>
      <c r="AC69" s="91"/>
      <c r="AD69" s="92"/>
      <c r="AE69" s="91"/>
      <c r="AF69" s="92"/>
      <c r="AG69" s="91"/>
      <c r="AH69" s="92"/>
      <c r="AI69" s="91"/>
      <c r="AJ69" s="92"/>
      <c r="AK69" s="91"/>
      <c r="AL69" s="92"/>
      <c r="AM69" s="91"/>
      <c r="AN69" s="92"/>
      <c r="AO69" s="91"/>
      <c r="AP69" s="92"/>
      <c r="AQ69" s="91"/>
    </row>
    <row r="70" spans="1:43" ht="30" customHeight="1" thickBot="1" x14ac:dyDescent="0.3">
      <c r="A70" s="645" t="s">
        <v>86</v>
      </c>
      <c r="B70" s="646"/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297"/>
      <c r="P70" s="404"/>
      <c r="Q70" s="310"/>
      <c r="R70" s="293">
        <f>+SUM(R49:R69)</f>
        <v>620</v>
      </c>
      <c r="S70" s="117">
        <f>+SUM(S49:S69)</f>
        <v>220560.19999999998</v>
      </c>
      <c r="T70" s="293">
        <f t="shared" ref="T70:W70" si="29">+SUM(T49:T69)</f>
        <v>719</v>
      </c>
      <c r="U70" s="117">
        <f t="shared" si="29"/>
        <v>254793.71</v>
      </c>
      <c r="V70" s="293">
        <f t="shared" si="29"/>
        <v>946</v>
      </c>
      <c r="W70" s="117">
        <f t="shared" si="29"/>
        <v>352653.18</v>
      </c>
      <c r="X70" s="293">
        <f t="shared" ref="X70:Z70" si="30">+SUM(X49:X69)</f>
        <v>1614</v>
      </c>
      <c r="Y70" s="117">
        <f t="shared" ref="Y70:AA70" si="31">+SUM(Y49:Y69)</f>
        <v>584451.05000000005</v>
      </c>
      <c r="Z70" s="293">
        <f t="shared" si="30"/>
        <v>1614</v>
      </c>
      <c r="AA70" s="117">
        <f t="shared" si="31"/>
        <v>729862.05999999994</v>
      </c>
      <c r="AB70" s="118"/>
      <c r="AC70" s="117"/>
      <c r="AD70" s="118"/>
      <c r="AE70" s="117"/>
      <c r="AF70" s="118"/>
      <c r="AG70" s="117"/>
      <c r="AH70" s="294"/>
      <c r="AI70" s="294"/>
      <c r="AJ70" s="118"/>
      <c r="AK70" s="117"/>
      <c r="AL70" s="118"/>
      <c r="AM70" s="119"/>
      <c r="AN70" s="293"/>
      <c r="AO70" s="116"/>
      <c r="AP70" s="118"/>
      <c r="AQ70" s="119"/>
    </row>
    <row r="71" spans="1:43" ht="15" x14ac:dyDescent="0.25">
      <c r="A71" s="649"/>
      <c r="B71" s="650"/>
      <c r="C71" s="650"/>
      <c r="D71" s="650"/>
      <c r="E71" s="650"/>
      <c r="F71" s="650"/>
      <c r="G71" s="650"/>
      <c r="H71" s="650"/>
      <c r="I71" s="650"/>
      <c r="J71" s="650"/>
      <c r="K71" s="650"/>
      <c r="L71" s="650"/>
      <c r="M71" s="650"/>
      <c r="N71" s="650"/>
      <c r="O71" s="650"/>
      <c r="P71" s="650"/>
      <c r="Q71" s="650"/>
      <c r="R71" s="650"/>
      <c r="S71" s="650"/>
      <c r="T71" s="650"/>
      <c r="U71" s="650"/>
      <c r="V71" s="650"/>
      <c r="W71" s="650"/>
      <c r="X71" s="650"/>
      <c r="Y71" s="650"/>
      <c r="Z71" s="650"/>
      <c r="AA71" s="650"/>
      <c r="AB71" s="650"/>
      <c r="AC71" s="650"/>
      <c r="AD71" s="650"/>
      <c r="AE71" s="650"/>
      <c r="AF71" s="650"/>
      <c r="AG71" s="650"/>
      <c r="AH71" s="650"/>
      <c r="AI71" s="650"/>
      <c r="AJ71" s="650"/>
      <c r="AK71" s="650"/>
      <c r="AL71" s="650"/>
      <c r="AM71" s="650"/>
      <c r="AN71" s="650"/>
      <c r="AO71" s="650"/>
      <c r="AP71" s="650"/>
      <c r="AQ71" s="650"/>
    </row>
    <row r="72" spans="1:43" ht="16.5" thickBot="1" x14ac:dyDescent="0.3">
      <c r="A72" s="643" t="s">
        <v>87</v>
      </c>
      <c r="B72" s="644"/>
      <c r="C72"/>
      <c r="D72"/>
      <c r="E72"/>
      <c r="F72"/>
      <c r="G72"/>
      <c r="H72"/>
      <c r="I72"/>
      <c r="J72"/>
      <c r="K72"/>
      <c r="L72"/>
      <c r="M72"/>
      <c r="N72"/>
      <c r="O72"/>
      <c r="P72" s="401"/>
      <c r="Q72" s="307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s="92"/>
      <c r="AO72" s="91"/>
      <c r="AP72"/>
      <c r="AQ72"/>
    </row>
    <row r="73" spans="1:43" x14ac:dyDescent="0.25">
      <c r="A73" s="243">
        <v>806685</v>
      </c>
      <c r="B73" s="244" t="s">
        <v>57</v>
      </c>
      <c r="C73" s="121">
        <v>344.32</v>
      </c>
      <c r="D73" s="429">
        <f>+D49</f>
        <v>305.47000000000003</v>
      </c>
      <c r="E73" s="429">
        <f>+E49</f>
        <v>297.01</v>
      </c>
      <c r="F73" s="429">
        <f>+F49</f>
        <v>318.2</v>
      </c>
      <c r="G73" s="121">
        <f t="shared" ref="G73:O73" si="32">+F73</f>
        <v>318.2</v>
      </c>
      <c r="H73" s="121">
        <f t="shared" si="32"/>
        <v>318.2</v>
      </c>
      <c r="I73" s="121">
        <f t="shared" si="32"/>
        <v>318.2</v>
      </c>
      <c r="J73" s="121">
        <f t="shared" si="32"/>
        <v>318.2</v>
      </c>
      <c r="K73" s="121">
        <f t="shared" si="32"/>
        <v>318.2</v>
      </c>
      <c r="L73" s="121">
        <f t="shared" si="32"/>
        <v>318.2</v>
      </c>
      <c r="M73" s="121">
        <f t="shared" si="32"/>
        <v>318.2</v>
      </c>
      <c r="N73" s="121">
        <f t="shared" si="32"/>
        <v>318.2</v>
      </c>
      <c r="O73" s="296">
        <f t="shared" si="32"/>
        <v>318.2</v>
      </c>
      <c r="P73" s="402">
        <f>+AVERAGE(D73:O73)</f>
        <v>315.37333333333328</v>
      </c>
      <c r="Q73" s="311"/>
      <c r="R73" s="229">
        <f>+FRIGARSA!H3</f>
        <v>1442.3000000000002</v>
      </c>
      <c r="S73" s="91">
        <f>+R73*D73</f>
        <v>440579.38100000011</v>
      </c>
      <c r="T73" s="229">
        <f>+FRIGARSA!M3</f>
        <v>689.30000000000018</v>
      </c>
      <c r="U73" s="91">
        <f>+T73*E73</f>
        <v>204728.99300000005</v>
      </c>
      <c r="V73" s="229">
        <f>+FRIGARSA!R3</f>
        <v>27.300000000000182</v>
      </c>
      <c r="W73" s="91">
        <f>+V73*F73</f>
        <v>8686.860000000057</v>
      </c>
      <c r="X73" s="229">
        <f>+FRIGARSA!W3</f>
        <v>2.3000000000001819</v>
      </c>
      <c r="Y73" s="91">
        <f>+X73*G73</f>
        <v>731.86000000005788</v>
      </c>
      <c r="Z73" s="229">
        <f>+FRIGARSA!AB3</f>
        <v>2.3000000000001819</v>
      </c>
      <c r="AA73" s="91">
        <f>+Z73*N73</f>
        <v>731.86000000005788</v>
      </c>
      <c r="AB73" s="92"/>
      <c r="AC73" s="91"/>
      <c r="AD73" s="92"/>
      <c r="AE73" s="91"/>
      <c r="AF73" s="92"/>
      <c r="AG73" s="91"/>
      <c r="AH73" s="92"/>
      <c r="AI73" s="91"/>
      <c r="AJ73" s="92"/>
      <c r="AK73" s="91"/>
      <c r="AL73" s="92"/>
      <c r="AM73" s="91"/>
      <c r="AN73" s="92"/>
      <c r="AO73" s="91"/>
      <c r="AP73" s="92"/>
      <c r="AQ73" s="91"/>
    </row>
    <row r="74" spans="1:43" x14ac:dyDescent="0.25">
      <c r="A74" s="243">
        <v>806939</v>
      </c>
      <c r="B74" s="244" t="s">
        <v>67</v>
      </c>
      <c r="C74" s="121">
        <v>326.49</v>
      </c>
      <c r="D74" s="121">
        <f t="shared" ref="D74:O93" si="33">+C74</f>
        <v>326.49</v>
      </c>
      <c r="E74" s="429">
        <f t="shared" ref="E74:F93" si="34">+E50</f>
        <v>287.31</v>
      </c>
      <c r="F74" s="429">
        <f t="shared" si="34"/>
        <v>308.52999999999997</v>
      </c>
      <c r="G74" s="121">
        <f t="shared" si="33"/>
        <v>308.52999999999997</v>
      </c>
      <c r="H74" s="121">
        <f t="shared" si="33"/>
        <v>308.52999999999997</v>
      </c>
      <c r="I74" s="121">
        <f t="shared" si="33"/>
        <v>308.52999999999997</v>
      </c>
      <c r="J74" s="121">
        <f t="shared" si="33"/>
        <v>308.52999999999997</v>
      </c>
      <c r="K74" s="121">
        <f t="shared" si="33"/>
        <v>308.52999999999997</v>
      </c>
      <c r="L74" s="121">
        <f t="shared" si="33"/>
        <v>308.52999999999997</v>
      </c>
      <c r="M74" s="121">
        <f t="shared" si="33"/>
        <v>308.52999999999997</v>
      </c>
      <c r="N74" s="121">
        <f t="shared" si="33"/>
        <v>308.52999999999997</v>
      </c>
      <c r="O74" s="296">
        <f t="shared" si="33"/>
        <v>308.52999999999997</v>
      </c>
      <c r="P74" s="399">
        <f t="shared" ref="P74:P93" si="35">+AVERAGE(D74:O74)</f>
        <v>308.25833333333321</v>
      </c>
      <c r="Q74" s="308"/>
      <c r="R74" s="229">
        <f>+FRIGARSA!H4</f>
        <v>14</v>
      </c>
      <c r="S74" s="91">
        <f t="shared" ref="S74:S90" si="36">+R74*D74</f>
        <v>4570.8600000000006</v>
      </c>
      <c r="T74" s="229">
        <f>+FRIGARSA!M4</f>
        <v>9</v>
      </c>
      <c r="U74" s="91">
        <f t="shared" ref="U74:U90" si="37">+T74*E74</f>
        <v>2585.79</v>
      </c>
      <c r="V74" s="229">
        <f>+FRIGARSA!R4</f>
        <v>9</v>
      </c>
      <c r="W74" s="91">
        <f t="shared" ref="W74:W90" si="38">+V74*F74</f>
        <v>2776.7699999999995</v>
      </c>
      <c r="X74" s="229">
        <f>+FRIGARSA!W4</f>
        <v>9</v>
      </c>
      <c r="Y74" s="91">
        <f t="shared" ref="Y74:Y90" si="39">+X74*G74</f>
        <v>2776.7699999999995</v>
      </c>
      <c r="Z74" s="229">
        <f>+FRIGARSA!AB4</f>
        <v>9</v>
      </c>
      <c r="AA74" s="91">
        <f t="shared" ref="AA74:AA90" si="40">+Z74*N74</f>
        <v>2776.7699999999995</v>
      </c>
      <c r="AB74" s="92"/>
      <c r="AC74" s="91"/>
      <c r="AD74" s="92"/>
      <c r="AE74" s="91"/>
      <c r="AF74" s="92"/>
      <c r="AG74" s="91"/>
      <c r="AH74" s="92"/>
      <c r="AI74" s="91"/>
      <c r="AJ74" s="92"/>
      <c r="AK74" s="91"/>
      <c r="AL74" s="92"/>
      <c r="AM74" s="91"/>
      <c r="AN74" s="92"/>
      <c r="AO74" s="91"/>
      <c r="AP74" s="92"/>
      <c r="AQ74" s="91"/>
    </row>
    <row r="75" spans="1:43" x14ac:dyDescent="0.25">
      <c r="A75" s="243">
        <v>806694</v>
      </c>
      <c r="B75" s="244" t="s">
        <v>68</v>
      </c>
      <c r="C75" s="121">
        <v>382.98</v>
      </c>
      <c r="D75" s="121">
        <f t="shared" si="33"/>
        <v>382.98</v>
      </c>
      <c r="E75" s="429">
        <f t="shared" si="34"/>
        <v>325.08</v>
      </c>
      <c r="F75" s="429">
        <f t="shared" si="34"/>
        <v>366.07</v>
      </c>
      <c r="G75" s="121">
        <f t="shared" si="33"/>
        <v>366.07</v>
      </c>
      <c r="H75" s="121">
        <f t="shared" si="33"/>
        <v>366.07</v>
      </c>
      <c r="I75" s="121">
        <f t="shared" si="33"/>
        <v>366.07</v>
      </c>
      <c r="J75" s="121">
        <f t="shared" si="33"/>
        <v>366.07</v>
      </c>
      <c r="K75" s="121">
        <f t="shared" si="33"/>
        <v>366.07</v>
      </c>
      <c r="L75" s="121">
        <f t="shared" si="33"/>
        <v>366.07</v>
      </c>
      <c r="M75" s="121">
        <f t="shared" si="33"/>
        <v>366.07</v>
      </c>
      <c r="N75" s="121">
        <f t="shared" si="33"/>
        <v>366.07</v>
      </c>
      <c r="O75" s="296">
        <f t="shared" si="33"/>
        <v>366.07</v>
      </c>
      <c r="P75" s="399">
        <f t="shared" si="35"/>
        <v>364.06333333333333</v>
      </c>
      <c r="Q75" s="308"/>
      <c r="R75" s="229">
        <v>0</v>
      </c>
      <c r="S75" s="91">
        <f t="shared" si="36"/>
        <v>0</v>
      </c>
      <c r="T75" s="229">
        <v>0</v>
      </c>
      <c r="U75" s="91">
        <f t="shared" si="37"/>
        <v>0</v>
      </c>
      <c r="V75" s="229">
        <v>0</v>
      </c>
      <c r="W75" s="91">
        <f t="shared" si="38"/>
        <v>0</v>
      </c>
      <c r="X75" s="229">
        <v>0</v>
      </c>
      <c r="Y75" s="91">
        <f t="shared" si="39"/>
        <v>0</v>
      </c>
      <c r="Z75" s="229">
        <f>+FRIGARSA!AB5</f>
        <v>0</v>
      </c>
      <c r="AA75" s="91">
        <f t="shared" si="40"/>
        <v>0</v>
      </c>
      <c r="AB75" s="92"/>
      <c r="AC75" s="91"/>
      <c r="AD75" s="92"/>
      <c r="AE75" s="91"/>
      <c r="AF75" s="92"/>
      <c r="AG75" s="91"/>
      <c r="AH75" s="92"/>
      <c r="AI75" s="91"/>
      <c r="AJ75" s="92"/>
      <c r="AK75" s="91"/>
      <c r="AL75" s="92"/>
      <c r="AM75" s="91"/>
      <c r="AN75" s="92"/>
      <c r="AO75" s="91"/>
      <c r="AP75" s="92"/>
      <c r="AQ75" s="91"/>
    </row>
    <row r="76" spans="1:43" x14ac:dyDescent="0.25">
      <c r="A76" s="243">
        <v>804104</v>
      </c>
      <c r="B76" s="244" t="s">
        <v>69</v>
      </c>
      <c r="C76" s="121">
        <v>369.36</v>
      </c>
      <c r="D76" s="121">
        <f t="shared" si="33"/>
        <v>369.36</v>
      </c>
      <c r="E76" s="121">
        <f t="shared" si="34"/>
        <v>369.36</v>
      </c>
      <c r="F76" s="121">
        <f t="shared" si="34"/>
        <v>369.36</v>
      </c>
      <c r="G76" s="121">
        <f t="shared" si="33"/>
        <v>369.36</v>
      </c>
      <c r="H76" s="121">
        <f t="shared" si="33"/>
        <v>369.36</v>
      </c>
      <c r="I76" s="121">
        <f t="shared" si="33"/>
        <v>369.36</v>
      </c>
      <c r="J76" s="121">
        <f t="shared" si="33"/>
        <v>369.36</v>
      </c>
      <c r="K76" s="121">
        <f t="shared" si="33"/>
        <v>369.36</v>
      </c>
      <c r="L76" s="121">
        <f t="shared" si="33"/>
        <v>369.36</v>
      </c>
      <c r="M76" s="121">
        <f t="shared" si="33"/>
        <v>369.36</v>
      </c>
      <c r="N76" s="121">
        <f t="shared" si="33"/>
        <v>369.36</v>
      </c>
      <c r="O76" s="296">
        <f t="shared" si="33"/>
        <v>369.36</v>
      </c>
      <c r="P76" s="399">
        <f t="shared" si="35"/>
        <v>369.36000000000007</v>
      </c>
      <c r="Q76" s="308"/>
      <c r="R76" s="229">
        <f>+FRIGARSA!H6</f>
        <v>21</v>
      </c>
      <c r="S76" s="91">
        <f t="shared" si="36"/>
        <v>7756.56</v>
      </c>
      <c r="T76" s="229">
        <f>+FRIGARSA!M6</f>
        <v>19</v>
      </c>
      <c r="U76" s="91">
        <f t="shared" si="37"/>
        <v>7017.84</v>
      </c>
      <c r="V76" s="229">
        <f>+FRIGARSA!R6</f>
        <v>7</v>
      </c>
      <c r="W76" s="91">
        <f t="shared" si="38"/>
        <v>2585.52</v>
      </c>
      <c r="X76" s="229">
        <f>+FRIGARSA!W6</f>
        <v>7</v>
      </c>
      <c r="Y76" s="91">
        <f t="shared" si="39"/>
        <v>2585.52</v>
      </c>
      <c r="Z76" s="229">
        <f>+FRIGARSA!AB6</f>
        <v>7</v>
      </c>
      <c r="AA76" s="91">
        <f t="shared" si="40"/>
        <v>2585.52</v>
      </c>
      <c r="AB76" s="92"/>
      <c r="AC76" s="91"/>
      <c r="AD76" s="92"/>
      <c r="AE76" s="91"/>
      <c r="AF76" s="92"/>
      <c r="AG76" s="91"/>
      <c r="AH76" s="92"/>
      <c r="AI76" s="91"/>
      <c r="AJ76" s="92"/>
      <c r="AK76" s="91"/>
      <c r="AL76" s="92"/>
      <c r="AM76" s="91"/>
      <c r="AN76" s="92"/>
      <c r="AO76" s="91"/>
      <c r="AP76" s="92"/>
      <c r="AQ76" s="91"/>
    </row>
    <row r="77" spans="1:43" x14ac:dyDescent="0.25">
      <c r="A77" s="243">
        <v>806686</v>
      </c>
      <c r="B77" s="244" t="s">
        <v>70</v>
      </c>
      <c r="C77" s="121">
        <v>320.48</v>
      </c>
      <c r="D77" s="121">
        <f t="shared" si="33"/>
        <v>320.48</v>
      </c>
      <c r="E77" s="429">
        <f t="shared" si="34"/>
        <v>297.01</v>
      </c>
      <c r="F77" s="121">
        <f t="shared" si="34"/>
        <v>297.01</v>
      </c>
      <c r="G77" s="121">
        <f t="shared" si="33"/>
        <v>297.01</v>
      </c>
      <c r="H77" s="121">
        <f t="shared" si="33"/>
        <v>297.01</v>
      </c>
      <c r="I77" s="121">
        <f t="shared" si="33"/>
        <v>297.01</v>
      </c>
      <c r="J77" s="121">
        <f t="shared" si="33"/>
        <v>297.01</v>
      </c>
      <c r="K77" s="121">
        <f t="shared" si="33"/>
        <v>297.01</v>
      </c>
      <c r="L77" s="121">
        <f t="shared" si="33"/>
        <v>297.01</v>
      </c>
      <c r="M77" s="121">
        <f t="shared" si="33"/>
        <v>297.01</v>
      </c>
      <c r="N77" s="121">
        <f t="shared" si="33"/>
        <v>297.01</v>
      </c>
      <c r="O77" s="296">
        <f t="shared" si="33"/>
        <v>297.01</v>
      </c>
      <c r="P77" s="399">
        <f t="shared" si="35"/>
        <v>298.96583333333342</v>
      </c>
      <c r="Q77" s="308"/>
      <c r="R77" s="229">
        <f>+FRIGARSA!H7</f>
        <v>47</v>
      </c>
      <c r="S77" s="91">
        <f t="shared" si="36"/>
        <v>15062.560000000001</v>
      </c>
      <c r="T77" s="229">
        <f>+FRIGARSA!M7</f>
        <v>47</v>
      </c>
      <c r="U77" s="91">
        <f t="shared" si="37"/>
        <v>13959.47</v>
      </c>
      <c r="V77" s="229">
        <f>+FRIGARSA!R7</f>
        <v>47</v>
      </c>
      <c r="W77" s="91">
        <f t="shared" si="38"/>
        <v>13959.47</v>
      </c>
      <c r="X77" s="229">
        <f>+FRIGARSA!W7</f>
        <v>47</v>
      </c>
      <c r="Y77" s="91">
        <f t="shared" si="39"/>
        <v>13959.47</v>
      </c>
      <c r="Z77" s="229">
        <f>+FRIGARSA!AB7</f>
        <v>47</v>
      </c>
      <c r="AA77" s="91">
        <f t="shared" si="40"/>
        <v>13959.47</v>
      </c>
      <c r="AB77" s="92"/>
      <c r="AC77" s="91"/>
      <c r="AD77" s="92"/>
      <c r="AE77" s="91"/>
      <c r="AF77" s="92"/>
      <c r="AG77" s="91"/>
      <c r="AH77" s="92"/>
      <c r="AI77" s="91"/>
      <c r="AJ77" s="92"/>
      <c r="AK77" s="91"/>
      <c r="AL77" s="92"/>
      <c r="AM77" s="91"/>
      <c r="AN77" s="92"/>
      <c r="AO77" s="91"/>
      <c r="AP77" s="92"/>
      <c r="AQ77" s="91"/>
    </row>
    <row r="78" spans="1:43" x14ac:dyDescent="0.25">
      <c r="A78" s="243">
        <v>804109</v>
      </c>
      <c r="B78" s="244" t="s">
        <v>71</v>
      </c>
      <c r="C78" s="121">
        <v>424.92</v>
      </c>
      <c r="D78" s="121">
        <f t="shared" si="33"/>
        <v>424.92</v>
      </c>
      <c r="E78" s="429">
        <f t="shared" si="34"/>
        <v>361.2</v>
      </c>
      <c r="F78" s="429">
        <f t="shared" si="34"/>
        <v>370.16</v>
      </c>
      <c r="G78" s="121">
        <f t="shared" si="33"/>
        <v>370.16</v>
      </c>
      <c r="H78" s="121">
        <f t="shared" si="33"/>
        <v>370.16</v>
      </c>
      <c r="I78" s="121">
        <f t="shared" si="33"/>
        <v>370.16</v>
      </c>
      <c r="J78" s="121">
        <f t="shared" si="33"/>
        <v>370.16</v>
      </c>
      <c r="K78" s="121">
        <f t="shared" si="33"/>
        <v>370.16</v>
      </c>
      <c r="L78" s="121">
        <f t="shared" si="33"/>
        <v>370.16</v>
      </c>
      <c r="M78" s="121">
        <f t="shared" si="33"/>
        <v>370.16</v>
      </c>
      <c r="N78" s="121">
        <f t="shared" si="33"/>
        <v>370.16</v>
      </c>
      <c r="O78" s="296">
        <f t="shared" si="33"/>
        <v>370.16</v>
      </c>
      <c r="P78" s="399">
        <f t="shared" si="35"/>
        <v>373.97666666666663</v>
      </c>
      <c r="Q78" s="308"/>
      <c r="R78" s="229">
        <f>+FRIGARSA!H8</f>
        <v>67.5</v>
      </c>
      <c r="S78" s="91">
        <f t="shared" si="36"/>
        <v>28682.100000000002</v>
      </c>
      <c r="T78" s="229">
        <f>+FRIGARSA!M8</f>
        <v>6.5</v>
      </c>
      <c r="U78" s="91">
        <f t="shared" si="37"/>
        <v>2347.7999999999997</v>
      </c>
      <c r="V78" s="229">
        <f>+FRIGARSA!R8</f>
        <v>6.5</v>
      </c>
      <c r="W78" s="91">
        <f t="shared" si="38"/>
        <v>2406.04</v>
      </c>
      <c r="X78" s="229">
        <f>+FRIGARSA!W8</f>
        <v>6.5</v>
      </c>
      <c r="Y78" s="91">
        <f t="shared" si="39"/>
        <v>2406.04</v>
      </c>
      <c r="Z78" s="229">
        <f>+FRIGARSA!AB8</f>
        <v>6.5</v>
      </c>
      <c r="AA78" s="91">
        <f t="shared" si="40"/>
        <v>2406.04</v>
      </c>
      <c r="AB78" s="92"/>
      <c r="AC78" s="91"/>
      <c r="AD78" s="92"/>
      <c r="AE78" s="91"/>
      <c r="AF78" s="92"/>
      <c r="AG78" s="91"/>
      <c r="AH78" s="92"/>
      <c r="AI78" s="91"/>
      <c r="AJ78" s="92"/>
      <c r="AK78" s="91"/>
      <c r="AL78" s="92"/>
      <c r="AM78" s="91"/>
      <c r="AN78" s="92"/>
      <c r="AO78" s="91"/>
      <c r="AP78" s="92"/>
      <c r="AQ78" s="91"/>
    </row>
    <row r="79" spans="1:43" x14ac:dyDescent="0.25">
      <c r="A79" s="243">
        <v>806980</v>
      </c>
      <c r="B79" s="244" t="s">
        <v>72</v>
      </c>
      <c r="C79" s="121">
        <v>371.47</v>
      </c>
      <c r="D79" s="121">
        <f t="shared" si="33"/>
        <v>371.47</v>
      </c>
      <c r="E79" s="429">
        <f t="shared" si="34"/>
        <v>314.14</v>
      </c>
      <c r="F79" s="121">
        <f t="shared" si="34"/>
        <v>314.14</v>
      </c>
      <c r="G79" s="121">
        <f t="shared" si="33"/>
        <v>314.14</v>
      </c>
      <c r="H79" s="121">
        <f t="shared" si="33"/>
        <v>314.14</v>
      </c>
      <c r="I79" s="121">
        <f t="shared" si="33"/>
        <v>314.14</v>
      </c>
      <c r="J79" s="121">
        <f t="shared" si="33"/>
        <v>314.14</v>
      </c>
      <c r="K79" s="121">
        <f t="shared" si="33"/>
        <v>314.14</v>
      </c>
      <c r="L79" s="121">
        <f t="shared" si="33"/>
        <v>314.14</v>
      </c>
      <c r="M79" s="121">
        <f t="shared" si="33"/>
        <v>314.14</v>
      </c>
      <c r="N79" s="121">
        <f t="shared" si="33"/>
        <v>314.14</v>
      </c>
      <c r="O79" s="296">
        <f t="shared" si="33"/>
        <v>314.14</v>
      </c>
      <c r="P79" s="399">
        <f t="shared" si="35"/>
        <v>318.9174999999999</v>
      </c>
      <c r="Q79" s="308"/>
      <c r="R79" s="229">
        <f>+FRIGARSA!H9</f>
        <v>69</v>
      </c>
      <c r="S79" s="91">
        <f t="shared" si="36"/>
        <v>25631.43</v>
      </c>
      <c r="T79" s="229">
        <f>+FRIGARSA!M9</f>
        <v>9</v>
      </c>
      <c r="U79" s="91">
        <f t="shared" si="37"/>
        <v>2827.2599999999998</v>
      </c>
      <c r="V79" s="229">
        <f>+FRIGARSA!R9</f>
        <v>2</v>
      </c>
      <c r="W79" s="91">
        <f t="shared" si="38"/>
        <v>628.28</v>
      </c>
      <c r="X79" s="229">
        <f>+FRIGARSA!W9</f>
        <v>2</v>
      </c>
      <c r="Y79" s="91">
        <f t="shared" si="39"/>
        <v>628.28</v>
      </c>
      <c r="Z79" s="229">
        <f>+FRIGARSA!AB9</f>
        <v>2</v>
      </c>
      <c r="AA79" s="91">
        <f t="shared" si="40"/>
        <v>628.28</v>
      </c>
      <c r="AB79" s="92"/>
      <c r="AC79" s="91"/>
      <c r="AD79" s="92"/>
      <c r="AE79" s="91"/>
      <c r="AF79" s="92"/>
      <c r="AG79" s="91"/>
      <c r="AH79" s="92"/>
      <c r="AI79" s="91"/>
      <c r="AJ79" s="92"/>
      <c r="AK79" s="91"/>
      <c r="AL79" s="92"/>
      <c r="AM79" s="91"/>
      <c r="AN79" s="92"/>
      <c r="AO79" s="91"/>
      <c r="AP79" s="92"/>
      <c r="AQ79" s="91"/>
    </row>
    <row r="80" spans="1:43" x14ac:dyDescent="0.25">
      <c r="A80" s="243">
        <v>806982</v>
      </c>
      <c r="B80" s="244" t="s">
        <v>73</v>
      </c>
      <c r="C80" s="121">
        <v>346.77</v>
      </c>
      <c r="D80" s="121">
        <f t="shared" si="33"/>
        <v>346.77</v>
      </c>
      <c r="E80" s="121">
        <f t="shared" si="34"/>
        <v>346.77</v>
      </c>
      <c r="F80" s="429">
        <f t="shared" si="34"/>
        <v>337.55</v>
      </c>
      <c r="G80" s="121">
        <f t="shared" si="33"/>
        <v>337.55</v>
      </c>
      <c r="H80" s="121">
        <f t="shared" si="33"/>
        <v>337.55</v>
      </c>
      <c r="I80" s="121">
        <f t="shared" si="33"/>
        <v>337.55</v>
      </c>
      <c r="J80" s="121">
        <f t="shared" si="33"/>
        <v>337.55</v>
      </c>
      <c r="K80" s="121">
        <f t="shared" si="33"/>
        <v>337.55</v>
      </c>
      <c r="L80" s="121">
        <f t="shared" si="33"/>
        <v>337.55</v>
      </c>
      <c r="M80" s="121">
        <f t="shared" si="33"/>
        <v>337.55</v>
      </c>
      <c r="N80" s="121">
        <f t="shared" si="33"/>
        <v>337.55</v>
      </c>
      <c r="O80" s="296">
        <f t="shared" si="33"/>
        <v>337.55</v>
      </c>
      <c r="P80" s="399">
        <f t="shared" si="35"/>
        <v>339.08666666666676</v>
      </c>
      <c r="Q80" s="308"/>
      <c r="R80" s="229">
        <f>+FRIGARSA!H10</f>
        <v>95</v>
      </c>
      <c r="S80" s="91">
        <f t="shared" si="36"/>
        <v>32943.15</v>
      </c>
      <c r="T80" s="229">
        <f>+FRIGARSA!M10</f>
        <v>45</v>
      </c>
      <c r="U80" s="91">
        <f t="shared" si="37"/>
        <v>15604.65</v>
      </c>
      <c r="V80" s="229">
        <f>+FRIGARSA!R10</f>
        <v>37</v>
      </c>
      <c r="W80" s="91">
        <f t="shared" si="38"/>
        <v>12489.35</v>
      </c>
      <c r="X80" s="229">
        <f>+FRIGARSA!W10</f>
        <v>37</v>
      </c>
      <c r="Y80" s="91">
        <f t="shared" si="39"/>
        <v>12489.35</v>
      </c>
      <c r="Z80" s="229">
        <f>+FRIGARSA!AB10</f>
        <v>37</v>
      </c>
      <c r="AA80" s="91">
        <f t="shared" si="40"/>
        <v>12489.35</v>
      </c>
      <c r="AB80" s="92"/>
      <c r="AC80" s="91"/>
      <c r="AD80" s="92"/>
      <c r="AE80" s="91"/>
      <c r="AF80" s="92"/>
      <c r="AG80" s="91"/>
      <c r="AH80" s="92"/>
      <c r="AI80" s="91"/>
      <c r="AJ80" s="92"/>
      <c r="AK80" s="91"/>
      <c r="AL80" s="92"/>
      <c r="AM80" s="91"/>
      <c r="AN80" s="92"/>
      <c r="AO80" s="91"/>
      <c r="AP80" s="92"/>
      <c r="AQ80" s="91"/>
    </row>
    <row r="81" spans="1:43" x14ac:dyDescent="0.25">
      <c r="A81" s="243">
        <v>260612</v>
      </c>
      <c r="B81" s="244" t="s">
        <v>74</v>
      </c>
      <c r="C81" s="121">
        <v>298.86</v>
      </c>
      <c r="D81" s="121">
        <f t="shared" si="33"/>
        <v>298.86</v>
      </c>
      <c r="E81" s="121">
        <f t="shared" si="34"/>
        <v>298.86</v>
      </c>
      <c r="F81" s="121">
        <f t="shared" si="34"/>
        <v>298.86</v>
      </c>
      <c r="G81" s="121">
        <f t="shared" si="33"/>
        <v>298.86</v>
      </c>
      <c r="H81" s="121">
        <f t="shared" si="33"/>
        <v>298.86</v>
      </c>
      <c r="I81" s="121">
        <f t="shared" si="33"/>
        <v>298.86</v>
      </c>
      <c r="J81" s="121">
        <f t="shared" si="33"/>
        <v>298.86</v>
      </c>
      <c r="K81" s="121">
        <f t="shared" si="33"/>
        <v>298.86</v>
      </c>
      <c r="L81" s="121">
        <f t="shared" si="33"/>
        <v>298.86</v>
      </c>
      <c r="M81" s="121">
        <f t="shared" si="33"/>
        <v>298.86</v>
      </c>
      <c r="N81" s="121">
        <f t="shared" si="33"/>
        <v>298.86</v>
      </c>
      <c r="O81" s="296">
        <f t="shared" si="33"/>
        <v>298.86</v>
      </c>
      <c r="P81" s="399">
        <f t="shared" si="35"/>
        <v>298.86000000000007</v>
      </c>
      <c r="Q81" s="308"/>
      <c r="R81" s="229">
        <f>+FRIGARSA!H11</f>
        <v>67</v>
      </c>
      <c r="S81" s="91">
        <f t="shared" si="36"/>
        <v>20023.620000000003</v>
      </c>
      <c r="T81" s="229">
        <f>+FRIGARSA!M11</f>
        <v>4</v>
      </c>
      <c r="U81" s="91">
        <f t="shared" si="37"/>
        <v>1195.44</v>
      </c>
      <c r="V81" s="229">
        <f>+FRIGARSA!R11</f>
        <v>4</v>
      </c>
      <c r="W81" s="91">
        <f t="shared" si="38"/>
        <v>1195.44</v>
      </c>
      <c r="X81" s="229">
        <f>+FRIGARSA!W11</f>
        <v>4</v>
      </c>
      <c r="Y81" s="91">
        <f t="shared" si="39"/>
        <v>1195.44</v>
      </c>
      <c r="Z81" s="229">
        <f>+FRIGARSA!AB11</f>
        <v>4</v>
      </c>
      <c r="AA81" s="91">
        <f t="shared" si="40"/>
        <v>1195.44</v>
      </c>
      <c r="AB81" s="92"/>
      <c r="AC81" s="91"/>
      <c r="AD81" s="92"/>
      <c r="AE81" s="91"/>
      <c r="AF81" s="92"/>
      <c r="AG81" s="91"/>
      <c r="AH81" s="92"/>
      <c r="AI81" s="91"/>
      <c r="AJ81" s="92"/>
      <c r="AK81" s="91"/>
      <c r="AL81" s="92"/>
      <c r="AM81" s="91"/>
      <c r="AN81" s="92"/>
      <c r="AO81" s="91"/>
      <c r="AP81" s="92"/>
      <c r="AQ81" s="91"/>
    </row>
    <row r="82" spans="1:43" x14ac:dyDescent="0.25">
      <c r="A82" s="243">
        <v>804661</v>
      </c>
      <c r="B82" s="244" t="s">
        <v>75</v>
      </c>
      <c r="C82" s="121">
        <v>329.94</v>
      </c>
      <c r="D82" s="121">
        <f t="shared" si="33"/>
        <v>329.94</v>
      </c>
      <c r="E82" s="121">
        <f t="shared" si="34"/>
        <v>329.94</v>
      </c>
      <c r="F82" s="121">
        <f t="shared" si="34"/>
        <v>329.94</v>
      </c>
      <c r="G82" s="121">
        <f t="shared" si="33"/>
        <v>329.94</v>
      </c>
      <c r="H82" s="121">
        <f t="shared" si="33"/>
        <v>329.94</v>
      </c>
      <c r="I82" s="121">
        <f t="shared" si="33"/>
        <v>329.94</v>
      </c>
      <c r="J82" s="121">
        <f t="shared" si="33"/>
        <v>329.94</v>
      </c>
      <c r="K82" s="121">
        <f t="shared" si="33"/>
        <v>329.94</v>
      </c>
      <c r="L82" s="121">
        <f t="shared" si="33"/>
        <v>329.94</v>
      </c>
      <c r="M82" s="121">
        <f t="shared" si="33"/>
        <v>329.94</v>
      </c>
      <c r="N82" s="121">
        <f t="shared" si="33"/>
        <v>329.94</v>
      </c>
      <c r="O82" s="296">
        <f t="shared" si="33"/>
        <v>329.94</v>
      </c>
      <c r="P82" s="399">
        <f t="shared" si="35"/>
        <v>329.94</v>
      </c>
      <c r="Q82" s="308"/>
      <c r="R82" s="229">
        <f>+FRIGARSA!H12</f>
        <v>613</v>
      </c>
      <c r="S82" s="91">
        <f t="shared" si="36"/>
        <v>202253.22</v>
      </c>
      <c r="T82" s="229">
        <f>+FRIGARSA!M12</f>
        <v>583</v>
      </c>
      <c r="U82" s="91">
        <f t="shared" si="37"/>
        <v>192355.02</v>
      </c>
      <c r="V82" s="229">
        <f>+FRIGARSA!R12</f>
        <v>550</v>
      </c>
      <c r="W82" s="91">
        <f t="shared" si="38"/>
        <v>181467</v>
      </c>
      <c r="X82" s="229">
        <f>+FRIGARSA!W12</f>
        <v>530</v>
      </c>
      <c r="Y82" s="91">
        <f t="shared" si="39"/>
        <v>174868.2</v>
      </c>
      <c r="Z82" s="229">
        <f>+FRIGARSA!AB12</f>
        <v>510</v>
      </c>
      <c r="AA82" s="91">
        <f t="shared" si="40"/>
        <v>168269.4</v>
      </c>
      <c r="AB82" s="92"/>
      <c r="AC82" s="91"/>
      <c r="AD82" s="92"/>
      <c r="AE82" s="91"/>
      <c r="AF82" s="92"/>
      <c r="AG82" s="91"/>
      <c r="AH82" s="92"/>
      <c r="AI82" s="91"/>
      <c r="AJ82" s="92"/>
      <c r="AK82" s="91"/>
      <c r="AL82" s="92"/>
      <c r="AM82" s="91"/>
      <c r="AN82" s="92"/>
      <c r="AO82" s="91"/>
      <c r="AP82" s="92"/>
      <c r="AQ82" s="91"/>
    </row>
    <row r="83" spans="1:43" x14ac:dyDescent="0.25">
      <c r="A83" s="243">
        <v>806702</v>
      </c>
      <c r="B83" s="244" t="s">
        <v>76</v>
      </c>
      <c r="C83" s="121">
        <v>554.39</v>
      </c>
      <c r="D83" s="429">
        <f>+D59</f>
        <v>432.95</v>
      </c>
      <c r="E83" s="121">
        <f t="shared" si="34"/>
        <v>432.95</v>
      </c>
      <c r="F83" s="121">
        <f t="shared" si="34"/>
        <v>432.95</v>
      </c>
      <c r="G83" s="121">
        <f t="shared" si="33"/>
        <v>432.95</v>
      </c>
      <c r="H83" s="121">
        <f t="shared" si="33"/>
        <v>432.95</v>
      </c>
      <c r="I83" s="121">
        <f t="shared" si="33"/>
        <v>432.95</v>
      </c>
      <c r="J83" s="121">
        <f t="shared" si="33"/>
        <v>432.95</v>
      </c>
      <c r="K83" s="121">
        <f t="shared" si="33"/>
        <v>432.95</v>
      </c>
      <c r="L83" s="121">
        <f t="shared" si="33"/>
        <v>432.95</v>
      </c>
      <c r="M83" s="121">
        <f t="shared" si="33"/>
        <v>432.95</v>
      </c>
      <c r="N83" s="121">
        <f t="shared" si="33"/>
        <v>432.95</v>
      </c>
      <c r="O83" s="296">
        <f t="shared" si="33"/>
        <v>432.95</v>
      </c>
      <c r="P83" s="399">
        <f t="shared" si="35"/>
        <v>432.94999999999987</v>
      </c>
      <c r="Q83" s="308"/>
      <c r="R83" s="229">
        <f>+FRIGARSA!H13</f>
        <v>216</v>
      </c>
      <c r="S83" s="91">
        <f t="shared" si="36"/>
        <v>93517.2</v>
      </c>
      <c r="T83" s="229">
        <f>+FRIGARSA!M13</f>
        <v>162</v>
      </c>
      <c r="U83" s="91">
        <f t="shared" si="37"/>
        <v>70137.899999999994</v>
      </c>
      <c r="V83" s="229">
        <f>+FRIGARSA!R13</f>
        <v>105</v>
      </c>
      <c r="W83" s="91">
        <f t="shared" si="38"/>
        <v>45459.75</v>
      </c>
      <c r="X83" s="229">
        <f>+FRIGARSA!W13</f>
        <v>87</v>
      </c>
      <c r="Y83" s="91">
        <f t="shared" si="39"/>
        <v>37666.65</v>
      </c>
      <c r="Z83" s="229">
        <f>+FRIGARSA!AB13</f>
        <v>87</v>
      </c>
      <c r="AA83" s="91">
        <f t="shared" si="40"/>
        <v>37666.65</v>
      </c>
      <c r="AB83" s="92"/>
      <c r="AC83" s="91"/>
      <c r="AD83" s="92"/>
      <c r="AE83" s="91"/>
      <c r="AF83" s="92"/>
      <c r="AG83" s="91"/>
      <c r="AH83" s="92"/>
      <c r="AI83" s="91"/>
      <c r="AJ83" s="92"/>
      <c r="AK83" s="91"/>
      <c r="AL83" s="92"/>
      <c r="AM83" s="91"/>
      <c r="AN83" s="92"/>
      <c r="AO83" s="91"/>
      <c r="AP83" s="92"/>
      <c r="AQ83" s="91"/>
    </row>
    <row r="84" spans="1:43" x14ac:dyDescent="0.25">
      <c r="A84" s="267">
        <v>807769</v>
      </c>
      <c r="B84" s="268" t="s">
        <v>77</v>
      </c>
      <c r="C84" s="121">
        <v>346.43</v>
      </c>
      <c r="D84" s="121">
        <f t="shared" si="33"/>
        <v>346.43</v>
      </c>
      <c r="E84" s="121">
        <f t="shared" si="34"/>
        <v>346.43</v>
      </c>
      <c r="F84" s="121">
        <f t="shared" si="34"/>
        <v>346.43</v>
      </c>
      <c r="G84" s="121">
        <f t="shared" si="33"/>
        <v>346.43</v>
      </c>
      <c r="H84" s="121">
        <f t="shared" si="33"/>
        <v>346.43</v>
      </c>
      <c r="I84" s="121">
        <f t="shared" si="33"/>
        <v>346.43</v>
      </c>
      <c r="J84" s="121">
        <f t="shared" si="33"/>
        <v>346.43</v>
      </c>
      <c r="K84" s="121">
        <f t="shared" si="33"/>
        <v>346.43</v>
      </c>
      <c r="L84" s="121">
        <f t="shared" si="33"/>
        <v>346.43</v>
      </c>
      <c r="M84" s="121">
        <f t="shared" si="33"/>
        <v>346.43</v>
      </c>
      <c r="N84" s="121">
        <f t="shared" si="33"/>
        <v>346.43</v>
      </c>
      <c r="O84" s="296">
        <f t="shared" si="33"/>
        <v>346.43</v>
      </c>
      <c r="P84" s="399">
        <f t="shared" si="35"/>
        <v>346.42999999999989</v>
      </c>
      <c r="Q84" s="308"/>
      <c r="R84" s="229">
        <f>+FRIGARSA!H14</f>
        <v>229</v>
      </c>
      <c r="S84" s="91">
        <f t="shared" si="36"/>
        <v>79332.47</v>
      </c>
      <c r="T84" s="229">
        <f>+FRIGARSA!M14</f>
        <v>227</v>
      </c>
      <c r="U84" s="91">
        <f t="shared" si="37"/>
        <v>78639.61</v>
      </c>
      <c r="V84" s="229">
        <f>+FRIGARSA!R14</f>
        <v>221</v>
      </c>
      <c r="W84" s="91">
        <f t="shared" si="38"/>
        <v>76561.03</v>
      </c>
      <c r="X84" s="229">
        <f>+FRIGARSA!W14</f>
        <v>219</v>
      </c>
      <c r="Y84" s="91">
        <f t="shared" si="39"/>
        <v>75868.17</v>
      </c>
      <c r="Z84" s="229">
        <f>+FRIGARSA!AB14</f>
        <v>219</v>
      </c>
      <c r="AA84" s="91">
        <f t="shared" si="40"/>
        <v>75868.17</v>
      </c>
      <c r="AB84" s="92"/>
      <c r="AC84" s="91"/>
      <c r="AD84" s="92"/>
      <c r="AE84" s="91"/>
      <c r="AF84" s="92"/>
      <c r="AG84" s="91"/>
      <c r="AH84" s="92"/>
      <c r="AI84" s="91"/>
      <c r="AJ84" s="92"/>
      <c r="AK84" s="91"/>
      <c r="AL84" s="92"/>
      <c r="AM84" s="91"/>
      <c r="AN84" s="92"/>
      <c r="AO84" s="91"/>
      <c r="AP84" s="92"/>
      <c r="AQ84" s="91"/>
    </row>
    <row r="85" spans="1:43" x14ac:dyDescent="0.25">
      <c r="A85" s="243">
        <v>807329</v>
      </c>
      <c r="B85" s="244" t="s">
        <v>78</v>
      </c>
      <c r="C85" s="121">
        <v>356.34</v>
      </c>
      <c r="D85" s="121">
        <f t="shared" si="33"/>
        <v>356.34</v>
      </c>
      <c r="E85" s="121">
        <f t="shared" si="34"/>
        <v>356.34</v>
      </c>
      <c r="F85" s="121">
        <f t="shared" si="34"/>
        <v>356.34</v>
      </c>
      <c r="G85" s="121">
        <f t="shared" si="33"/>
        <v>356.34</v>
      </c>
      <c r="H85" s="121">
        <f t="shared" si="33"/>
        <v>356.34</v>
      </c>
      <c r="I85" s="121">
        <f t="shared" si="33"/>
        <v>356.34</v>
      </c>
      <c r="J85" s="121">
        <f t="shared" si="33"/>
        <v>356.34</v>
      </c>
      <c r="K85" s="121">
        <f t="shared" si="33"/>
        <v>356.34</v>
      </c>
      <c r="L85" s="121">
        <f t="shared" si="33"/>
        <v>356.34</v>
      </c>
      <c r="M85" s="121">
        <f t="shared" si="33"/>
        <v>356.34</v>
      </c>
      <c r="N85" s="121">
        <f t="shared" si="33"/>
        <v>356.34</v>
      </c>
      <c r="O85" s="296">
        <f t="shared" si="33"/>
        <v>356.34</v>
      </c>
      <c r="P85" s="399">
        <f t="shared" si="35"/>
        <v>356.34000000000009</v>
      </c>
      <c r="Q85" s="308"/>
      <c r="R85" s="229">
        <f>+FRIGARSA!H15</f>
        <v>0</v>
      </c>
      <c r="S85" s="91">
        <f t="shared" si="36"/>
        <v>0</v>
      </c>
      <c r="T85" s="229">
        <f>+FRIGARSA!M15</f>
        <v>0</v>
      </c>
      <c r="U85" s="91">
        <f t="shared" si="37"/>
        <v>0</v>
      </c>
      <c r="V85" s="229">
        <f>+FRIGARSA!R15</f>
        <v>0</v>
      </c>
      <c r="W85" s="91">
        <f t="shared" si="38"/>
        <v>0</v>
      </c>
      <c r="X85" s="229">
        <f>+FRIGARSA!W15</f>
        <v>0</v>
      </c>
      <c r="Y85" s="91">
        <f t="shared" si="39"/>
        <v>0</v>
      </c>
      <c r="Z85" s="229">
        <f>+FRIGARSA!AB15</f>
        <v>0</v>
      </c>
      <c r="AA85" s="91">
        <f t="shared" si="40"/>
        <v>0</v>
      </c>
      <c r="AB85" s="92"/>
      <c r="AC85" s="91"/>
      <c r="AD85" s="92"/>
      <c r="AE85" s="91"/>
      <c r="AF85" s="92"/>
      <c r="AG85" s="91"/>
      <c r="AH85" s="92"/>
      <c r="AI85" s="91"/>
      <c r="AJ85" s="92"/>
      <c r="AK85" s="91"/>
      <c r="AL85" s="92"/>
      <c r="AM85" s="91"/>
      <c r="AN85" s="92"/>
      <c r="AO85" s="91"/>
      <c r="AP85" s="92"/>
      <c r="AQ85" s="91"/>
    </row>
    <row r="86" spans="1:43" x14ac:dyDescent="0.25">
      <c r="A86" s="243">
        <v>805411</v>
      </c>
      <c r="B86" s="244" t="s">
        <v>79</v>
      </c>
      <c r="C86" s="121">
        <v>340.91</v>
      </c>
      <c r="D86" s="121">
        <f t="shared" si="33"/>
        <v>340.91</v>
      </c>
      <c r="E86" s="429">
        <f t="shared" si="34"/>
        <v>306.5</v>
      </c>
      <c r="F86" s="121">
        <f t="shared" si="34"/>
        <v>306.5</v>
      </c>
      <c r="G86" s="121">
        <f t="shared" si="33"/>
        <v>306.5</v>
      </c>
      <c r="H86" s="121">
        <f t="shared" si="33"/>
        <v>306.5</v>
      </c>
      <c r="I86" s="121">
        <f t="shared" si="33"/>
        <v>306.5</v>
      </c>
      <c r="J86" s="121">
        <f t="shared" si="33"/>
        <v>306.5</v>
      </c>
      <c r="K86" s="121">
        <f t="shared" si="33"/>
        <v>306.5</v>
      </c>
      <c r="L86" s="121">
        <f t="shared" si="33"/>
        <v>306.5</v>
      </c>
      <c r="M86" s="121">
        <f t="shared" si="33"/>
        <v>306.5</v>
      </c>
      <c r="N86" s="121">
        <f t="shared" si="33"/>
        <v>306.5</v>
      </c>
      <c r="O86" s="296">
        <f t="shared" si="33"/>
        <v>306.5</v>
      </c>
      <c r="P86" s="399">
        <f t="shared" si="35"/>
        <v>309.36750000000001</v>
      </c>
      <c r="Q86" s="308"/>
      <c r="R86" s="229">
        <f>+FRIGARSA!H16</f>
        <v>0</v>
      </c>
      <c r="S86" s="91">
        <f t="shared" si="36"/>
        <v>0</v>
      </c>
      <c r="T86" s="229">
        <f>+FRIGARSA!M16</f>
        <v>0</v>
      </c>
      <c r="U86" s="91">
        <f t="shared" si="37"/>
        <v>0</v>
      </c>
      <c r="V86" s="229">
        <f>+FRIGARSA!R16</f>
        <v>0</v>
      </c>
      <c r="W86" s="91">
        <f t="shared" si="38"/>
        <v>0</v>
      </c>
      <c r="X86" s="229">
        <f>+FRIGARSA!W16</f>
        <v>0</v>
      </c>
      <c r="Y86" s="91">
        <f t="shared" si="39"/>
        <v>0</v>
      </c>
      <c r="Z86" s="229">
        <f>+FRIGARSA!AB16</f>
        <v>0</v>
      </c>
      <c r="AA86" s="91">
        <f t="shared" si="40"/>
        <v>0</v>
      </c>
      <c r="AB86" s="92"/>
      <c r="AC86" s="91"/>
      <c r="AD86" s="92"/>
      <c r="AE86" s="91"/>
      <c r="AF86" s="92"/>
      <c r="AG86" s="91"/>
      <c r="AH86" s="92"/>
      <c r="AI86" s="91"/>
      <c r="AJ86" s="92"/>
      <c r="AK86" s="91"/>
      <c r="AL86" s="92"/>
      <c r="AM86" s="91"/>
      <c r="AN86" s="92"/>
      <c r="AO86" s="91"/>
      <c r="AP86" s="92"/>
      <c r="AQ86" s="91"/>
    </row>
    <row r="87" spans="1:43" x14ac:dyDescent="0.25">
      <c r="A87" s="243">
        <v>807679</v>
      </c>
      <c r="B87" s="244" t="s">
        <v>80</v>
      </c>
      <c r="C87" s="121">
        <v>388.31</v>
      </c>
      <c r="D87" s="121">
        <f t="shared" si="33"/>
        <v>388.31</v>
      </c>
      <c r="E87" s="429">
        <f t="shared" si="34"/>
        <v>363.68</v>
      </c>
      <c r="F87" s="429">
        <f t="shared" si="34"/>
        <v>386.98</v>
      </c>
      <c r="G87" s="121">
        <f t="shared" si="33"/>
        <v>386.98</v>
      </c>
      <c r="H87" s="121">
        <f t="shared" si="33"/>
        <v>386.98</v>
      </c>
      <c r="I87" s="121">
        <f t="shared" si="33"/>
        <v>386.98</v>
      </c>
      <c r="J87" s="121">
        <f t="shared" si="33"/>
        <v>386.98</v>
      </c>
      <c r="K87" s="121">
        <f t="shared" si="33"/>
        <v>386.98</v>
      </c>
      <c r="L87" s="121">
        <f t="shared" si="33"/>
        <v>386.98</v>
      </c>
      <c r="M87" s="121">
        <f t="shared" si="33"/>
        <v>386.98</v>
      </c>
      <c r="N87" s="121">
        <f t="shared" si="33"/>
        <v>386.98</v>
      </c>
      <c r="O87" s="296">
        <f t="shared" si="33"/>
        <v>386.98</v>
      </c>
      <c r="P87" s="399">
        <f t="shared" si="35"/>
        <v>385.14916666666659</v>
      </c>
      <c r="Q87" s="308"/>
      <c r="R87" s="229">
        <f>+FRIGARSA!H17</f>
        <v>0</v>
      </c>
      <c r="S87" s="91">
        <f t="shared" si="36"/>
        <v>0</v>
      </c>
      <c r="T87" s="229">
        <f>+FRIGARSA!M17</f>
        <v>0</v>
      </c>
      <c r="U87" s="91">
        <f t="shared" si="37"/>
        <v>0</v>
      </c>
      <c r="V87" s="229">
        <f>+FRIGARSA!R17</f>
        <v>0</v>
      </c>
      <c r="W87" s="91">
        <f t="shared" si="38"/>
        <v>0</v>
      </c>
      <c r="X87" s="229">
        <f>+FRIGARSA!W17</f>
        <v>0</v>
      </c>
      <c r="Y87" s="91">
        <f t="shared" si="39"/>
        <v>0</v>
      </c>
      <c r="Z87" s="229">
        <f>+FRIGARSA!AB17</f>
        <v>0</v>
      </c>
      <c r="AA87" s="91">
        <f t="shared" si="40"/>
        <v>0</v>
      </c>
      <c r="AB87" s="92"/>
      <c r="AC87" s="91"/>
      <c r="AD87" s="92"/>
      <c r="AE87" s="91"/>
      <c r="AF87" s="92"/>
      <c r="AG87" s="91"/>
      <c r="AH87" s="92"/>
      <c r="AI87" s="91"/>
      <c r="AJ87" s="92"/>
      <c r="AK87" s="91"/>
      <c r="AL87" s="92"/>
      <c r="AM87" s="91"/>
      <c r="AN87" s="92"/>
      <c r="AO87" s="91"/>
      <c r="AP87" s="92"/>
      <c r="AQ87" s="91"/>
    </row>
    <row r="88" spans="1:43" x14ac:dyDescent="0.25">
      <c r="A88" s="243">
        <v>805168</v>
      </c>
      <c r="B88" s="244" t="s">
        <v>81</v>
      </c>
      <c r="C88" s="121">
        <v>608.67999999999995</v>
      </c>
      <c r="D88" s="121">
        <f t="shared" si="33"/>
        <v>608.67999999999995</v>
      </c>
      <c r="E88" s="121">
        <f t="shared" si="34"/>
        <v>608.67999999999995</v>
      </c>
      <c r="F88" s="121">
        <f t="shared" si="34"/>
        <v>608.67999999999995</v>
      </c>
      <c r="G88" s="121">
        <f t="shared" si="33"/>
        <v>608.67999999999995</v>
      </c>
      <c r="H88" s="121">
        <f t="shared" si="33"/>
        <v>608.67999999999995</v>
      </c>
      <c r="I88" s="121">
        <f t="shared" si="33"/>
        <v>608.67999999999995</v>
      </c>
      <c r="J88" s="121">
        <f t="shared" si="33"/>
        <v>608.67999999999995</v>
      </c>
      <c r="K88" s="121">
        <f t="shared" si="33"/>
        <v>608.67999999999995</v>
      </c>
      <c r="L88" s="121">
        <f t="shared" si="33"/>
        <v>608.67999999999995</v>
      </c>
      <c r="M88" s="121">
        <f t="shared" si="33"/>
        <v>608.67999999999995</v>
      </c>
      <c r="N88" s="121">
        <f t="shared" si="33"/>
        <v>608.67999999999995</v>
      </c>
      <c r="O88" s="296">
        <f t="shared" si="33"/>
        <v>608.67999999999995</v>
      </c>
      <c r="P88" s="399">
        <f t="shared" si="35"/>
        <v>608.68000000000006</v>
      </c>
      <c r="Q88" s="308"/>
      <c r="R88" s="229">
        <f>+FRIGARSA!H18</f>
        <v>0</v>
      </c>
      <c r="S88" s="91">
        <f t="shared" si="36"/>
        <v>0</v>
      </c>
      <c r="T88" s="229">
        <f>+FRIGARSA!M18</f>
        <v>0</v>
      </c>
      <c r="U88" s="91">
        <f t="shared" si="37"/>
        <v>0</v>
      </c>
      <c r="V88" s="229">
        <f>+FRIGARSA!R18</f>
        <v>0</v>
      </c>
      <c r="W88" s="91">
        <f t="shared" si="38"/>
        <v>0</v>
      </c>
      <c r="X88" s="229">
        <f>+FRIGARSA!W18</f>
        <v>0</v>
      </c>
      <c r="Y88" s="91">
        <f t="shared" si="39"/>
        <v>0</v>
      </c>
      <c r="Z88" s="229">
        <f>+FRIGARSA!AB18</f>
        <v>0</v>
      </c>
      <c r="AA88" s="91">
        <f t="shared" si="40"/>
        <v>0</v>
      </c>
      <c r="AB88" s="92"/>
      <c r="AC88" s="91"/>
      <c r="AD88" s="92"/>
      <c r="AE88" s="91"/>
      <c r="AF88" s="92"/>
      <c r="AG88" s="91"/>
      <c r="AH88" s="92"/>
      <c r="AI88" s="91"/>
      <c r="AJ88" s="92"/>
      <c r="AK88" s="91"/>
      <c r="AL88" s="92"/>
      <c r="AM88" s="91"/>
      <c r="AN88" s="92"/>
      <c r="AO88" s="91"/>
      <c r="AP88" s="92"/>
      <c r="AQ88" s="91"/>
    </row>
    <row r="89" spans="1:43" x14ac:dyDescent="0.25">
      <c r="A89" s="243">
        <v>807363</v>
      </c>
      <c r="B89" s="244" t="s">
        <v>82</v>
      </c>
      <c r="C89" s="121">
        <v>357.28</v>
      </c>
      <c r="D89" s="121">
        <f t="shared" si="33"/>
        <v>357.28</v>
      </c>
      <c r="E89" s="121">
        <f t="shared" si="34"/>
        <v>357.28</v>
      </c>
      <c r="F89" s="121">
        <f t="shared" si="34"/>
        <v>357.28</v>
      </c>
      <c r="G89" s="121">
        <f t="shared" si="33"/>
        <v>357.28</v>
      </c>
      <c r="H89" s="121">
        <f t="shared" si="33"/>
        <v>357.28</v>
      </c>
      <c r="I89" s="121">
        <f t="shared" si="33"/>
        <v>357.28</v>
      </c>
      <c r="J89" s="121">
        <f t="shared" si="33"/>
        <v>357.28</v>
      </c>
      <c r="K89" s="121">
        <f t="shared" si="33"/>
        <v>357.28</v>
      </c>
      <c r="L89" s="121">
        <f t="shared" si="33"/>
        <v>357.28</v>
      </c>
      <c r="M89" s="121">
        <f t="shared" si="33"/>
        <v>357.28</v>
      </c>
      <c r="N89" s="121">
        <f t="shared" si="33"/>
        <v>357.28</v>
      </c>
      <c r="O89" s="296">
        <f t="shared" si="33"/>
        <v>357.28</v>
      </c>
      <c r="P89" s="399">
        <f t="shared" si="35"/>
        <v>357.27999999999992</v>
      </c>
      <c r="Q89" s="308"/>
      <c r="R89" s="229">
        <f>+FRIGARSA!H19</f>
        <v>0</v>
      </c>
      <c r="S89" s="91">
        <f t="shared" si="36"/>
        <v>0</v>
      </c>
      <c r="T89" s="229">
        <f>+FRIGARSA!M19</f>
        <v>0</v>
      </c>
      <c r="U89" s="91">
        <f t="shared" si="37"/>
        <v>0</v>
      </c>
      <c r="V89" s="229">
        <f>+FRIGARSA!R19</f>
        <v>0</v>
      </c>
      <c r="W89" s="91">
        <f t="shared" si="38"/>
        <v>0</v>
      </c>
      <c r="X89" s="229">
        <f>+FRIGARSA!W19</f>
        <v>0</v>
      </c>
      <c r="Y89" s="91">
        <f t="shared" si="39"/>
        <v>0</v>
      </c>
      <c r="Z89" s="229">
        <f>+FRIGARSA!AB19</f>
        <v>0</v>
      </c>
      <c r="AA89" s="91">
        <f t="shared" si="40"/>
        <v>0</v>
      </c>
      <c r="AB89" s="92"/>
      <c r="AC89" s="91"/>
      <c r="AD89" s="92"/>
      <c r="AE89" s="91"/>
      <c r="AF89" s="92"/>
      <c r="AG89" s="91"/>
      <c r="AH89" s="92"/>
      <c r="AI89" s="91"/>
      <c r="AJ89" s="92"/>
      <c r="AK89" s="91"/>
      <c r="AL89" s="92"/>
      <c r="AM89" s="91"/>
      <c r="AN89" s="92"/>
      <c r="AO89" s="91"/>
      <c r="AP89" s="92"/>
      <c r="AQ89" s="91"/>
    </row>
    <row r="90" spans="1:43" ht="16.5" thickBot="1" x14ac:dyDescent="0.3">
      <c r="A90" s="263">
        <v>809529</v>
      </c>
      <c r="B90" s="264" t="s">
        <v>83</v>
      </c>
      <c r="C90" s="121">
        <v>353.79</v>
      </c>
      <c r="D90" s="121">
        <f t="shared" si="33"/>
        <v>353.79</v>
      </c>
      <c r="E90" s="121">
        <f t="shared" si="34"/>
        <v>353.79</v>
      </c>
      <c r="F90" s="121">
        <f t="shared" si="34"/>
        <v>353.79</v>
      </c>
      <c r="G90" s="121">
        <f t="shared" si="33"/>
        <v>353.79</v>
      </c>
      <c r="H90" s="121">
        <f t="shared" si="33"/>
        <v>353.79</v>
      </c>
      <c r="I90" s="121">
        <f t="shared" si="33"/>
        <v>353.79</v>
      </c>
      <c r="J90" s="121">
        <f t="shared" si="33"/>
        <v>353.79</v>
      </c>
      <c r="K90" s="121">
        <f t="shared" si="33"/>
        <v>353.79</v>
      </c>
      <c r="L90" s="121">
        <f t="shared" si="33"/>
        <v>353.79</v>
      </c>
      <c r="M90" s="121">
        <f t="shared" si="33"/>
        <v>353.79</v>
      </c>
      <c r="N90" s="121">
        <f t="shared" si="33"/>
        <v>353.79</v>
      </c>
      <c r="O90" s="296">
        <f t="shared" si="33"/>
        <v>353.79</v>
      </c>
      <c r="P90" s="399">
        <f t="shared" si="35"/>
        <v>353.79</v>
      </c>
      <c r="Q90" s="308"/>
      <c r="R90" s="229">
        <f>+FRIGARSA!H20</f>
        <v>0</v>
      </c>
      <c r="S90" s="91">
        <f t="shared" si="36"/>
        <v>0</v>
      </c>
      <c r="T90" s="229">
        <f>+FRIGARSA!M20</f>
        <v>0</v>
      </c>
      <c r="U90" s="91">
        <f t="shared" si="37"/>
        <v>0</v>
      </c>
      <c r="V90" s="229">
        <f>+FRIGARSA!R20</f>
        <v>0</v>
      </c>
      <c r="W90" s="91">
        <f t="shared" si="38"/>
        <v>0</v>
      </c>
      <c r="X90" s="229">
        <f>+FRIGARSA!W20</f>
        <v>0</v>
      </c>
      <c r="Y90" s="91">
        <f t="shared" si="39"/>
        <v>0</v>
      </c>
      <c r="Z90" s="229">
        <f>+FRIGARSA!AB20</f>
        <v>0</v>
      </c>
      <c r="AA90" s="91">
        <f t="shared" si="40"/>
        <v>0</v>
      </c>
      <c r="AB90" s="92"/>
      <c r="AC90" s="91"/>
      <c r="AD90" s="92"/>
      <c r="AE90" s="91"/>
      <c r="AF90" s="92"/>
      <c r="AG90" s="91"/>
      <c r="AH90" s="92"/>
      <c r="AI90" s="91"/>
      <c r="AJ90" s="92"/>
      <c r="AK90" s="91"/>
      <c r="AL90" s="92"/>
      <c r="AM90" s="91"/>
      <c r="AN90" s="92"/>
      <c r="AO90" s="91"/>
      <c r="AP90" s="92"/>
      <c r="AQ90" s="91"/>
    </row>
    <row r="91" spans="1:43" hidden="1" x14ac:dyDescent="0.25">
      <c r="A91" s="263"/>
      <c r="B91" s="264"/>
      <c r="C91" s="121"/>
      <c r="D91" s="121">
        <f t="shared" si="33"/>
        <v>0</v>
      </c>
      <c r="E91" s="121">
        <f t="shared" si="34"/>
        <v>0</v>
      </c>
      <c r="F91" s="121">
        <f t="shared" si="34"/>
        <v>0</v>
      </c>
      <c r="G91" s="121">
        <f t="shared" si="33"/>
        <v>0</v>
      </c>
      <c r="H91" s="121">
        <f t="shared" si="33"/>
        <v>0</v>
      </c>
      <c r="I91" s="121">
        <f t="shared" si="33"/>
        <v>0</v>
      </c>
      <c r="J91" s="121">
        <f t="shared" si="33"/>
        <v>0</v>
      </c>
      <c r="K91" s="121">
        <f t="shared" si="33"/>
        <v>0</v>
      </c>
      <c r="L91" s="121">
        <f t="shared" si="33"/>
        <v>0</v>
      </c>
      <c r="M91" s="121">
        <f t="shared" si="33"/>
        <v>0</v>
      </c>
      <c r="N91" s="121">
        <f t="shared" si="33"/>
        <v>0</v>
      </c>
      <c r="O91" s="296">
        <f t="shared" si="33"/>
        <v>0</v>
      </c>
      <c r="P91" s="399">
        <f t="shared" si="35"/>
        <v>0</v>
      </c>
      <c r="Q91" s="308"/>
      <c r="R91" s="229"/>
      <c r="S91" s="91"/>
      <c r="T91" s="92"/>
      <c r="U91" s="91"/>
      <c r="V91" s="92"/>
      <c r="W91" s="91"/>
      <c r="X91" s="92"/>
      <c r="Y91" s="91"/>
      <c r="Z91" s="92"/>
      <c r="AA91" s="91"/>
      <c r="AB91" s="92"/>
      <c r="AC91" s="91"/>
      <c r="AD91" s="92"/>
      <c r="AE91" s="91"/>
      <c r="AF91" s="92"/>
      <c r="AG91" s="91"/>
      <c r="AH91" s="92"/>
      <c r="AI91" s="91"/>
      <c r="AJ91" s="92"/>
      <c r="AK91" s="91"/>
      <c r="AL91" s="92"/>
      <c r="AM91" s="91"/>
      <c r="AN91" s="92"/>
      <c r="AO91" s="91"/>
      <c r="AP91" s="92"/>
      <c r="AQ91" s="91"/>
    </row>
    <row r="92" spans="1:43" hidden="1" x14ac:dyDescent="0.25">
      <c r="A92" s="243"/>
      <c r="B92" s="244"/>
      <c r="C92" s="121"/>
      <c r="D92" s="121">
        <f t="shared" si="33"/>
        <v>0</v>
      </c>
      <c r="E92" s="121">
        <f t="shared" si="34"/>
        <v>0</v>
      </c>
      <c r="F92" s="121">
        <f t="shared" si="34"/>
        <v>0</v>
      </c>
      <c r="G92" s="121">
        <f t="shared" si="33"/>
        <v>0</v>
      </c>
      <c r="H92" s="121">
        <f t="shared" si="33"/>
        <v>0</v>
      </c>
      <c r="I92" s="121">
        <f t="shared" si="33"/>
        <v>0</v>
      </c>
      <c r="J92" s="121">
        <f t="shared" si="33"/>
        <v>0</v>
      </c>
      <c r="K92" s="121">
        <f t="shared" si="33"/>
        <v>0</v>
      </c>
      <c r="L92" s="121">
        <f t="shared" si="33"/>
        <v>0</v>
      </c>
      <c r="M92" s="121">
        <f t="shared" si="33"/>
        <v>0</v>
      </c>
      <c r="N92" s="121">
        <f t="shared" si="33"/>
        <v>0</v>
      </c>
      <c r="O92" s="296">
        <f t="shared" si="33"/>
        <v>0</v>
      </c>
      <c r="P92" s="399">
        <f t="shared" si="35"/>
        <v>0</v>
      </c>
      <c r="Q92" s="308"/>
      <c r="R92" s="229"/>
      <c r="S92" s="91"/>
      <c r="T92" s="92"/>
      <c r="U92" s="91"/>
      <c r="V92" s="92"/>
      <c r="W92" s="91"/>
      <c r="X92" s="92"/>
      <c r="Y92" s="91"/>
      <c r="Z92" s="92"/>
      <c r="AA92" s="91"/>
      <c r="AB92" s="92"/>
      <c r="AC92" s="91"/>
      <c r="AD92" s="92"/>
      <c r="AE92" s="91"/>
      <c r="AF92" s="92"/>
      <c r="AG92" s="91"/>
      <c r="AH92" s="92"/>
      <c r="AI92" s="91"/>
      <c r="AJ92" s="92"/>
      <c r="AK92" s="91"/>
      <c r="AL92" s="92"/>
      <c r="AM92" s="91"/>
      <c r="AN92" s="92"/>
      <c r="AO92" s="91"/>
      <c r="AP92" s="92"/>
      <c r="AQ92" s="91"/>
    </row>
    <row r="93" spans="1:43" ht="16.5" hidden="1" thickBot="1" x14ac:dyDescent="0.3">
      <c r="A93" s="243"/>
      <c r="B93" s="244"/>
      <c r="C93" s="121"/>
      <c r="D93" s="121">
        <f t="shared" si="33"/>
        <v>0</v>
      </c>
      <c r="E93" s="121">
        <f t="shared" si="34"/>
        <v>0</v>
      </c>
      <c r="F93" s="121">
        <f t="shared" si="34"/>
        <v>0</v>
      </c>
      <c r="G93" s="121">
        <f t="shared" si="33"/>
        <v>0</v>
      </c>
      <c r="H93" s="121">
        <f t="shared" si="33"/>
        <v>0</v>
      </c>
      <c r="I93" s="121">
        <f t="shared" si="33"/>
        <v>0</v>
      </c>
      <c r="J93" s="121">
        <f t="shared" si="33"/>
        <v>0</v>
      </c>
      <c r="K93" s="121">
        <f t="shared" si="33"/>
        <v>0</v>
      </c>
      <c r="L93" s="121">
        <f t="shared" si="33"/>
        <v>0</v>
      </c>
      <c r="M93" s="121">
        <f t="shared" si="33"/>
        <v>0</v>
      </c>
      <c r="N93" s="121">
        <f t="shared" si="33"/>
        <v>0</v>
      </c>
      <c r="O93" s="296">
        <f t="shared" si="33"/>
        <v>0</v>
      </c>
      <c r="P93" s="403">
        <f t="shared" si="35"/>
        <v>0</v>
      </c>
      <c r="Q93" s="308"/>
      <c r="R93" s="229"/>
      <c r="S93" s="91"/>
      <c r="T93" s="92"/>
      <c r="U93" s="91"/>
      <c r="V93" s="92"/>
      <c r="W93" s="91"/>
      <c r="X93" s="92"/>
      <c r="Y93" s="91"/>
      <c r="Z93" s="92"/>
      <c r="AA93" s="91"/>
      <c r="AB93" s="92"/>
      <c r="AC93" s="91"/>
      <c r="AD93" s="92"/>
      <c r="AE93" s="91"/>
      <c r="AF93" s="92"/>
      <c r="AG93" s="91"/>
      <c r="AH93" s="92"/>
      <c r="AI93" s="91"/>
      <c r="AJ93" s="92"/>
      <c r="AK93" s="91"/>
      <c r="AL93" s="92"/>
      <c r="AM93" s="91"/>
      <c r="AN93" s="92"/>
      <c r="AO93" s="91"/>
      <c r="AP93" s="92"/>
      <c r="AQ93" s="91"/>
    </row>
    <row r="94" spans="1:43" ht="30" customHeight="1" thickBot="1" x14ac:dyDescent="0.3">
      <c r="A94" s="645" t="s">
        <v>88</v>
      </c>
      <c r="B94" s="646"/>
      <c r="C94" s="123"/>
      <c r="D94" s="123"/>
      <c r="E94" s="123"/>
      <c r="F94" s="123"/>
      <c r="G94" s="123"/>
      <c r="H94" s="123"/>
      <c r="I94" s="123"/>
      <c r="J94" s="123"/>
      <c r="K94" s="123"/>
      <c r="L94" s="123"/>
      <c r="M94" s="123"/>
      <c r="N94" s="123"/>
      <c r="O94" s="297"/>
      <c r="P94" s="404"/>
      <c r="Q94" s="310"/>
      <c r="R94" s="293">
        <f>+SUM(R73:R93)</f>
        <v>2880.8</v>
      </c>
      <c r="S94" s="117">
        <f>+SUM(S73:S93)</f>
        <v>950352.55099999998</v>
      </c>
      <c r="T94" s="293">
        <f>+SUM(T73:T93)</f>
        <v>1800.8000000000002</v>
      </c>
      <c r="U94" s="117">
        <f>+SUM(U73:U93)</f>
        <v>591399.77300000004</v>
      </c>
      <c r="V94" s="293">
        <f t="shared" ref="V94:AA94" si="41">+SUM(V73:V93)</f>
        <v>1015.8000000000002</v>
      </c>
      <c r="W94" s="117">
        <f t="shared" si="41"/>
        <v>348215.51</v>
      </c>
      <c r="X94" s="293">
        <f t="shared" si="41"/>
        <v>950.80000000000018</v>
      </c>
      <c r="Y94" s="117">
        <f t="shared" si="41"/>
        <v>325175.75000000006</v>
      </c>
      <c r="Z94" s="117">
        <f t="shared" si="41"/>
        <v>930.80000000000018</v>
      </c>
      <c r="AA94" s="117">
        <f t="shared" si="41"/>
        <v>318576.95000000007</v>
      </c>
      <c r="AB94" s="118"/>
      <c r="AC94" s="117"/>
      <c r="AD94" s="118"/>
      <c r="AE94" s="117"/>
      <c r="AF94" s="118"/>
      <c r="AG94" s="117"/>
      <c r="AH94" s="294"/>
      <c r="AI94" s="294"/>
      <c r="AJ94" s="118"/>
      <c r="AK94" s="117"/>
      <c r="AL94" s="118"/>
      <c r="AM94" s="119"/>
      <c r="AN94" s="293"/>
      <c r="AO94" s="116"/>
      <c r="AP94" s="118"/>
      <c r="AQ94" s="119"/>
    </row>
    <row r="95" spans="1:43" ht="15" x14ac:dyDescent="0.25">
      <c r="A95" s="649"/>
      <c r="B95" s="650"/>
      <c r="C95" s="650"/>
      <c r="D95" s="650"/>
      <c r="E95" s="650"/>
      <c r="F95" s="650"/>
      <c r="G95" s="650"/>
      <c r="H95" s="650"/>
      <c r="I95" s="650"/>
      <c r="J95" s="650"/>
      <c r="K95" s="650"/>
      <c r="L95" s="650"/>
      <c r="M95" s="650"/>
      <c r="N95" s="650"/>
      <c r="O95" s="650"/>
      <c r="P95" s="650"/>
      <c r="Q95" s="650"/>
      <c r="R95" s="650"/>
      <c r="S95" s="650"/>
      <c r="T95" s="650"/>
      <c r="U95" s="650"/>
      <c r="V95" s="650"/>
      <c r="W95" s="650"/>
      <c r="X95" s="650"/>
      <c r="Y95" s="650"/>
      <c r="Z95" s="650"/>
      <c r="AA95" s="650"/>
      <c r="AB95" s="650"/>
      <c r="AC95" s="650"/>
      <c r="AD95" s="650"/>
      <c r="AE95" s="650"/>
      <c r="AF95" s="650"/>
      <c r="AG95" s="650"/>
      <c r="AH95" s="650"/>
      <c r="AI95" s="650"/>
      <c r="AJ95" s="650"/>
      <c r="AK95" s="650"/>
      <c r="AL95" s="650"/>
      <c r="AM95" s="650"/>
      <c r="AN95" s="650"/>
      <c r="AO95" s="650"/>
      <c r="AP95" s="650"/>
      <c r="AQ95" s="650"/>
    </row>
    <row r="96" spans="1:43" ht="16.5" thickBot="1" x14ac:dyDescent="0.3">
      <c r="A96" s="647" t="s">
        <v>89</v>
      </c>
      <c r="B96" s="648"/>
      <c r="C96"/>
      <c r="D96"/>
      <c r="E96"/>
      <c r="F96"/>
      <c r="G96"/>
      <c r="H96"/>
      <c r="I96"/>
      <c r="J96"/>
      <c r="K96"/>
      <c r="L96"/>
      <c r="M96"/>
      <c r="N96"/>
      <c r="O96"/>
      <c r="P96" s="401"/>
      <c r="Q96" s="307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</row>
    <row r="97" spans="1:43" x14ac:dyDescent="0.25">
      <c r="A97" s="255">
        <v>105632</v>
      </c>
      <c r="B97" s="256" t="s">
        <v>58</v>
      </c>
      <c r="C97" s="121">
        <v>281.47000000000003</v>
      </c>
      <c r="D97" s="121">
        <f>+C97</f>
        <v>281.47000000000003</v>
      </c>
      <c r="E97" s="121">
        <f t="shared" ref="E97:O97" si="42">+D97</f>
        <v>281.47000000000003</v>
      </c>
      <c r="F97" s="121">
        <f t="shared" si="42"/>
        <v>281.47000000000003</v>
      </c>
      <c r="G97" s="121">
        <f t="shared" si="42"/>
        <v>281.47000000000003</v>
      </c>
      <c r="H97" s="121">
        <f t="shared" si="42"/>
        <v>281.47000000000003</v>
      </c>
      <c r="I97" s="121">
        <f t="shared" si="42"/>
        <v>281.47000000000003</v>
      </c>
      <c r="J97" s="121">
        <f t="shared" si="42"/>
        <v>281.47000000000003</v>
      </c>
      <c r="K97" s="121">
        <f t="shared" si="42"/>
        <v>281.47000000000003</v>
      </c>
      <c r="L97" s="121">
        <f t="shared" si="42"/>
        <v>281.47000000000003</v>
      </c>
      <c r="M97" s="121">
        <f t="shared" si="42"/>
        <v>281.47000000000003</v>
      </c>
      <c r="N97" s="121">
        <f t="shared" si="42"/>
        <v>281.47000000000003</v>
      </c>
      <c r="O97" s="296">
        <f t="shared" si="42"/>
        <v>281.47000000000003</v>
      </c>
      <c r="P97" s="402">
        <f>+AVERAGE(D97:O97)</f>
        <v>281.47000000000008</v>
      </c>
      <c r="Q97" s="311"/>
      <c r="R97" s="229">
        <f>+FRIJALISCO!K4</f>
        <v>43</v>
      </c>
      <c r="S97" s="91">
        <f>+R97*D97</f>
        <v>12103.210000000001</v>
      </c>
      <c r="T97" s="229">
        <f>+FRIJALISCO!P4</f>
        <v>0</v>
      </c>
      <c r="U97" s="91">
        <f>+T97*E97</f>
        <v>0</v>
      </c>
      <c r="V97" s="229">
        <f>+FRIJALISCO!U4</f>
        <v>3</v>
      </c>
      <c r="W97" s="91">
        <f>+V97*F97</f>
        <v>844.41000000000008</v>
      </c>
      <c r="X97" s="229">
        <f>+FRIJALISCO!Z4</f>
        <v>147</v>
      </c>
      <c r="Y97" s="91">
        <f>+X97*G97</f>
        <v>41376.090000000004</v>
      </c>
      <c r="Z97" s="229">
        <f>+FRIJALISCO!AE4</f>
        <v>1755</v>
      </c>
      <c r="AA97" s="91">
        <f>+Z97*H97</f>
        <v>493979.85000000003</v>
      </c>
      <c r="AB97" s="92"/>
      <c r="AC97" s="91"/>
      <c r="AD97" s="92"/>
      <c r="AE97" s="91"/>
      <c r="AF97" s="92"/>
      <c r="AG97" s="91"/>
      <c r="AH97" s="92"/>
      <c r="AI97" s="91"/>
      <c r="AJ97" s="92"/>
      <c r="AK97" s="91"/>
      <c r="AL97" s="92"/>
      <c r="AM97" s="91"/>
      <c r="AN97" s="92"/>
      <c r="AO97" s="91"/>
      <c r="AP97" s="92"/>
      <c r="AQ97" s="91"/>
    </row>
    <row r="98" spans="1:43" x14ac:dyDescent="0.25">
      <c r="A98" s="255">
        <v>102341</v>
      </c>
      <c r="B98" s="256" t="s">
        <v>59</v>
      </c>
      <c r="C98" s="121">
        <v>277.20999999999998</v>
      </c>
      <c r="D98" s="121">
        <f t="shared" ref="D98:O111" si="43">+C98</f>
        <v>277.20999999999998</v>
      </c>
      <c r="E98" s="121">
        <f t="shared" si="43"/>
        <v>277.20999999999998</v>
      </c>
      <c r="F98" s="429">
        <v>301.54000000000002</v>
      </c>
      <c r="G98" s="121">
        <f t="shared" si="43"/>
        <v>301.54000000000002</v>
      </c>
      <c r="H98" s="121">
        <f t="shared" si="43"/>
        <v>301.54000000000002</v>
      </c>
      <c r="I98" s="121">
        <f t="shared" si="43"/>
        <v>301.54000000000002</v>
      </c>
      <c r="J98" s="121">
        <f t="shared" si="43"/>
        <v>301.54000000000002</v>
      </c>
      <c r="K98" s="121">
        <f t="shared" si="43"/>
        <v>301.54000000000002</v>
      </c>
      <c r="L98" s="121">
        <f t="shared" si="43"/>
        <v>301.54000000000002</v>
      </c>
      <c r="M98" s="121">
        <f t="shared" si="43"/>
        <v>301.54000000000002</v>
      </c>
      <c r="N98" s="121">
        <f t="shared" si="43"/>
        <v>301.54000000000002</v>
      </c>
      <c r="O98" s="296">
        <f t="shared" si="43"/>
        <v>301.54000000000002</v>
      </c>
      <c r="P98" s="399">
        <f t="shared" ref="P98:P111" si="44">+AVERAGE(D98:O98)</f>
        <v>297.48499999999996</v>
      </c>
      <c r="Q98" s="308"/>
      <c r="R98" s="229">
        <f>+FRIJALISCO!K5</f>
        <v>473</v>
      </c>
      <c r="S98" s="91">
        <f t="shared" ref="S98:S108" si="45">+R98*D98</f>
        <v>131120.32999999999</v>
      </c>
      <c r="T98" s="229">
        <f>+FRIJALISCO!P5</f>
        <v>128</v>
      </c>
      <c r="U98" s="91">
        <f t="shared" ref="U98:U108" si="46">+T98*E98</f>
        <v>35482.879999999997</v>
      </c>
      <c r="V98" s="229">
        <f>+FRIJALISCO!U5</f>
        <v>23</v>
      </c>
      <c r="W98" s="91">
        <f t="shared" ref="W98:W108" si="47">+V98*F98</f>
        <v>6935.42</v>
      </c>
      <c r="X98" s="229">
        <f>+FRIJALISCO!Z5</f>
        <v>35</v>
      </c>
      <c r="Y98" s="91">
        <f t="shared" ref="Y98:Y108" si="48">+X98*G98</f>
        <v>10553.900000000001</v>
      </c>
      <c r="Z98" s="229">
        <f>+FRIJALISCO!AE5</f>
        <v>465</v>
      </c>
      <c r="AA98" s="91">
        <f t="shared" ref="AA98:AA108" si="49">+Z98*H98</f>
        <v>140216.1</v>
      </c>
      <c r="AB98" s="92"/>
      <c r="AC98" s="91"/>
      <c r="AD98" s="92"/>
      <c r="AE98" s="91"/>
      <c r="AF98" s="92"/>
      <c r="AG98" s="91"/>
      <c r="AH98" s="92"/>
      <c r="AI98" s="91"/>
      <c r="AJ98" s="92"/>
      <c r="AK98" s="91"/>
      <c r="AL98" s="92"/>
      <c r="AM98" s="91"/>
      <c r="AN98" s="92"/>
      <c r="AO98" s="91"/>
      <c r="AP98" s="92"/>
      <c r="AQ98" s="91"/>
    </row>
    <row r="99" spans="1:43" x14ac:dyDescent="0.25">
      <c r="A99" s="255">
        <v>102310</v>
      </c>
      <c r="B99" s="256" t="s">
        <v>60</v>
      </c>
      <c r="C99" s="121">
        <v>363.33</v>
      </c>
      <c r="D99" s="121">
        <f t="shared" si="43"/>
        <v>363.33</v>
      </c>
      <c r="E99" s="121">
        <f t="shared" si="43"/>
        <v>363.33</v>
      </c>
      <c r="F99" s="429">
        <v>309.39</v>
      </c>
      <c r="G99" s="121">
        <f t="shared" si="43"/>
        <v>309.39</v>
      </c>
      <c r="H99" s="121">
        <f t="shared" si="43"/>
        <v>309.39</v>
      </c>
      <c r="I99" s="121">
        <f t="shared" si="43"/>
        <v>309.39</v>
      </c>
      <c r="J99" s="121">
        <f t="shared" si="43"/>
        <v>309.39</v>
      </c>
      <c r="K99" s="121">
        <f t="shared" si="43"/>
        <v>309.39</v>
      </c>
      <c r="L99" s="121">
        <f t="shared" si="43"/>
        <v>309.39</v>
      </c>
      <c r="M99" s="121">
        <f t="shared" si="43"/>
        <v>309.39</v>
      </c>
      <c r="N99" s="121">
        <f t="shared" si="43"/>
        <v>309.39</v>
      </c>
      <c r="O99" s="296">
        <f t="shared" si="43"/>
        <v>309.39</v>
      </c>
      <c r="P99" s="399">
        <f t="shared" si="44"/>
        <v>318.37999999999994</v>
      </c>
      <c r="Q99" s="308"/>
      <c r="R99" s="229">
        <f>+FRIJALISCO!K6</f>
        <v>45</v>
      </c>
      <c r="S99" s="91">
        <f t="shared" si="45"/>
        <v>16349.849999999999</v>
      </c>
      <c r="T99" s="229">
        <f>+FRIJALISCO!P6</f>
        <v>0</v>
      </c>
      <c r="U99" s="91">
        <f t="shared" si="46"/>
        <v>0</v>
      </c>
      <c r="V99" s="229">
        <f>+FRIJALISCO!U6</f>
        <v>395</v>
      </c>
      <c r="W99" s="91">
        <f t="shared" si="47"/>
        <v>122209.04999999999</v>
      </c>
      <c r="X99" s="229">
        <f>+FRIJALISCO!Z6</f>
        <v>165</v>
      </c>
      <c r="Y99" s="91">
        <f t="shared" si="48"/>
        <v>51049.35</v>
      </c>
      <c r="Z99" s="229">
        <f>+FRIJALISCO!AE6</f>
        <v>99</v>
      </c>
      <c r="AA99" s="91">
        <f t="shared" si="49"/>
        <v>30629.609999999997</v>
      </c>
      <c r="AB99" s="92"/>
      <c r="AC99" s="91"/>
      <c r="AD99" s="92"/>
      <c r="AE99" s="91"/>
      <c r="AF99" s="92"/>
      <c r="AG99" s="91"/>
      <c r="AH99" s="92"/>
      <c r="AI99" s="91"/>
      <c r="AJ99" s="92"/>
      <c r="AK99" s="91"/>
      <c r="AL99" s="92"/>
      <c r="AM99" s="91"/>
      <c r="AN99" s="92"/>
      <c r="AO99" s="91"/>
      <c r="AP99" s="92"/>
      <c r="AQ99" s="91"/>
    </row>
    <row r="100" spans="1:43" x14ac:dyDescent="0.25">
      <c r="A100" s="255">
        <v>102211</v>
      </c>
      <c r="B100" s="256" t="s">
        <v>61</v>
      </c>
      <c r="C100" s="121">
        <v>297.89</v>
      </c>
      <c r="D100" s="121">
        <f t="shared" si="43"/>
        <v>297.89</v>
      </c>
      <c r="E100" s="121">
        <f t="shared" si="43"/>
        <v>297.89</v>
      </c>
      <c r="F100" s="429">
        <v>261.42</v>
      </c>
      <c r="G100" s="121">
        <f t="shared" si="43"/>
        <v>261.42</v>
      </c>
      <c r="H100" s="121">
        <f t="shared" si="43"/>
        <v>261.42</v>
      </c>
      <c r="I100" s="121">
        <f t="shared" si="43"/>
        <v>261.42</v>
      </c>
      <c r="J100" s="121">
        <f t="shared" si="43"/>
        <v>261.42</v>
      </c>
      <c r="K100" s="121">
        <f t="shared" si="43"/>
        <v>261.42</v>
      </c>
      <c r="L100" s="121">
        <f t="shared" si="43"/>
        <v>261.42</v>
      </c>
      <c r="M100" s="121">
        <f t="shared" si="43"/>
        <v>261.42</v>
      </c>
      <c r="N100" s="121">
        <f t="shared" si="43"/>
        <v>261.42</v>
      </c>
      <c r="O100" s="296">
        <f t="shared" si="43"/>
        <v>261.42</v>
      </c>
      <c r="P100" s="399">
        <f t="shared" si="44"/>
        <v>267.49833333333339</v>
      </c>
      <c r="Q100" s="308"/>
      <c r="R100" s="229">
        <f>+FRIJALISCO!K7</f>
        <v>2</v>
      </c>
      <c r="S100" s="91">
        <f t="shared" si="45"/>
        <v>595.78</v>
      </c>
      <c r="T100" s="229">
        <f>+FRIJALISCO!P7</f>
        <v>1</v>
      </c>
      <c r="U100" s="91">
        <f t="shared" si="46"/>
        <v>297.89</v>
      </c>
      <c r="V100" s="229">
        <f>+FRIJALISCO!U7</f>
        <v>676</v>
      </c>
      <c r="W100" s="91">
        <f t="shared" si="47"/>
        <v>176719.92</v>
      </c>
      <c r="X100" s="229">
        <f>+FRIJALISCO!Z7</f>
        <v>502</v>
      </c>
      <c r="Y100" s="91">
        <f t="shared" si="48"/>
        <v>131232.84</v>
      </c>
      <c r="Z100" s="229">
        <f>+FRIJALISCO!AE7</f>
        <v>466</v>
      </c>
      <c r="AA100" s="91">
        <f t="shared" si="49"/>
        <v>121821.72</v>
      </c>
      <c r="AB100" s="92"/>
      <c r="AC100" s="91"/>
      <c r="AD100" s="92"/>
      <c r="AE100" s="91"/>
      <c r="AF100" s="92"/>
      <c r="AG100" s="91"/>
      <c r="AH100" s="92"/>
      <c r="AI100" s="91"/>
      <c r="AJ100" s="92"/>
      <c r="AK100" s="91"/>
      <c r="AL100" s="92"/>
      <c r="AM100" s="91"/>
      <c r="AN100" s="92"/>
      <c r="AO100" s="91"/>
      <c r="AP100" s="92"/>
      <c r="AQ100" s="91"/>
    </row>
    <row r="101" spans="1:43" x14ac:dyDescent="0.25">
      <c r="A101" s="255">
        <v>104215</v>
      </c>
      <c r="B101" s="256" t="s">
        <v>62</v>
      </c>
      <c r="C101" s="121">
        <v>357.86</v>
      </c>
      <c r="D101" s="121">
        <f t="shared" si="43"/>
        <v>357.86</v>
      </c>
      <c r="E101" s="121">
        <f t="shared" si="43"/>
        <v>357.86</v>
      </c>
      <c r="F101" s="121">
        <f t="shared" si="43"/>
        <v>357.86</v>
      </c>
      <c r="G101" s="121">
        <f t="shared" si="43"/>
        <v>357.86</v>
      </c>
      <c r="H101" s="121">
        <f t="shared" si="43"/>
        <v>357.86</v>
      </c>
      <c r="I101" s="121">
        <f t="shared" si="43"/>
        <v>357.86</v>
      </c>
      <c r="J101" s="121">
        <f t="shared" si="43"/>
        <v>357.86</v>
      </c>
      <c r="K101" s="121">
        <f t="shared" si="43"/>
        <v>357.86</v>
      </c>
      <c r="L101" s="121">
        <f t="shared" si="43"/>
        <v>357.86</v>
      </c>
      <c r="M101" s="121">
        <f t="shared" si="43"/>
        <v>357.86</v>
      </c>
      <c r="N101" s="121">
        <f t="shared" si="43"/>
        <v>357.86</v>
      </c>
      <c r="O101" s="296">
        <f t="shared" si="43"/>
        <v>357.86</v>
      </c>
      <c r="P101" s="399">
        <f t="shared" si="44"/>
        <v>357.86000000000007</v>
      </c>
      <c r="Q101" s="308"/>
      <c r="R101" s="229">
        <f>+FRIJALISCO!K8</f>
        <v>368</v>
      </c>
      <c r="S101" s="91">
        <f t="shared" si="45"/>
        <v>131692.48000000001</v>
      </c>
      <c r="T101" s="229">
        <f>+FRIJALISCO!P8</f>
        <v>264</v>
      </c>
      <c r="U101" s="91">
        <f t="shared" si="46"/>
        <v>94475.040000000008</v>
      </c>
      <c r="V101" s="229">
        <f>+FRIJALISCO!U8</f>
        <v>118</v>
      </c>
      <c r="W101" s="91">
        <f t="shared" si="47"/>
        <v>42227.48</v>
      </c>
      <c r="X101" s="229">
        <f>+FRIJALISCO!Z8</f>
        <v>0</v>
      </c>
      <c r="Y101" s="91">
        <f t="shared" si="48"/>
        <v>0</v>
      </c>
      <c r="Z101" s="229">
        <f>+FRIJALISCO!AE8</f>
        <v>24</v>
      </c>
      <c r="AA101" s="91">
        <f t="shared" si="49"/>
        <v>8588.64</v>
      </c>
      <c r="AB101" s="92"/>
      <c r="AC101" s="91"/>
      <c r="AD101" s="92"/>
      <c r="AE101" s="91"/>
      <c r="AF101" s="92"/>
      <c r="AG101" s="91"/>
      <c r="AH101" s="92"/>
      <c r="AI101" s="91"/>
      <c r="AJ101" s="92"/>
      <c r="AK101" s="91"/>
      <c r="AL101" s="92"/>
      <c r="AM101" s="91"/>
      <c r="AN101" s="92"/>
      <c r="AO101" s="91"/>
      <c r="AP101" s="92"/>
      <c r="AQ101" s="91"/>
    </row>
    <row r="102" spans="1:43" x14ac:dyDescent="0.25">
      <c r="A102" s="255">
        <v>114054</v>
      </c>
      <c r="B102" s="256" t="s">
        <v>63</v>
      </c>
      <c r="C102" s="121">
        <v>359.94</v>
      </c>
      <c r="D102" s="121">
        <f t="shared" si="43"/>
        <v>359.94</v>
      </c>
      <c r="E102" s="121">
        <f t="shared" si="43"/>
        <v>359.94</v>
      </c>
      <c r="F102" s="429">
        <v>330.25</v>
      </c>
      <c r="G102" s="121">
        <f t="shared" si="43"/>
        <v>330.25</v>
      </c>
      <c r="H102" s="121">
        <f t="shared" si="43"/>
        <v>330.25</v>
      </c>
      <c r="I102" s="121">
        <f t="shared" si="43"/>
        <v>330.25</v>
      </c>
      <c r="J102" s="121">
        <f t="shared" si="43"/>
        <v>330.25</v>
      </c>
      <c r="K102" s="121">
        <f t="shared" si="43"/>
        <v>330.25</v>
      </c>
      <c r="L102" s="121">
        <f t="shared" si="43"/>
        <v>330.25</v>
      </c>
      <c r="M102" s="121">
        <f t="shared" si="43"/>
        <v>330.25</v>
      </c>
      <c r="N102" s="121">
        <f t="shared" si="43"/>
        <v>330.25</v>
      </c>
      <c r="O102" s="296">
        <f t="shared" si="43"/>
        <v>330.25</v>
      </c>
      <c r="P102" s="399">
        <f t="shared" si="44"/>
        <v>335.19833333333332</v>
      </c>
      <c r="Q102" s="308"/>
      <c r="R102" s="229">
        <f>+FRIJALISCO!K9</f>
        <v>427</v>
      </c>
      <c r="S102" s="91">
        <f t="shared" si="45"/>
        <v>153694.38</v>
      </c>
      <c r="T102" s="229">
        <f>+FRIJALISCO!P9</f>
        <v>46</v>
      </c>
      <c r="U102" s="91">
        <f t="shared" si="46"/>
        <v>16557.240000000002</v>
      </c>
      <c r="V102" s="229">
        <f>+FRIJALISCO!U9</f>
        <v>521</v>
      </c>
      <c r="W102" s="91">
        <f t="shared" si="47"/>
        <v>172060.25</v>
      </c>
      <c r="X102" s="229">
        <f>+FRIJALISCO!Z9</f>
        <v>530</v>
      </c>
      <c r="Y102" s="91">
        <f t="shared" si="48"/>
        <v>175032.5</v>
      </c>
      <c r="Z102" s="229">
        <f>+FRIJALISCO!AE9</f>
        <v>461</v>
      </c>
      <c r="AA102" s="91">
        <f t="shared" si="49"/>
        <v>152245.25</v>
      </c>
      <c r="AB102" s="92"/>
      <c r="AC102" s="91"/>
      <c r="AD102" s="92"/>
      <c r="AE102" s="91"/>
      <c r="AF102" s="92"/>
      <c r="AG102" s="91"/>
      <c r="AH102" s="92"/>
      <c r="AI102" s="91"/>
      <c r="AJ102" s="92"/>
      <c r="AK102" s="91"/>
      <c r="AL102" s="92"/>
      <c r="AM102" s="91"/>
      <c r="AN102" s="92"/>
      <c r="AO102" s="91"/>
      <c r="AP102" s="92"/>
      <c r="AQ102" s="91"/>
    </row>
    <row r="103" spans="1:43" x14ac:dyDescent="0.25">
      <c r="A103" s="255">
        <v>102419</v>
      </c>
      <c r="B103" s="256" t="s">
        <v>64</v>
      </c>
      <c r="C103" s="121">
        <v>293.8</v>
      </c>
      <c r="D103" s="121">
        <f t="shared" si="43"/>
        <v>293.8</v>
      </c>
      <c r="E103" s="121">
        <f t="shared" si="43"/>
        <v>293.8</v>
      </c>
      <c r="F103" s="429">
        <v>257.25</v>
      </c>
      <c r="G103" s="121">
        <f t="shared" si="43"/>
        <v>257.25</v>
      </c>
      <c r="H103" s="121">
        <f t="shared" si="43"/>
        <v>257.25</v>
      </c>
      <c r="I103" s="121">
        <f t="shared" si="43"/>
        <v>257.25</v>
      </c>
      <c r="J103" s="121">
        <f t="shared" si="43"/>
        <v>257.25</v>
      </c>
      <c r="K103" s="121">
        <f t="shared" si="43"/>
        <v>257.25</v>
      </c>
      <c r="L103" s="121">
        <f t="shared" si="43"/>
        <v>257.25</v>
      </c>
      <c r="M103" s="121">
        <f t="shared" si="43"/>
        <v>257.25</v>
      </c>
      <c r="N103" s="121">
        <f t="shared" si="43"/>
        <v>257.25</v>
      </c>
      <c r="O103" s="296">
        <f t="shared" si="43"/>
        <v>257.25</v>
      </c>
      <c r="P103" s="399">
        <f t="shared" si="44"/>
        <v>263.34166666666664</v>
      </c>
      <c r="Q103" s="308"/>
      <c r="R103" s="229">
        <f>+FRIJALISCO!K10</f>
        <v>6</v>
      </c>
      <c r="S103" s="91">
        <f t="shared" si="45"/>
        <v>1762.8000000000002</v>
      </c>
      <c r="T103" s="229">
        <f>+FRIJALISCO!P10</f>
        <v>0</v>
      </c>
      <c r="U103" s="91">
        <f t="shared" si="46"/>
        <v>0</v>
      </c>
      <c r="V103" s="229">
        <f>+FRIJALISCO!U10</f>
        <v>425</v>
      </c>
      <c r="W103" s="91">
        <f t="shared" si="47"/>
        <v>109331.25</v>
      </c>
      <c r="X103" s="229">
        <f>+FRIJALISCO!Z10</f>
        <v>357</v>
      </c>
      <c r="Y103" s="91">
        <f t="shared" si="48"/>
        <v>91838.25</v>
      </c>
      <c r="Z103" s="229">
        <f>+FRIJALISCO!AE10</f>
        <v>337</v>
      </c>
      <c r="AA103" s="91">
        <f t="shared" si="49"/>
        <v>86693.25</v>
      </c>
      <c r="AB103" s="92"/>
      <c r="AC103" s="91"/>
      <c r="AD103" s="92"/>
      <c r="AE103" s="91"/>
      <c r="AF103" s="92"/>
      <c r="AG103" s="91"/>
      <c r="AH103" s="92"/>
      <c r="AI103" s="91"/>
      <c r="AJ103" s="92"/>
      <c r="AK103" s="91"/>
      <c r="AL103" s="92"/>
      <c r="AM103" s="91"/>
      <c r="AN103" s="92"/>
      <c r="AO103" s="91"/>
      <c r="AP103" s="92"/>
      <c r="AQ103" s="91"/>
    </row>
    <row r="104" spans="1:43" x14ac:dyDescent="0.25">
      <c r="A104" s="255">
        <v>505015</v>
      </c>
      <c r="B104" s="256" t="s">
        <v>95</v>
      </c>
      <c r="C104" s="121"/>
      <c r="D104" s="121">
        <f t="shared" si="43"/>
        <v>0</v>
      </c>
      <c r="E104" s="121">
        <v>256.35000000000002</v>
      </c>
      <c r="F104" s="121">
        <f t="shared" si="43"/>
        <v>256.35000000000002</v>
      </c>
      <c r="G104" s="121">
        <f t="shared" si="43"/>
        <v>256.35000000000002</v>
      </c>
      <c r="H104" s="121">
        <f t="shared" si="43"/>
        <v>256.35000000000002</v>
      </c>
      <c r="I104" s="121">
        <f t="shared" si="43"/>
        <v>256.35000000000002</v>
      </c>
      <c r="J104" s="121">
        <f t="shared" si="43"/>
        <v>256.35000000000002</v>
      </c>
      <c r="K104" s="121">
        <f t="shared" si="43"/>
        <v>256.35000000000002</v>
      </c>
      <c r="L104" s="121">
        <f t="shared" si="43"/>
        <v>256.35000000000002</v>
      </c>
      <c r="M104" s="121">
        <f t="shared" si="43"/>
        <v>256.35000000000002</v>
      </c>
      <c r="N104" s="121">
        <f t="shared" si="43"/>
        <v>256.35000000000002</v>
      </c>
      <c r="O104" s="296">
        <f t="shared" si="43"/>
        <v>256.35000000000002</v>
      </c>
      <c r="P104" s="399">
        <f t="shared" si="44"/>
        <v>234.98749999999995</v>
      </c>
      <c r="Q104" s="308"/>
      <c r="R104" s="229"/>
      <c r="S104" s="91">
        <f t="shared" si="45"/>
        <v>0</v>
      </c>
      <c r="T104" s="229">
        <f>+FRIJALISCO!P25</f>
        <v>1955</v>
      </c>
      <c r="U104" s="91">
        <f t="shared" si="46"/>
        <v>501164.25000000006</v>
      </c>
      <c r="V104" s="229">
        <f>+FRIJALISCO!U25</f>
        <v>1700</v>
      </c>
      <c r="W104" s="91">
        <f t="shared" si="47"/>
        <v>435795.00000000006</v>
      </c>
      <c r="X104" s="229">
        <f>+FRIJALISCO!Z25</f>
        <v>2848</v>
      </c>
      <c r="Y104" s="91">
        <f t="shared" si="48"/>
        <v>730084.8</v>
      </c>
      <c r="Z104" s="229">
        <f>+FRIJALISCO!AE25</f>
        <v>3636</v>
      </c>
      <c r="AA104" s="91">
        <f t="shared" si="49"/>
        <v>932088.60000000009</v>
      </c>
      <c r="AB104" s="92"/>
      <c r="AC104" s="91"/>
      <c r="AD104" s="92"/>
      <c r="AE104" s="91"/>
      <c r="AF104" s="92"/>
      <c r="AG104" s="91"/>
      <c r="AH104" s="92"/>
      <c r="AI104" s="91"/>
      <c r="AJ104" s="92"/>
      <c r="AK104" s="91"/>
      <c r="AL104" s="92"/>
      <c r="AM104" s="91"/>
      <c r="AN104" s="103"/>
      <c r="AO104" s="105"/>
      <c r="AP104" s="92"/>
      <c r="AQ104" s="91"/>
    </row>
    <row r="105" spans="1:43" ht="14.25" customHeight="1" x14ac:dyDescent="0.25">
      <c r="A105" s="255">
        <v>102013</v>
      </c>
      <c r="B105" s="256" t="s">
        <v>58</v>
      </c>
      <c r="C105" s="121"/>
      <c r="D105" s="121">
        <f t="shared" si="43"/>
        <v>0</v>
      </c>
      <c r="E105" s="121">
        <v>281.47000000000003</v>
      </c>
      <c r="F105" s="429">
        <v>253.12</v>
      </c>
      <c r="G105" s="121">
        <f t="shared" si="43"/>
        <v>253.12</v>
      </c>
      <c r="H105" s="121">
        <f t="shared" si="43"/>
        <v>253.12</v>
      </c>
      <c r="I105" s="121">
        <f t="shared" si="43"/>
        <v>253.12</v>
      </c>
      <c r="J105" s="121">
        <f t="shared" si="43"/>
        <v>253.12</v>
      </c>
      <c r="K105" s="121">
        <f t="shared" si="43"/>
        <v>253.12</v>
      </c>
      <c r="L105" s="121">
        <f t="shared" si="43"/>
        <v>253.12</v>
      </c>
      <c r="M105" s="121">
        <f t="shared" si="43"/>
        <v>253.12</v>
      </c>
      <c r="N105" s="121">
        <f t="shared" si="43"/>
        <v>253.12</v>
      </c>
      <c r="O105" s="296">
        <f t="shared" si="43"/>
        <v>253.12</v>
      </c>
      <c r="P105" s="399">
        <f t="shared" si="44"/>
        <v>234.3891666666666</v>
      </c>
      <c r="Q105" s="308"/>
      <c r="R105" s="229">
        <v>0</v>
      </c>
      <c r="S105" s="91">
        <f t="shared" si="45"/>
        <v>0</v>
      </c>
      <c r="T105" s="229"/>
      <c r="U105" s="91"/>
      <c r="V105" s="229"/>
      <c r="W105" s="91"/>
      <c r="X105" s="229"/>
      <c r="Y105" s="91"/>
      <c r="Z105" s="229">
        <f>+FRIJALISCO!AE11+FRIJALISCO!AE12+FRIJALISCO!AE13</f>
        <v>108</v>
      </c>
      <c r="AA105" s="91">
        <f t="shared" si="49"/>
        <v>27336.959999999999</v>
      </c>
      <c r="AB105" s="92"/>
      <c r="AC105" s="91"/>
      <c r="AD105" s="92"/>
      <c r="AE105" s="91"/>
      <c r="AF105" s="92"/>
      <c r="AG105" s="91"/>
      <c r="AH105" s="92"/>
      <c r="AI105" s="91"/>
      <c r="AJ105" s="92"/>
      <c r="AK105" s="91"/>
      <c r="AL105" s="92"/>
      <c r="AM105" s="91"/>
      <c r="AN105" s="92"/>
      <c r="AO105" s="91"/>
      <c r="AP105" s="92"/>
      <c r="AQ105" s="91"/>
    </row>
    <row r="106" spans="1:43" hidden="1" x14ac:dyDescent="0.25">
      <c r="A106" s="255"/>
      <c r="B106" s="256"/>
      <c r="C106" s="121"/>
      <c r="D106" s="121">
        <f t="shared" si="43"/>
        <v>0</v>
      </c>
      <c r="E106" s="121">
        <f t="shared" si="43"/>
        <v>0</v>
      </c>
      <c r="F106" s="121">
        <f t="shared" si="43"/>
        <v>0</v>
      </c>
      <c r="G106" s="121">
        <f t="shared" si="43"/>
        <v>0</v>
      </c>
      <c r="H106" s="121">
        <f t="shared" si="43"/>
        <v>0</v>
      </c>
      <c r="I106" s="121">
        <f t="shared" si="43"/>
        <v>0</v>
      </c>
      <c r="J106" s="121">
        <f t="shared" si="43"/>
        <v>0</v>
      </c>
      <c r="K106" s="121">
        <f t="shared" si="43"/>
        <v>0</v>
      </c>
      <c r="L106" s="121">
        <f t="shared" si="43"/>
        <v>0</v>
      </c>
      <c r="M106" s="121">
        <f t="shared" si="43"/>
        <v>0</v>
      </c>
      <c r="N106" s="121">
        <f t="shared" si="43"/>
        <v>0</v>
      </c>
      <c r="O106" s="296">
        <f t="shared" si="43"/>
        <v>0</v>
      </c>
      <c r="P106" s="399">
        <f t="shared" si="44"/>
        <v>0</v>
      </c>
      <c r="Q106" s="308"/>
      <c r="R106" s="229"/>
      <c r="S106" s="91">
        <f t="shared" si="45"/>
        <v>0</v>
      </c>
      <c r="T106" s="229"/>
      <c r="U106" s="91">
        <f t="shared" si="46"/>
        <v>0</v>
      </c>
      <c r="V106" s="229"/>
      <c r="W106" s="91">
        <f t="shared" si="47"/>
        <v>0</v>
      </c>
      <c r="X106" s="229"/>
      <c r="Y106" s="91">
        <f t="shared" si="48"/>
        <v>0</v>
      </c>
      <c r="Z106" s="229"/>
      <c r="AA106" s="91">
        <f t="shared" si="49"/>
        <v>0</v>
      </c>
      <c r="AB106" s="92"/>
      <c r="AC106" s="91"/>
      <c r="AD106" s="92"/>
      <c r="AE106" s="91"/>
      <c r="AF106" s="92"/>
      <c r="AG106" s="91"/>
      <c r="AH106" s="92"/>
      <c r="AI106" s="91"/>
      <c r="AJ106" s="92"/>
      <c r="AK106" s="91"/>
      <c r="AL106" s="92"/>
      <c r="AM106" s="91"/>
      <c r="AN106" s="92"/>
      <c r="AO106" s="91"/>
      <c r="AP106" s="92"/>
      <c r="AQ106" s="91"/>
    </row>
    <row r="107" spans="1:43" x14ac:dyDescent="0.25">
      <c r="A107" s="243">
        <v>260612</v>
      </c>
      <c r="B107" s="244" t="s">
        <v>74</v>
      </c>
      <c r="C107" s="121">
        <v>270.45</v>
      </c>
      <c r="D107" s="121">
        <f t="shared" si="43"/>
        <v>270.45</v>
      </c>
      <c r="E107" s="121">
        <f t="shared" si="43"/>
        <v>270.45</v>
      </c>
      <c r="F107" s="121">
        <f t="shared" si="43"/>
        <v>270.45</v>
      </c>
      <c r="G107" s="121">
        <f t="shared" si="43"/>
        <v>270.45</v>
      </c>
      <c r="H107" s="121">
        <f t="shared" si="43"/>
        <v>270.45</v>
      </c>
      <c r="I107" s="121">
        <f t="shared" si="43"/>
        <v>270.45</v>
      </c>
      <c r="J107" s="121">
        <f t="shared" si="43"/>
        <v>270.45</v>
      </c>
      <c r="K107" s="121">
        <f t="shared" si="43"/>
        <v>270.45</v>
      </c>
      <c r="L107" s="121">
        <f t="shared" si="43"/>
        <v>270.45</v>
      </c>
      <c r="M107" s="121">
        <f t="shared" si="43"/>
        <v>270.45</v>
      </c>
      <c r="N107" s="121">
        <f t="shared" si="43"/>
        <v>270.45</v>
      </c>
      <c r="O107" s="296">
        <f t="shared" si="43"/>
        <v>270.45</v>
      </c>
      <c r="P107" s="399">
        <f t="shared" si="44"/>
        <v>270.44999999999993</v>
      </c>
      <c r="Q107" s="308"/>
      <c r="R107" s="229">
        <f>+FRIJALISCO!K17</f>
        <v>1</v>
      </c>
      <c r="S107" s="91">
        <f t="shared" si="45"/>
        <v>270.45</v>
      </c>
      <c r="T107" s="229">
        <f>+FRIJALISCO!P17</f>
        <v>70</v>
      </c>
      <c r="U107" s="91">
        <f t="shared" si="46"/>
        <v>18931.5</v>
      </c>
      <c r="V107" s="229">
        <f>+FRIJALISCO!U17</f>
        <v>69</v>
      </c>
      <c r="W107" s="91">
        <f t="shared" si="47"/>
        <v>18661.05</v>
      </c>
      <c r="X107" s="229">
        <f>+FRIJALISCO!Z17</f>
        <v>0</v>
      </c>
      <c r="Y107" s="91">
        <f t="shared" si="48"/>
        <v>0</v>
      </c>
      <c r="Z107" s="229"/>
      <c r="AA107" s="91">
        <f t="shared" si="49"/>
        <v>0</v>
      </c>
      <c r="AB107" s="92"/>
      <c r="AC107" s="91"/>
      <c r="AD107" s="92"/>
      <c r="AE107" s="91"/>
      <c r="AF107" s="92"/>
      <c r="AG107" s="91"/>
      <c r="AH107" s="92"/>
      <c r="AI107" s="91"/>
      <c r="AJ107" s="92"/>
      <c r="AK107" s="91"/>
      <c r="AL107" s="92"/>
      <c r="AM107" s="91"/>
      <c r="AN107" s="92"/>
      <c r="AO107" s="91"/>
      <c r="AP107" s="92"/>
      <c r="AQ107" s="91"/>
    </row>
    <row r="108" spans="1:43" ht="16.5" thickBot="1" x14ac:dyDescent="0.3">
      <c r="A108" s="243">
        <v>806982</v>
      </c>
      <c r="B108" s="244" t="s">
        <v>73</v>
      </c>
      <c r="C108" s="121">
        <v>340.16</v>
      </c>
      <c r="D108" s="121">
        <f t="shared" si="43"/>
        <v>340.16</v>
      </c>
      <c r="E108" s="121">
        <f t="shared" si="43"/>
        <v>340.16</v>
      </c>
      <c r="F108" s="121">
        <f t="shared" si="43"/>
        <v>340.16</v>
      </c>
      <c r="G108" s="121">
        <f t="shared" si="43"/>
        <v>340.16</v>
      </c>
      <c r="H108" s="121">
        <f t="shared" si="43"/>
        <v>340.16</v>
      </c>
      <c r="I108" s="121">
        <f t="shared" si="43"/>
        <v>340.16</v>
      </c>
      <c r="J108" s="121">
        <f t="shared" si="43"/>
        <v>340.16</v>
      </c>
      <c r="K108" s="121">
        <f t="shared" si="43"/>
        <v>340.16</v>
      </c>
      <c r="L108" s="121">
        <f t="shared" si="43"/>
        <v>340.16</v>
      </c>
      <c r="M108" s="121">
        <f t="shared" si="43"/>
        <v>340.16</v>
      </c>
      <c r="N108" s="121">
        <f t="shared" si="43"/>
        <v>340.16</v>
      </c>
      <c r="O108" s="296">
        <f t="shared" si="43"/>
        <v>340.16</v>
      </c>
      <c r="P108" s="399">
        <f t="shared" si="44"/>
        <v>340.15999999999997</v>
      </c>
      <c r="Q108" s="308"/>
      <c r="R108" s="229">
        <f>+FRIJALISCO!K18</f>
        <v>7</v>
      </c>
      <c r="S108" s="91">
        <f t="shared" si="45"/>
        <v>2381.1200000000003</v>
      </c>
      <c r="T108" s="229">
        <f>+FRIJALISCO!P18</f>
        <v>0</v>
      </c>
      <c r="U108" s="91">
        <f t="shared" si="46"/>
        <v>0</v>
      </c>
      <c r="V108" s="229">
        <f>+FRIJALISCO!U18</f>
        <v>0</v>
      </c>
      <c r="W108" s="91">
        <f t="shared" si="47"/>
        <v>0</v>
      </c>
      <c r="X108" s="229">
        <f>+FRIJALISCO!Z18</f>
        <v>0</v>
      </c>
      <c r="Y108" s="91">
        <f t="shared" si="48"/>
        <v>0</v>
      </c>
      <c r="Z108" s="229">
        <f>+FRIJALISCO!AE15</f>
        <v>0</v>
      </c>
      <c r="AA108" s="91">
        <f t="shared" si="49"/>
        <v>0</v>
      </c>
      <c r="AB108" s="92"/>
      <c r="AC108" s="91"/>
      <c r="AD108" s="92"/>
      <c r="AE108" s="91"/>
      <c r="AF108" s="92"/>
      <c r="AG108" s="91"/>
      <c r="AH108" s="92"/>
      <c r="AI108" s="91"/>
      <c r="AJ108" s="92"/>
      <c r="AK108" s="91"/>
      <c r="AL108" s="92"/>
      <c r="AM108" s="91"/>
      <c r="AN108" s="92"/>
      <c r="AO108" s="91"/>
      <c r="AP108" s="92"/>
      <c r="AQ108" s="91"/>
    </row>
    <row r="109" spans="1:43" ht="16.5" hidden="1" thickBot="1" x14ac:dyDescent="0.3">
      <c r="A109" s="243"/>
      <c r="B109" s="244"/>
      <c r="C109" s="121"/>
      <c r="D109" s="121">
        <f t="shared" si="43"/>
        <v>0</v>
      </c>
      <c r="E109" s="121">
        <f t="shared" si="43"/>
        <v>0</v>
      </c>
      <c r="F109" s="121">
        <f t="shared" si="43"/>
        <v>0</v>
      </c>
      <c r="G109" s="121">
        <f t="shared" si="43"/>
        <v>0</v>
      </c>
      <c r="H109" s="121">
        <f t="shared" si="43"/>
        <v>0</v>
      </c>
      <c r="I109" s="121">
        <f t="shared" si="43"/>
        <v>0</v>
      </c>
      <c r="J109" s="121">
        <f t="shared" si="43"/>
        <v>0</v>
      </c>
      <c r="K109" s="121">
        <f t="shared" si="43"/>
        <v>0</v>
      </c>
      <c r="L109" s="121">
        <f t="shared" si="43"/>
        <v>0</v>
      </c>
      <c r="M109" s="121">
        <f t="shared" si="43"/>
        <v>0</v>
      </c>
      <c r="N109" s="121">
        <f t="shared" si="43"/>
        <v>0</v>
      </c>
      <c r="O109" s="296">
        <f t="shared" si="43"/>
        <v>0</v>
      </c>
      <c r="P109" s="399">
        <f t="shared" si="44"/>
        <v>0</v>
      </c>
      <c r="Q109" s="308"/>
      <c r="R109" s="229"/>
      <c r="S109" s="91"/>
      <c r="T109" s="92"/>
      <c r="U109" s="91"/>
      <c r="V109" s="92"/>
      <c r="W109" s="91"/>
      <c r="X109" s="92"/>
      <c r="Y109" s="91"/>
      <c r="Z109" s="92"/>
      <c r="AA109" s="91"/>
      <c r="AB109" s="92"/>
      <c r="AC109" s="91"/>
      <c r="AD109" s="92"/>
      <c r="AE109" s="91"/>
      <c r="AF109" s="92"/>
      <c r="AG109" s="91"/>
      <c r="AH109" s="92"/>
      <c r="AI109" s="91"/>
      <c r="AJ109" s="92"/>
      <c r="AK109" s="91"/>
      <c r="AL109" s="92"/>
      <c r="AM109" s="91"/>
      <c r="AN109" s="92"/>
      <c r="AO109" s="91"/>
      <c r="AP109" s="92"/>
      <c r="AQ109" s="91"/>
    </row>
    <row r="110" spans="1:43" ht="16.5" hidden="1" thickBot="1" x14ac:dyDescent="0.3">
      <c r="A110" s="243"/>
      <c r="B110" s="244"/>
      <c r="C110" s="121"/>
      <c r="D110" s="121">
        <f t="shared" si="43"/>
        <v>0</v>
      </c>
      <c r="E110" s="121">
        <f t="shared" si="43"/>
        <v>0</v>
      </c>
      <c r="F110" s="121">
        <f t="shared" si="43"/>
        <v>0</v>
      </c>
      <c r="G110" s="121">
        <f t="shared" si="43"/>
        <v>0</v>
      </c>
      <c r="H110" s="121">
        <f t="shared" si="43"/>
        <v>0</v>
      </c>
      <c r="I110" s="121">
        <f t="shared" si="43"/>
        <v>0</v>
      </c>
      <c r="J110" s="121">
        <f t="shared" si="43"/>
        <v>0</v>
      </c>
      <c r="K110" s="121">
        <f t="shared" si="43"/>
        <v>0</v>
      </c>
      <c r="L110" s="121">
        <f t="shared" si="43"/>
        <v>0</v>
      </c>
      <c r="M110" s="121">
        <f t="shared" si="43"/>
        <v>0</v>
      </c>
      <c r="N110" s="121">
        <f t="shared" si="43"/>
        <v>0</v>
      </c>
      <c r="O110" s="296">
        <f t="shared" si="43"/>
        <v>0</v>
      </c>
      <c r="P110" s="399">
        <f t="shared" si="44"/>
        <v>0</v>
      </c>
      <c r="Q110" s="308"/>
      <c r="R110" s="229"/>
      <c r="S110" s="91"/>
      <c r="T110" s="92"/>
      <c r="U110" s="91"/>
      <c r="V110" s="92"/>
      <c r="W110" s="91"/>
      <c r="X110" s="92"/>
      <c r="Y110" s="91"/>
      <c r="Z110" s="92"/>
      <c r="AA110" s="91"/>
      <c r="AB110" s="92"/>
      <c r="AC110" s="91"/>
      <c r="AD110" s="92"/>
      <c r="AE110" s="91"/>
      <c r="AF110" s="92"/>
      <c r="AG110" s="91"/>
      <c r="AH110" s="92"/>
      <c r="AI110" s="91"/>
      <c r="AJ110" s="92"/>
      <c r="AK110" s="91"/>
      <c r="AL110" s="92"/>
      <c r="AM110" s="91"/>
      <c r="AN110" s="118"/>
      <c r="AO110" s="119"/>
      <c r="AP110" s="92"/>
      <c r="AQ110" s="91"/>
    </row>
    <row r="111" spans="1:43" ht="16.5" hidden="1" thickBot="1" x14ac:dyDescent="0.3">
      <c r="A111" s="243"/>
      <c r="B111" s="244"/>
      <c r="C111" s="121"/>
      <c r="D111" s="121">
        <f t="shared" si="43"/>
        <v>0</v>
      </c>
      <c r="E111" s="121">
        <f t="shared" si="43"/>
        <v>0</v>
      </c>
      <c r="F111" s="121">
        <f t="shared" si="43"/>
        <v>0</v>
      </c>
      <c r="G111" s="121">
        <f t="shared" si="43"/>
        <v>0</v>
      </c>
      <c r="H111" s="121">
        <f t="shared" si="43"/>
        <v>0</v>
      </c>
      <c r="I111" s="121">
        <f t="shared" si="43"/>
        <v>0</v>
      </c>
      <c r="J111" s="121">
        <f t="shared" si="43"/>
        <v>0</v>
      </c>
      <c r="K111" s="121">
        <f t="shared" si="43"/>
        <v>0</v>
      </c>
      <c r="L111" s="121">
        <f t="shared" si="43"/>
        <v>0</v>
      </c>
      <c r="M111" s="121">
        <f t="shared" si="43"/>
        <v>0</v>
      </c>
      <c r="N111" s="121">
        <f t="shared" si="43"/>
        <v>0</v>
      </c>
      <c r="O111" s="296">
        <f t="shared" si="43"/>
        <v>0</v>
      </c>
      <c r="P111" s="403">
        <f t="shared" si="44"/>
        <v>0</v>
      </c>
      <c r="Q111" s="308"/>
      <c r="R111" s="229"/>
      <c r="S111" s="91"/>
      <c r="T111" s="92"/>
      <c r="U111" s="91"/>
      <c r="V111" s="92"/>
      <c r="W111" s="91"/>
      <c r="X111" s="92"/>
      <c r="Y111" s="91"/>
      <c r="Z111" s="92"/>
      <c r="AA111" s="91"/>
      <c r="AB111" s="92"/>
      <c r="AC111" s="91"/>
      <c r="AD111" s="92"/>
      <c r="AE111" s="91"/>
      <c r="AF111" s="92"/>
      <c r="AG111" s="91"/>
      <c r="AH111" s="92"/>
      <c r="AI111" s="91"/>
      <c r="AJ111" s="92"/>
      <c r="AK111" s="91"/>
      <c r="AL111" s="92"/>
      <c r="AM111" s="91"/>
      <c r="AN111" s="92"/>
      <c r="AO111" s="91"/>
      <c r="AP111" s="92"/>
      <c r="AQ111" s="91"/>
    </row>
    <row r="112" spans="1:43" ht="30" customHeight="1" thickBot="1" x14ac:dyDescent="0.3">
      <c r="A112" s="645" t="s">
        <v>90</v>
      </c>
      <c r="B112" s="646"/>
      <c r="C112" s="123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297"/>
      <c r="P112" s="404"/>
      <c r="Q112" s="310"/>
      <c r="R112" s="495">
        <f>+SUM(R97:R111)</f>
        <v>1372</v>
      </c>
      <c r="S112" s="495">
        <f t="shared" ref="S112:W112" si="50">+SUM(S97:S111)</f>
        <v>449970.4</v>
      </c>
      <c r="T112" s="495">
        <f t="shared" si="50"/>
        <v>2464</v>
      </c>
      <c r="U112" s="495">
        <f t="shared" si="50"/>
        <v>666908.80000000005</v>
      </c>
      <c r="V112" s="495">
        <f t="shared" si="50"/>
        <v>3930</v>
      </c>
      <c r="W112" s="495">
        <f t="shared" si="50"/>
        <v>1084783.83</v>
      </c>
      <c r="X112" s="495">
        <f t="shared" ref="X112:Z112" si="51">+SUM(X97:X111)</f>
        <v>4584</v>
      </c>
      <c r="Y112" s="495">
        <f t="shared" ref="Y112:AA112" si="52">+SUM(Y97:Y111)</f>
        <v>1231167.73</v>
      </c>
      <c r="Z112" s="495">
        <f t="shared" si="51"/>
        <v>7351</v>
      </c>
      <c r="AA112" s="495">
        <f t="shared" si="52"/>
        <v>1993599.98</v>
      </c>
      <c r="AB112" s="118"/>
      <c r="AC112" s="117"/>
      <c r="AD112" s="118"/>
      <c r="AE112" s="117"/>
      <c r="AF112" s="118"/>
      <c r="AG112" s="117"/>
      <c r="AH112" s="294"/>
      <c r="AI112" s="294"/>
      <c r="AJ112" s="118"/>
      <c r="AK112" s="117"/>
      <c r="AL112" s="118"/>
      <c r="AM112" s="119"/>
      <c r="AN112" s="293"/>
      <c r="AO112" s="116"/>
      <c r="AP112" s="118"/>
      <c r="AQ112" s="119"/>
    </row>
    <row r="113" spans="1:43" ht="15" x14ac:dyDescent="0.25">
      <c r="A113" s="649"/>
      <c r="B113" s="650"/>
      <c r="C113" s="650"/>
      <c r="D113" s="650"/>
      <c r="E113" s="650"/>
      <c r="F113" s="650"/>
      <c r="G113" s="650"/>
      <c r="H113" s="650"/>
      <c r="I113" s="650"/>
      <c r="J113" s="650"/>
      <c r="K113" s="650"/>
      <c r="L113" s="650"/>
      <c r="M113" s="650"/>
      <c r="N113" s="650"/>
      <c r="O113" s="650"/>
      <c r="P113" s="650"/>
      <c r="Q113" s="650"/>
      <c r="R113" s="650"/>
      <c r="S113" s="650"/>
      <c r="T113" s="650"/>
      <c r="U113" s="650"/>
      <c r="V113" s="650"/>
      <c r="W113" s="650"/>
      <c r="X113" s="650"/>
      <c r="Y113" s="650"/>
      <c r="Z113" s="650"/>
      <c r="AA113" s="650"/>
      <c r="AB113" s="650"/>
      <c r="AC113" s="650"/>
      <c r="AD113" s="650"/>
      <c r="AE113" s="650"/>
      <c r="AF113" s="650"/>
      <c r="AG113" s="650"/>
      <c r="AH113" s="650"/>
      <c r="AI113" s="650"/>
      <c r="AJ113" s="650"/>
      <c r="AK113" s="650"/>
      <c r="AL113" s="650"/>
      <c r="AM113" s="650"/>
      <c r="AN113" s="650"/>
      <c r="AO113" s="650"/>
      <c r="AP113" s="650"/>
      <c r="AQ113" s="650"/>
    </row>
    <row r="114" spans="1:43" ht="16.5" thickBot="1" x14ac:dyDescent="0.3">
      <c r="A114" s="651" t="s">
        <v>91</v>
      </c>
      <c r="B114" s="652"/>
      <c r="Q114" s="305"/>
    </row>
    <row r="115" spans="1:43" x14ac:dyDescent="0.25">
      <c r="A115" s="267">
        <v>807769</v>
      </c>
      <c r="B115" s="268" t="s">
        <v>77</v>
      </c>
      <c r="C115" s="292">
        <v>345.32</v>
      </c>
      <c r="D115" s="292">
        <f>+C115</f>
        <v>345.32</v>
      </c>
      <c r="E115" s="292">
        <f t="shared" ref="E115:O115" si="53">+D115</f>
        <v>345.32</v>
      </c>
      <c r="F115" s="292">
        <f t="shared" si="53"/>
        <v>345.32</v>
      </c>
      <c r="G115" s="292">
        <f t="shared" si="53"/>
        <v>345.32</v>
      </c>
      <c r="H115" s="292">
        <f t="shared" si="53"/>
        <v>345.32</v>
      </c>
      <c r="I115" s="292">
        <f t="shared" si="53"/>
        <v>345.32</v>
      </c>
      <c r="J115" s="292">
        <f t="shared" si="53"/>
        <v>345.32</v>
      </c>
      <c r="K115" s="292">
        <f t="shared" si="53"/>
        <v>345.32</v>
      </c>
      <c r="L115" s="292">
        <f t="shared" si="53"/>
        <v>345.32</v>
      </c>
      <c r="M115" s="292">
        <f t="shared" si="53"/>
        <v>345.32</v>
      </c>
      <c r="N115" s="292">
        <f t="shared" si="53"/>
        <v>345.32</v>
      </c>
      <c r="O115" s="300">
        <f t="shared" si="53"/>
        <v>345.32</v>
      </c>
      <c r="P115" s="405">
        <f>+AVERAGE(D115:O115)</f>
        <v>345.32000000000011</v>
      </c>
      <c r="Q115" s="312"/>
      <c r="R115" s="229">
        <f>+'BAJO CERO'!H2</f>
        <v>892</v>
      </c>
      <c r="S115" s="91">
        <f>+R115*D115</f>
        <v>308025.44</v>
      </c>
      <c r="T115" s="229">
        <f>+'BAJO CERO'!M2</f>
        <v>892</v>
      </c>
      <c r="U115" s="91">
        <f>+T115*E115</f>
        <v>308025.44</v>
      </c>
      <c r="V115" s="229">
        <f>+'BAJO CERO'!R2</f>
        <v>892</v>
      </c>
      <c r="W115" s="91">
        <f t="shared" ref="W115:W134" si="54">+V115*F115</f>
        <v>308025.44</v>
      </c>
      <c r="X115" s="229">
        <f>+'BAJO CERO'!W2</f>
        <v>177</v>
      </c>
      <c r="Y115" s="91">
        <f>+X115*G115</f>
        <v>61121.64</v>
      </c>
      <c r="Z115" s="229">
        <f>+'BAJO CERO'!AB2</f>
        <v>177</v>
      </c>
      <c r="AA115" s="292">
        <f>+Z115*H115</f>
        <v>61121.64</v>
      </c>
      <c r="AB115" s="292"/>
      <c r="AC115" s="292"/>
      <c r="AD115" s="292"/>
      <c r="AE115" s="292"/>
      <c r="AF115" s="292"/>
      <c r="AG115" s="292"/>
      <c r="AH115" s="292"/>
      <c r="AI115" s="292"/>
      <c r="AJ115" s="292"/>
      <c r="AK115" s="292"/>
      <c r="AL115" s="292"/>
      <c r="AM115" s="292"/>
      <c r="AP115" s="292"/>
      <c r="AQ115" s="292"/>
    </row>
    <row r="116" spans="1:43" x14ac:dyDescent="0.25">
      <c r="A116" s="243">
        <v>807329</v>
      </c>
      <c r="B116" s="244" t="s">
        <v>78</v>
      </c>
      <c r="C116" s="292">
        <v>344.73</v>
      </c>
      <c r="D116" s="292">
        <f t="shared" ref="D116:O138" si="55">+C116</f>
        <v>344.73</v>
      </c>
      <c r="E116" s="292">
        <f t="shared" si="55"/>
        <v>344.73</v>
      </c>
      <c r="F116" s="292">
        <f t="shared" si="55"/>
        <v>344.73</v>
      </c>
      <c r="G116" s="292">
        <f t="shared" si="55"/>
        <v>344.73</v>
      </c>
      <c r="H116" s="292">
        <f t="shared" si="55"/>
        <v>344.73</v>
      </c>
      <c r="I116" s="292">
        <f t="shared" si="55"/>
        <v>344.73</v>
      </c>
      <c r="J116" s="292">
        <f t="shared" si="55"/>
        <v>344.73</v>
      </c>
      <c r="K116" s="292">
        <f t="shared" si="55"/>
        <v>344.73</v>
      </c>
      <c r="L116" s="292">
        <f t="shared" si="55"/>
        <v>344.73</v>
      </c>
      <c r="M116" s="292">
        <f t="shared" si="55"/>
        <v>344.73</v>
      </c>
      <c r="N116" s="292">
        <f t="shared" si="55"/>
        <v>344.73</v>
      </c>
      <c r="O116" s="300">
        <f t="shared" si="55"/>
        <v>344.73</v>
      </c>
      <c r="P116" s="406">
        <f t="shared" ref="P116:P138" si="56">+AVERAGE(D116:O116)</f>
        <v>344.73</v>
      </c>
      <c r="Q116" s="313"/>
      <c r="R116" s="229">
        <f>+'BAJO CERO'!H3</f>
        <v>270</v>
      </c>
      <c r="S116" s="91">
        <f t="shared" ref="S116:S134" si="57">+R116*D116</f>
        <v>93077.1</v>
      </c>
      <c r="T116" s="229">
        <f>+'BAJO CERO'!M3</f>
        <v>270</v>
      </c>
      <c r="U116" s="91">
        <f t="shared" ref="U116:U138" si="58">+T116*E116</f>
        <v>93077.1</v>
      </c>
      <c r="V116" s="229">
        <f>+'BAJO CERO'!R3</f>
        <v>270</v>
      </c>
      <c r="W116" s="91">
        <f t="shared" si="54"/>
        <v>93077.1</v>
      </c>
      <c r="X116" s="229">
        <f>+'BAJO CERO'!W3</f>
        <v>145</v>
      </c>
      <c r="Y116" s="91">
        <f t="shared" ref="Y116:Y138" si="59">+X116*G116</f>
        <v>49985.850000000006</v>
      </c>
      <c r="Z116" s="229">
        <f>+'BAJO CERO'!AB3</f>
        <v>145</v>
      </c>
      <c r="AA116" s="292">
        <f t="shared" ref="AA116:AA138" si="60">+Z116*H116</f>
        <v>49985.850000000006</v>
      </c>
      <c r="AB116" s="292"/>
      <c r="AC116" s="292"/>
      <c r="AD116" s="292"/>
      <c r="AE116" s="292"/>
      <c r="AF116" s="292"/>
      <c r="AG116" s="292"/>
      <c r="AH116" s="292"/>
      <c r="AI116" s="292"/>
      <c r="AJ116" s="292"/>
      <c r="AK116" s="292"/>
      <c r="AL116" s="292"/>
      <c r="AM116" s="292"/>
      <c r="AP116" s="292"/>
      <c r="AQ116" s="292"/>
    </row>
    <row r="117" spans="1:43" x14ac:dyDescent="0.25">
      <c r="A117" s="243">
        <v>805411</v>
      </c>
      <c r="B117" s="244" t="s">
        <v>79</v>
      </c>
      <c r="C117" s="292">
        <v>334.1</v>
      </c>
      <c r="D117" s="292">
        <f t="shared" si="55"/>
        <v>334.1</v>
      </c>
      <c r="E117" s="292">
        <f t="shared" si="55"/>
        <v>334.1</v>
      </c>
      <c r="F117" s="292">
        <f t="shared" si="55"/>
        <v>334.1</v>
      </c>
      <c r="G117" s="292">
        <f t="shared" si="55"/>
        <v>334.1</v>
      </c>
      <c r="H117" s="292">
        <f t="shared" si="55"/>
        <v>334.1</v>
      </c>
      <c r="I117" s="292">
        <f t="shared" si="55"/>
        <v>334.1</v>
      </c>
      <c r="J117" s="292">
        <f t="shared" si="55"/>
        <v>334.1</v>
      </c>
      <c r="K117" s="292">
        <f t="shared" si="55"/>
        <v>334.1</v>
      </c>
      <c r="L117" s="292">
        <f t="shared" si="55"/>
        <v>334.1</v>
      </c>
      <c r="M117" s="292">
        <f t="shared" si="55"/>
        <v>334.1</v>
      </c>
      <c r="N117" s="292">
        <f t="shared" si="55"/>
        <v>334.1</v>
      </c>
      <c r="O117" s="300">
        <f t="shared" si="55"/>
        <v>334.1</v>
      </c>
      <c r="P117" s="406">
        <f t="shared" si="56"/>
        <v>334.09999999999997</v>
      </c>
      <c r="Q117" s="313"/>
      <c r="R117" s="229">
        <f>+'BAJO CERO'!H4</f>
        <v>0</v>
      </c>
      <c r="S117" s="91">
        <f t="shared" si="57"/>
        <v>0</v>
      </c>
      <c r="T117" s="229">
        <f>+'BAJO CERO'!M4</f>
        <v>0</v>
      </c>
      <c r="U117" s="91">
        <f t="shared" si="58"/>
        <v>0</v>
      </c>
      <c r="V117" s="229">
        <f>+'BAJO CERO'!R4</f>
        <v>0</v>
      </c>
      <c r="W117" s="91">
        <f t="shared" si="54"/>
        <v>0</v>
      </c>
      <c r="X117" s="229">
        <f>+'BAJO CERO'!W4</f>
        <v>0</v>
      </c>
      <c r="Y117" s="91">
        <f t="shared" si="59"/>
        <v>0</v>
      </c>
      <c r="Z117" s="229">
        <f>+'BAJO CERO'!AB4</f>
        <v>0</v>
      </c>
      <c r="AA117" s="292">
        <f t="shared" si="60"/>
        <v>0</v>
      </c>
      <c r="AB117" s="292"/>
      <c r="AC117" s="292"/>
      <c r="AD117" s="292"/>
      <c r="AE117" s="292"/>
      <c r="AF117" s="292"/>
      <c r="AG117" s="292"/>
      <c r="AH117" s="292"/>
      <c r="AI117" s="292"/>
      <c r="AJ117" s="292"/>
      <c r="AK117" s="292"/>
      <c r="AL117" s="292"/>
      <c r="AM117" s="292"/>
      <c r="AP117" s="292"/>
      <c r="AQ117" s="292"/>
    </row>
    <row r="118" spans="1:43" x14ac:dyDescent="0.25">
      <c r="A118" s="243">
        <v>807679</v>
      </c>
      <c r="B118" s="244" t="s">
        <v>80</v>
      </c>
      <c r="C118" s="292">
        <v>381.44</v>
      </c>
      <c r="D118" s="292">
        <f t="shared" si="55"/>
        <v>381.44</v>
      </c>
      <c r="E118" s="292">
        <f t="shared" si="55"/>
        <v>381.44</v>
      </c>
      <c r="F118" s="292">
        <f t="shared" si="55"/>
        <v>381.44</v>
      </c>
      <c r="G118" s="292">
        <f t="shared" si="55"/>
        <v>381.44</v>
      </c>
      <c r="H118" s="292">
        <f t="shared" si="55"/>
        <v>381.44</v>
      </c>
      <c r="I118" s="292">
        <f t="shared" si="55"/>
        <v>381.44</v>
      </c>
      <c r="J118" s="292">
        <f t="shared" si="55"/>
        <v>381.44</v>
      </c>
      <c r="K118" s="292">
        <f t="shared" si="55"/>
        <v>381.44</v>
      </c>
      <c r="L118" s="292">
        <f t="shared" si="55"/>
        <v>381.44</v>
      </c>
      <c r="M118" s="292">
        <f t="shared" si="55"/>
        <v>381.44</v>
      </c>
      <c r="N118" s="292">
        <f t="shared" si="55"/>
        <v>381.44</v>
      </c>
      <c r="O118" s="300">
        <f t="shared" si="55"/>
        <v>381.44</v>
      </c>
      <c r="P118" s="406">
        <f t="shared" si="56"/>
        <v>381.44</v>
      </c>
      <c r="Q118" s="313"/>
      <c r="R118" s="229">
        <f>+'BAJO CERO'!H5</f>
        <v>193</v>
      </c>
      <c r="S118" s="91">
        <f t="shared" si="57"/>
        <v>73617.919999999998</v>
      </c>
      <c r="T118" s="229">
        <f>+'BAJO CERO'!M5</f>
        <v>173</v>
      </c>
      <c r="U118" s="91">
        <f t="shared" si="58"/>
        <v>65989.119999999995</v>
      </c>
      <c r="V118" s="229">
        <f>+'BAJO CERO'!R5</f>
        <v>63</v>
      </c>
      <c r="W118" s="91">
        <f t="shared" si="54"/>
        <v>24030.720000000001</v>
      </c>
      <c r="X118" s="229">
        <f>+'BAJO CERO'!W5</f>
        <v>3</v>
      </c>
      <c r="Y118" s="91">
        <f t="shared" si="59"/>
        <v>1144.32</v>
      </c>
      <c r="Z118" s="229">
        <f>+'BAJO CERO'!AB5</f>
        <v>0</v>
      </c>
      <c r="AA118" s="292">
        <f t="shared" si="60"/>
        <v>0</v>
      </c>
      <c r="AB118" s="292"/>
      <c r="AC118" s="292"/>
      <c r="AD118" s="292"/>
      <c r="AE118" s="292"/>
      <c r="AF118" s="292"/>
      <c r="AG118" s="292"/>
      <c r="AH118" s="292"/>
      <c r="AI118" s="292"/>
      <c r="AJ118" s="292"/>
      <c r="AK118" s="292"/>
      <c r="AL118" s="292"/>
      <c r="AM118" s="292"/>
      <c r="AP118" s="292"/>
      <c r="AQ118" s="292"/>
    </row>
    <row r="119" spans="1:43" x14ac:dyDescent="0.25">
      <c r="A119" s="243">
        <v>260612</v>
      </c>
      <c r="B119" s="244" t="s">
        <v>74</v>
      </c>
      <c r="C119" s="292">
        <v>280.20999999999998</v>
      </c>
      <c r="D119" s="292">
        <f t="shared" si="55"/>
        <v>280.20999999999998</v>
      </c>
      <c r="E119" s="292">
        <f t="shared" si="55"/>
        <v>280.20999999999998</v>
      </c>
      <c r="F119" s="292">
        <f t="shared" si="55"/>
        <v>280.20999999999998</v>
      </c>
      <c r="G119" s="292">
        <f t="shared" si="55"/>
        <v>280.20999999999998</v>
      </c>
      <c r="H119" s="292">
        <f t="shared" si="55"/>
        <v>280.20999999999998</v>
      </c>
      <c r="I119" s="292">
        <f t="shared" si="55"/>
        <v>280.20999999999998</v>
      </c>
      <c r="J119" s="292">
        <f t="shared" si="55"/>
        <v>280.20999999999998</v>
      </c>
      <c r="K119" s="292">
        <f t="shared" si="55"/>
        <v>280.20999999999998</v>
      </c>
      <c r="L119" s="292">
        <f t="shared" si="55"/>
        <v>280.20999999999998</v>
      </c>
      <c r="M119" s="292">
        <f t="shared" si="55"/>
        <v>280.20999999999998</v>
      </c>
      <c r="N119" s="292">
        <f t="shared" si="55"/>
        <v>280.20999999999998</v>
      </c>
      <c r="O119" s="300">
        <f t="shared" si="55"/>
        <v>280.20999999999998</v>
      </c>
      <c r="P119" s="406">
        <f t="shared" si="56"/>
        <v>280.20999999999998</v>
      </c>
      <c r="Q119" s="313"/>
      <c r="R119" s="229">
        <f>+'BAJO CERO'!H6</f>
        <v>83</v>
      </c>
      <c r="S119" s="91">
        <f t="shared" si="57"/>
        <v>23257.429999999997</v>
      </c>
      <c r="T119" s="229">
        <f>+'BAJO CERO'!M6</f>
        <v>83</v>
      </c>
      <c r="U119" s="91">
        <f t="shared" si="58"/>
        <v>23257.429999999997</v>
      </c>
      <c r="V119" s="229">
        <f>+'BAJO CERO'!R6</f>
        <v>83</v>
      </c>
      <c r="W119" s="91">
        <f t="shared" si="54"/>
        <v>23257.429999999997</v>
      </c>
      <c r="X119" s="229">
        <f>+'BAJO CERO'!W6</f>
        <v>83</v>
      </c>
      <c r="Y119" s="91">
        <f t="shared" si="59"/>
        <v>23257.429999999997</v>
      </c>
      <c r="Z119" s="229">
        <f>+'BAJO CERO'!AB6</f>
        <v>0</v>
      </c>
      <c r="AA119" s="292">
        <f t="shared" si="60"/>
        <v>0</v>
      </c>
      <c r="AB119" s="292"/>
      <c r="AC119" s="292"/>
      <c r="AD119" s="292"/>
      <c r="AE119" s="292"/>
      <c r="AF119" s="292"/>
      <c r="AG119" s="292"/>
      <c r="AH119" s="292"/>
      <c r="AI119" s="292"/>
      <c r="AJ119" s="292"/>
      <c r="AK119" s="292"/>
      <c r="AL119" s="292"/>
      <c r="AM119" s="292"/>
      <c r="AP119" s="292"/>
      <c r="AQ119" s="292"/>
    </row>
    <row r="120" spans="1:43" x14ac:dyDescent="0.25">
      <c r="A120" s="243">
        <v>802142</v>
      </c>
      <c r="B120" s="244" t="s">
        <v>92</v>
      </c>
      <c r="C120" s="292">
        <v>302.66000000000003</v>
      </c>
      <c r="D120" s="292">
        <f t="shared" si="55"/>
        <v>302.66000000000003</v>
      </c>
      <c r="E120" s="292">
        <f t="shared" si="55"/>
        <v>302.66000000000003</v>
      </c>
      <c r="F120" s="292">
        <f t="shared" si="55"/>
        <v>302.66000000000003</v>
      </c>
      <c r="G120" s="292">
        <f t="shared" si="55"/>
        <v>302.66000000000003</v>
      </c>
      <c r="H120" s="292">
        <f t="shared" si="55"/>
        <v>302.66000000000003</v>
      </c>
      <c r="I120" s="292">
        <f t="shared" si="55"/>
        <v>302.66000000000003</v>
      </c>
      <c r="J120" s="292">
        <f t="shared" si="55"/>
        <v>302.66000000000003</v>
      </c>
      <c r="K120" s="292">
        <f t="shared" si="55"/>
        <v>302.66000000000003</v>
      </c>
      <c r="L120" s="292">
        <f t="shared" si="55"/>
        <v>302.66000000000003</v>
      </c>
      <c r="M120" s="292">
        <f t="shared" si="55"/>
        <v>302.66000000000003</v>
      </c>
      <c r="N120" s="292">
        <f t="shared" si="55"/>
        <v>302.66000000000003</v>
      </c>
      <c r="O120" s="300">
        <f t="shared" si="55"/>
        <v>302.66000000000003</v>
      </c>
      <c r="P120" s="406">
        <f t="shared" si="56"/>
        <v>302.65999999999997</v>
      </c>
      <c r="Q120" s="313"/>
      <c r="R120" s="229">
        <f>+'BAJO CERO'!H7</f>
        <v>0</v>
      </c>
      <c r="S120" s="91">
        <f t="shared" si="57"/>
        <v>0</v>
      </c>
      <c r="T120" s="229">
        <f>+'BAJO CERO'!M7</f>
        <v>0</v>
      </c>
      <c r="U120" s="91">
        <f t="shared" si="58"/>
        <v>0</v>
      </c>
      <c r="V120" s="229">
        <f>+'BAJO CERO'!R7</f>
        <v>0</v>
      </c>
      <c r="W120" s="91">
        <f t="shared" si="54"/>
        <v>0</v>
      </c>
      <c r="X120" s="229">
        <f>+'BAJO CERO'!W7</f>
        <v>0</v>
      </c>
      <c r="Y120" s="91">
        <f t="shared" si="59"/>
        <v>0</v>
      </c>
      <c r="Z120" s="229">
        <f>+'BAJO CERO'!AB7</f>
        <v>0</v>
      </c>
      <c r="AA120" s="292">
        <f t="shared" si="60"/>
        <v>0</v>
      </c>
      <c r="AB120" s="292"/>
      <c r="AC120" s="292"/>
      <c r="AD120" s="292"/>
      <c r="AE120" s="292"/>
      <c r="AF120" s="292"/>
      <c r="AG120" s="292"/>
      <c r="AH120" s="292"/>
      <c r="AI120" s="292"/>
      <c r="AJ120" s="292"/>
      <c r="AK120" s="292"/>
      <c r="AL120" s="292"/>
      <c r="AM120" s="292"/>
      <c r="AP120" s="292"/>
      <c r="AQ120" s="292"/>
    </row>
    <row r="121" spans="1:43" x14ac:dyDescent="0.25">
      <c r="A121" s="243" t="s">
        <v>93</v>
      </c>
      <c r="B121" s="244" t="s">
        <v>94</v>
      </c>
      <c r="C121" s="292">
        <v>315.08999999999997</v>
      </c>
      <c r="D121" s="292">
        <f t="shared" si="55"/>
        <v>315.08999999999997</v>
      </c>
      <c r="E121" s="292">
        <f t="shared" si="55"/>
        <v>315.08999999999997</v>
      </c>
      <c r="F121" s="292">
        <f t="shared" si="55"/>
        <v>315.08999999999997</v>
      </c>
      <c r="G121" s="292">
        <f t="shared" si="55"/>
        <v>315.08999999999997</v>
      </c>
      <c r="H121" s="292">
        <f t="shared" si="55"/>
        <v>315.08999999999997</v>
      </c>
      <c r="I121" s="292">
        <f t="shared" si="55"/>
        <v>315.08999999999997</v>
      </c>
      <c r="J121" s="292">
        <f t="shared" si="55"/>
        <v>315.08999999999997</v>
      </c>
      <c r="K121" s="292">
        <f t="shared" si="55"/>
        <v>315.08999999999997</v>
      </c>
      <c r="L121" s="292">
        <f t="shared" si="55"/>
        <v>315.08999999999997</v>
      </c>
      <c r="M121" s="292">
        <f t="shared" si="55"/>
        <v>315.08999999999997</v>
      </c>
      <c r="N121" s="292">
        <f t="shared" si="55"/>
        <v>315.08999999999997</v>
      </c>
      <c r="O121" s="300">
        <f t="shared" si="55"/>
        <v>315.08999999999997</v>
      </c>
      <c r="P121" s="406">
        <f t="shared" si="56"/>
        <v>315.09000000000003</v>
      </c>
      <c r="Q121" s="313"/>
      <c r="R121" s="229">
        <f>+'BAJO CERO'!H8</f>
        <v>173</v>
      </c>
      <c r="S121" s="91">
        <f t="shared" si="57"/>
        <v>54510.569999999992</v>
      </c>
      <c r="T121" s="229">
        <f>+'BAJO CERO'!M8</f>
        <v>173</v>
      </c>
      <c r="U121" s="91">
        <f t="shared" si="58"/>
        <v>54510.569999999992</v>
      </c>
      <c r="V121" s="229">
        <f>+'BAJO CERO'!R8</f>
        <v>173</v>
      </c>
      <c r="W121" s="91">
        <f t="shared" si="54"/>
        <v>54510.569999999992</v>
      </c>
      <c r="X121" s="229">
        <f>+'BAJO CERO'!W8</f>
        <v>173</v>
      </c>
      <c r="Y121" s="91">
        <f t="shared" si="59"/>
        <v>54510.569999999992</v>
      </c>
      <c r="Z121" s="229">
        <f>+'BAJO CERO'!AB8</f>
        <v>173</v>
      </c>
      <c r="AA121" s="292">
        <f t="shared" si="60"/>
        <v>54510.569999999992</v>
      </c>
      <c r="AB121" s="292"/>
      <c r="AC121" s="292"/>
      <c r="AD121" s="292"/>
      <c r="AE121" s="292"/>
      <c r="AF121" s="292"/>
      <c r="AG121" s="292"/>
      <c r="AH121" s="292"/>
      <c r="AI121" s="292"/>
      <c r="AJ121" s="292"/>
      <c r="AK121" s="292"/>
      <c r="AL121" s="292"/>
      <c r="AM121" s="292"/>
      <c r="AP121" s="292"/>
      <c r="AQ121" s="292"/>
    </row>
    <row r="122" spans="1:43" x14ac:dyDescent="0.25">
      <c r="A122" s="243">
        <v>806685</v>
      </c>
      <c r="B122" s="244" t="s">
        <v>57</v>
      </c>
      <c r="C122" s="292"/>
      <c r="D122" s="292">
        <f t="shared" si="55"/>
        <v>0</v>
      </c>
      <c r="E122" s="292">
        <f t="shared" si="55"/>
        <v>0</v>
      </c>
      <c r="F122" s="292">
        <f t="shared" si="55"/>
        <v>0</v>
      </c>
      <c r="G122" s="292">
        <f t="shared" si="55"/>
        <v>0</v>
      </c>
      <c r="H122" s="292">
        <f t="shared" si="55"/>
        <v>0</v>
      </c>
      <c r="I122" s="292">
        <f t="shared" si="55"/>
        <v>0</v>
      </c>
      <c r="J122" s="292">
        <f t="shared" si="55"/>
        <v>0</v>
      </c>
      <c r="K122" s="292">
        <f t="shared" si="55"/>
        <v>0</v>
      </c>
      <c r="L122" s="292">
        <f t="shared" si="55"/>
        <v>0</v>
      </c>
      <c r="M122" s="292">
        <f t="shared" si="55"/>
        <v>0</v>
      </c>
      <c r="N122" s="292">
        <f t="shared" si="55"/>
        <v>0</v>
      </c>
      <c r="O122" s="300">
        <f t="shared" si="55"/>
        <v>0</v>
      </c>
      <c r="P122" s="406">
        <f t="shared" si="56"/>
        <v>0</v>
      </c>
      <c r="Q122" s="313"/>
      <c r="R122" s="229">
        <f>+'BAJO CERO'!H9</f>
        <v>0</v>
      </c>
      <c r="S122" s="91">
        <f t="shared" si="57"/>
        <v>0</v>
      </c>
      <c r="T122" s="229">
        <f>+'BAJO CERO'!M9</f>
        <v>0</v>
      </c>
      <c r="U122" s="91">
        <f t="shared" si="58"/>
        <v>0</v>
      </c>
      <c r="V122" s="229">
        <f>+'BAJO CERO'!R9</f>
        <v>0</v>
      </c>
      <c r="W122" s="91">
        <f t="shared" si="54"/>
        <v>0</v>
      </c>
      <c r="X122" s="229">
        <f>+'BAJO CERO'!W9</f>
        <v>0</v>
      </c>
      <c r="Y122" s="91">
        <f t="shared" si="59"/>
        <v>0</v>
      </c>
      <c r="Z122" s="229">
        <f>+'BAJO CERO'!AB9</f>
        <v>0</v>
      </c>
      <c r="AA122" s="292">
        <f t="shared" si="60"/>
        <v>0</v>
      </c>
      <c r="AB122" s="292"/>
      <c r="AC122" s="292"/>
      <c r="AD122" s="292"/>
      <c r="AE122" s="292"/>
      <c r="AF122" s="292"/>
      <c r="AG122" s="292"/>
      <c r="AH122" s="292"/>
      <c r="AI122" s="292"/>
      <c r="AJ122" s="292"/>
      <c r="AK122" s="292"/>
      <c r="AL122" s="292"/>
      <c r="AM122" s="292"/>
      <c r="AP122" s="292"/>
      <c r="AQ122" s="292"/>
    </row>
    <row r="123" spans="1:43" x14ac:dyDescent="0.25">
      <c r="A123" s="243">
        <v>804104</v>
      </c>
      <c r="B123" s="244" t="s">
        <v>69</v>
      </c>
      <c r="C123" s="292">
        <v>330.18</v>
      </c>
      <c r="D123" s="292">
        <f t="shared" si="55"/>
        <v>330.18</v>
      </c>
      <c r="E123" s="292">
        <f t="shared" si="55"/>
        <v>330.18</v>
      </c>
      <c r="F123" s="292">
        <f t="shared" si="55"/>
        <v>330.18</v>
      </c>
      <c r="G123" s="292">
        <f t="shared" si="55"/>
        <v>330.18</v>
      </c>
      <c r="H123" s="292">
        <f t="shared" si="55"/>
        <v>330.18</v>
      </c>
      <c r="I123" s="292">
        <f t="shared" si="55"/>
        <v>330.18</v>
      </c>
      <c r="J123" s="292">
        <f t="shared" si="55"/>
        <v>330.18</v>
      </c>
      <c r="K123" s="292">
        <f t="shared" si="55"/>
        <v>330.18</v>
      </c>
      <c r="L123" s="292">
        <f t="shared" si="55"/>
        <v>330.18</v>
      </c>
      <c r="M123" s="292">
        <f t="shared" si="55"/>
        <v>330.18</v>
      </c>
      <c r="N123" s="292">
        <f t="shared" si="55"/>
        <v>330.18</v>
      </c>
      <c r="O123" s="300">
        <f t="shared" si="55"/>
        <v>330.18</v>
      </c>
      <c r="P123" s="406">
        <f t="shared" si="56"/>
        <v>330.17999999999995</v>
      </c>
      <c r="Q123" s="313"/>
      <c r="R123" s="229">
        <f>+'BAJO CERO'!H10</f>
        <v>0</v>
      </c>
      <c r="S123" s="91">
        <f t="shared" si="57"/>
        <v>0</v>
      </c>
      <c r="T123" s="229">
        <f>+'BAJO CERO'!M10</f>
        <v>0</v>
      </c>
      <c r="U123" s="91">
        <f t="shared" si="58"/>
        <v>0</v>
      </c>
      <c r="V123" s="229">
        <f>+'BAJO CERO'!R10</f>
        <v>0</v>
      </c>
      <c r="W123" s="91">
        <f t="shared" si="54"/>
        <v>0</v>
      </c>
      <c r="X123" s="229">
        <f>+'BAJO CERO'!W10</f>
        <v>0</v>
      </c>
      <c r="Y123" s="91">
        <f t="shared" si="59"/>
        <v>0</v>
      </c>
      <c r="Z123" s="229">
        <f>+'BAJO CERO'!AB10</f>
        <v>0</v>
      </c>
      <c r="AA123" s="292">
        <f t="shared" si="60"/>
        <v>0</v>
      </c>
      <c r="AB123" s="292"/>
      <c r="AC123" s="292"/>
      <c r="AD123" s="292"/>
      <c r="AE123" s="292"/>
      <c r="AF123" s="292"/>
      <c r="AG123" s="292"/>
      <c r="AH123" s="292"/>
      <c r="AI123" s="292"/>
      <c r="AJ123" s="292"/>
      <c r="AK123" s="292"/>
      <c r="AL123" s="292"/>
      <c r="AM123" s="292"/>
      <c r="AP123" s="292"/>
      <c r="AQ123" s="292"/>
    </row>
    <row r="124" spans="1:43" x14ac:dyDescent="0.25">
      <c r="A124" s="243">
        <v>806686</v>
      </c>
      <c r="B124" s="244" t="s">
        <v>70</v>
      </c>
      <c r="C124" s="292">
        <v>312.32</v>
      </c>
      <c r="D124" s="292">
        <f t="shared" si="55"/>
        <v>312.32</v>
      </c>
      <c r="E124" s="292">
        <f t="shared" si="55"/>
        <v>312.32</v>
      </c>
      <c r="F124" s="292">
        <f t="shared" si="55"/>
        <v>312.32</v>
      </c>
      <c r="G124" s="292">
        <f t="shared" si="55"/>
        <v>312.32</v>
      </c>
      <c r="H124" s="292">
        <f t="shared" si="55"/>
        <v>312.32</v>
      </c>
      <c r="I124" s="292">
        <f t="shared" si="55"/>
        <v>312.32</v>
      </c>
      <c r="J124" s="292">
        <f t="shared" si="55"/>
        <v>312.32</v>
      </c>
      <c r="K124" s="292">
        <f t="shared" si="55"/>
        <v>312.32</v>
      </c>
      <c r="L124" s="292">
        <f t="shared" si="55"/>
        <v>312.32</v>
      </c>
      <c r="M124" s="292">
        <f t="shared" si="55"/>
        <v>312.32</v>
      </c>
      <c r="N124" s="292">
        <f t="shared" si="55"/>
        <v>312.32</v>
      </c>
      <c r="O124" s="300">
        <f t="shared" si="55"/>
        <v>312.32</v>
      </c>
      <c r="P124" s="406">
        <f t="shared" si="56"/>
        <v>312.32000000000005</v>
      </c>
      <c r="Q124" s="313"/>
      <c r="R124" s="229">
        <f>+'BAJO CERO'!H11</f>
        <v>0</v>
      </c>
      <c r="S124" s="91">
        <f t="shared" si="57"/>
        <v>0</v>
      </c>
      <c r="T124" s="229">
        <f>+'BAJO CERO'!M11</f>
        <v>0</v>
      </c>
      <c r="U124" s="91">
        <f t="shared" si="58"/>
        <v>0</v>
      </c>
      <c r="V124" s="229">
        <f>+'BAJO CERO'!R11</f>
        <v>0</v>
      </c>
      <c r="W124" s="91">
        <f t="shared" si="54"/>
        <v>0</v>
      </c>
      <c r="X124" s="229">
        <f>+'BAJO CERO'!W11</f>
        <v>0</v>
      </c>
      <c r="Y124" s="91">
        <f t="shared" si="59"/>
        <v>0</v>
      </c>
      <c r="Z124" s="229">
        <f>+'BAJO CERO'!AB11</f>
        <v>0</v>
      </c>
      <c r="AA124" s="292">
        <f t="shared" si="60"/>
        <v>0</v>
      </c>
      <c r="AB124" s="292"/>
      <c r="AC124" s="292"/>
      <c r="AD124" s="292"/>
      <c r="AE124" s="292"/>
      <c r="AF124" s="292"/>
      <c r="AG124" s="292"/>
      <c r="AH124" s="292"/>
      <c r="AI124" s="292"/>
      <c r="AJ124" s="292"/>
      <c r="AK124" s="292"/>
      <c r="AL124" s="292"/>
      <c r="AM124" s="292"/>
      <c r="AP124" s="292"/>
      <c r="AQ124" s="292"/>
    </row>
    <row r="125" spans="1:43" hidden="1" x14ac:dyDescent="0.25">
      <c r="A125" s="243"/>
      <c r="B125" s="244"/>
      <c r="C125" s="292"/>
      <c r="D125" s="292">
        <f t="shared" si="55"/>
        <v>0</v>
      </c>
      <c r="E125" s="292">
        <f t="shared" si="55"/>
        <v>0</v>
      </c>
      <c r="F125" s="292">
        <f t="shared" si="55"/>
        <v>0</v>
      </c>
      <c r="G125" s="292">
        <f t="shared" si="55"/>
        <v>0</v>
      </c>
      <c r="H125" s="292">
        <f t="shared" si="55"/>
        <v>0</v>
      </c>
      <c r="I125" s="292">
        <f t="shared" si="55"/>
        <v>0</v>
      </c>
      <c r="J125" s="292">
        <f t="shared" si="55"/>
        <v>0</v>
      </c>
      <c r="K125" s="292">
        <f t="shared" si="55"/>
        <v>0</v>
      </c>
      <c r="L125" s="292">
        <f t="shared" si="55"/>
        <v>0</v>
      </c>
      <c r="M125" s="292">
        <f t="shared" si="55"/>
        <v>0</v>
      </c>
      <c r="N125" s="292">
        <f t="shared" si="55"/>
        <v>0</v>
      </c>
      <c r="O125" s="300">
        <f t="shared" si="55"/>
        <v>0</v>
      </c>
      <c r="P125" s="406">
        <f t="shared" si="56"/>
        <v>0</v>
      </c>
      <c r="Q125" s="313"/>
      <c r="R125" s="229"/>
      <c r="S125" s="91">
        <f t="shared" si="57"/>
        <v>0</v>
      </c>
      <c r="T125" s="229"/>
      <c r="U125" s="91">
        <f t="shared" si="58"/>
        <v>0</v>
      </c>
      <c r="V125" s="229"/>
      <c r="W125" s="91">
        <f t="shared" si="54"/>
        <v>0</v>
      </c>
      <c r="X125" s="229"/>
      <c r="Y125" s="91">
        <f t="shared" si="59"/>
        <v>0</v>
      </c>
      <c r="Z125" s="229">
        <f>+'BAJO CERO'!AB12</f>
        <v>0</v>
      </c>
      <c r="AA125" s="292">
        <f t="shared" si="60"/>
        <v>0</v>
      </c>
      <c r="AB125" s="292"/>
      <c r="AC125" s="292"/>
      <c r="AD125" s="292"/>
      <c r="AE125" s="292"/>
      <c r="AF125" s="292"/>
      <c r="AG125" s="292"/>
      <c r="AH125" s="292"/>
      <c r="AI125" s="292"/>
      <c r="AJ125" s="292"/>
      <c r="AK125" s="292"/>
      <c r="AL125" s="292"/>
      <c r="AM125" s="292"/>
      <c r="AP125" s="292"/>
      <c r="AQ125" s="292"/>
    </row>
    <row r="126" spans="1:43" hidden="1" x14ac:dyDescent="0.25">
      <c r="A126" s="243"/>
      <c r="B126" s="244"/>
      <c r="C126" s="292"/>
      <c r="D126" s="292">
        <f t="shared" si="55"/>
        <v>0</v>
      </c>
      <c r="E126" s="292">
        <f t="shared" si="55"/>
        <v>0</v>
      </c>
      <c r="F126" s="292">
        <f t="shared" si="55"/>
        <v>0</v>
      </c>
      <c r="G126" s="292">
        <f t="shared" si="55"/>
        <v>0</v>
      </c>
      <c r="H126" s="292">
        <f t="shared" si="55"/>
        <v>0</v>
      </c>
      <c r="I126" s="292">
        <f t="shared" si="55"/>
        <v>0</v>
      </c>
      <c r="J126" s="292">
        <f t="shared" si="55"/>
        <v>0</v>
      </c>
      <c r="K126" s="292">
        <f t="shared" si="55"/>
        <v>0</v>
      </c>
      <c r="L126" s="292">
        <f t="shared" si="55"/>
        <v>0</v>
      </c>
      <c r="M126" s="292">
        <f t="shared" si="55"/>
        <v>0</v>
      </c>
      <c r="N126" s="292">
        <f t="shared" si="55"/>
        <v>0</v>
      </c>
      <c r="O126" s="300">
        <f t="shared" si="55"/>
        <v>0</v>
      </c>
      <c r="P126" s="406">
        <f t="shared" si="56"/>
        <v>0</v>
      </c>
      <c r="Q126" s="313"/>
      <c r="R126" s="229"/>
      <c r="S126" s="91">
        <f t="shared" si="57"/>
        <v>0</v>
      </c>
      <c r="T126" s="229"/>
      <c r="U126" s="91">
        <f t="shared" si="58"/>
        <v>0</v>
      </c>
      <c r="V126" s="229"/>
      <c r="W126" s="91">
        <f t="shared" si="54"/>
        <v>0</v>
      </c>
      <c r="X126" s="229"/>
      <c r="Y126" s="91">
        <f t="shared" si="59"/>
        <v>0</v>
      </c>
      <c r="Z126" s="229">
        <f>+'BAJO CERO'!AB13</f>
        <v>0</v>
      </c>
      <c r="AA126" s="292">
        <f t="shared" si="60"/>
        <v>0</v>
      </c>
      <c r="AB126" s="292"/>
      <c r="AC126" s="292"/>
      <c r="AD126" s="292"/>
      <c r="AE126" s="292"/>
      <c r="AF126" s="292"/>
      <c r="AG126" s="292"/>
      <c r="AH126" s="292"/>
      <c r="AI126" s="292"/>
      <c r="AJ126" s="292"/>
      <c r="AK126" s="292"/>
      <c r="AL126" s="292"/>
      <c r="AM126" s="292"/>
      <c r="AP126" s="292"/>
      <c r="AQ126" s="292"/>
    </row>
    <row r="127" spans="1:43" hidden="1" x14ac:dyDescent="0.25">
      <c r="A127" s="243"/>
      <c r="B127" s="244"/>
      <c r="C127" s="292"/>
      <c r="D127" s="292">
        <f t="shared" si="55"/>
        <v>0</v>
      </c>
      <c r="E127" s="292">
        <f t="shared" si="55"/>
        <v>0</v>
      </c>
      <c r="F127" s="292">
        <f t="shared" si="55"/>
        <v>0</v>
      </c>
      <c r="G127" s="292">
        <f t="shared" si="55"/>
        <v>0</v>
      </c>
      <c r="H127" s="292">
        <f t="shared" si="55"/>
        <v>0</v>
      </c>
      <c r="I127" s="292">
        <f t="shared" si="55"/>
        <v>0</v>
      </c>
      <c r="J127" s="292">
        <f t="shared" si="55"/>
        <v>0</v>
      </c>
      <c r="K127" s="292">
        <f t="shared" si="55"/>
        <v>0</v>
      </c>
      <c r="L127" s="292">
        <f t="shared" si="55"/>
        <v>0</v>
      </c>
      <c r="M127" s="292">
        <f t="shared" si="55"/>
        <v>0</v>
      </c>
      <c r="N127" s="292">
        <f t="shared" si="55"/>
        <v>0</v>
      </c>
      <c r="O127" s="300">
        <f t="shared" si="55"/>
        <v>0</v>
      </c>
      <c r="P127" s="406">
        <f t="shared" si="56"/>
        <v>0</v>
      </c>
      <c r="Q127" s="313"/>
      <c r="R127" s="229"/>
      <c r="S127" s="91">
        <f t="shared" si="57"/>
        <v>0</v>
      </c>
      <c r="T127" s="229"/>
      <c r="U127" s="91">
        <f t="shared" si="58"/>
        <v>0</v>
      </c>
      <c r="V127" s="229"/>
      <c r="W127" s="91">
        <f t="shared" si="54"/>
        <v>0</v>
      </c>
      <c r="X127" s="229"/>
      <c r="Y127" s="91">
        <f t="shared" si="59"/>
        <v>0</v>
      </c>
      <c r="Z127" s="229">
        <f>+'BAJO CERO'!AB14</f>
        <v>0</v>
      </c>
      <c r="AA127" s="292">
        <f t="shared" si="60"/>
        <v>0</v>
      </c>
      <c r="AB127" s="292"/>
      <c r="AC127" s="292"/>
      <c r="AD127" s="292"/>
      <c r="AE127" s="292"/>
      <c r="AF127" s="292"/>
      <c r="AG127" s="292"/>
      <c r="AH127" s="292"/>
      <c r="AI127" s="292"/>
      <c r="AJ127" s="292"/>
      <c r="AK127" s="292"/>
      <c r="AL127" s="292"/>
      <c r="AM127" s="292"/>
      <c r="AP127" s="292"/>
      <c r="AQ127" s="292"/>
    </row>
    <row r="128" spans="1:43" x14ac:dyDescent="0.25">
      <c r="A128" s="255">
        <v>105632</v>
      </c>
      <c r="B128" s="256" t="s">
        <v>58</v>
      </c>
      <c r="C128" s="292">
        <v>285.47000000000003</v>
      </c>
      <c r="D128" s="430">
        <v>242.6</v>
      </c>
      <c r="E128" s="292">
        <f t="shared" si="55"/>
        <v>242.6</v>
      </c>
      <c r="F128" s="292">
        <f t="shared" si="55"/>
        <v>242.6</v>
      </c>
      <c r="G128" s="292">
        <f t="shared" si="55"/>
        <v>242.6</v>
      </c>
      <c r="H128" s="292">
        <f t="shared" si="55"/>
        <v>242.6</v>
      </c>
      <c r="I128" s="292">
        <f t="shared" si="55"/>
        <v>242.6</v>
      </c>
      <c r="J128" s="292">
        <f t="shared" si="55"/>
        <v>242.6</v>
      </c>
      <c r="K128" s="292">
        <f t="shared" si="55"/>
        <v>242.6</v>
      </c>
      <c r="L128" s="292">
        <f t="shared" si="55"/>
        <v>242.6</v>
      </c>
      <c r="M128" s="292">
        <f t="shared" si="55"/>
        <v>242.6</v>
      </c>
      <c r="N128" s="292">
        <f t="shared" si="55"/>
        <v>242.6</v>
      </c>
      <c r="O128" s="300">
        <f t="shared" si="55"/>
        <v>242.6</v>
      </c>
      <c r="P128" s="406">
        <f t="shared" si="56"/>
        <v>242.59999999999994</v>
      </c>
      <c r="Q128" s="313"/>
      <c r="R128" s="229">
        <f>+'BAJO CERO'!H20</f>
        <v>1134</v>
      </c>
      <c r="S128" s="91">
        <f t="shared" si="57"/>
        <v>275108.39999999997</v>
      </c>
      <c r="T128" s="229">
        <f>+'BAJO CERO'!M20</f>
        <v>0</v>
      </c>
      <c r="U128" s="91">
        <f t="shared" si="58"/>
        <v>0</v>
      </c>
      <c r="V128" s="229">
        <f>+'BAJO CERO'!R20</f>
        <v>0</v>
      </c>
      <c r="W128" s="91">
        <f t="shared" si="54"/>
        <v>0</v>
      </c>
      <c r="X128" s="229">
        <f>+'BAJO CERO'!W20</f>
        <v>158</v>
      </c>
      <c r="Y128" s="91">
        <f t="shared" si="59"/>
        <v>38330.799999999996</v>
      </c>
      <c r="Z128" s="229">
        <f>+'BAJO CERO'!AB20</f>
        <v>158</v>
      </c>
      <c r="AA128" s="292">
        <f t="shared" si="60"/>
        <v>38330.799999999996</v>
      </c>
      <c r="AB128" s="292"/>
      <c r="AC128" s="292"/>
      <c r="AD128" s="292"/>
      <c r="AE128" s="292"/>
      <c r="AF128" s="292"/>
      <c r="AG128" s="292"/>
      <c r="AH128" s="292"/>
      <c r="AI128" s="292"/>
      <c r="AJ128" s="292"/>
      <c r="AK128" s="292"/>
      <c r="AL128" s="292"/>
      <c r="AM128" s="292"/>
      <c r="AP128" s="292"/>
      <c r="AQ128" s="292"/>
    </row>
    <row r="129" spans="1:43" x14ac:dyDescent="0.25">
      <c r="A129" s="255">
        <v>102341</v>
      </c>
      <c r="B129" s="256" t="s">
        <v>59</v>
      </c>
      <c r="C129" s="292">
        <v>282.60000000000002</v>
      </c>
      <c r="D129" s="292">
        <f t="shared" si="55"/>
        <v>282.60000000000002</v>
      </c>
      <c r="E129" s="292">
        <f t="shared" si="55"/>
        <v>282.60000000000002</v>
      </c>
      <c r="F129" s="292">
        <f t="shared" si="55"/>
        <v>282.60000000000002</v>
      </c>
      <c r="G129" s="292">
        <f t="shared" si="55"/>
        <v>282.60000000000002</v>
      </c>
      <c r="H129" s="292">
        <f t="shared" si="55"/>
        <v>282.60000000000002</v>
      </c>
      <c r="I129" s="292">
        <f t="shared" si="55"/>
        <v>282.60000000000002</v>
      </c>
      <c r="J129" s="292">
        <f t="shared" si="55"/>
        <v>282.60000000000002</v>
      </c>
      <c r="K129" s="292">
        <f t="shared" si="55"/>
        <v>282.60000000000002</v>
      </c>
      <c r="L129" s="292">
        <f t="shared" si="55"/>
        <v>282.60000000000002</v>
      </c>
      <c r="M129" s="292">
        <f t="shared" si="55"/>
        <v>282.60000000000002</v>
      </c>
      <c r="N129" s="292">
        <f t="shared" si="55"/>
        <v>282.60000000000002</v>
      </c>
      <c r="O129" s="300">
        <f t="shared" si="55"/>
        <v>282.60000000000002</v>
      </c>
      <c r="P129" s="406">
        <f t="shared" si="56"/>
        <v>282.59999999999997</v>
      </c>
      <c r="Q129" s="313"/>
      <c r="R129" s="229">
        <f>+'BAJO CERO'!H21</f>
        <v>0</v>
      </c>
      <c r="S129" s="91">
        <f t="shared" si="57"/>
        <v>0</v>
      </c>
      <c r="T129" s="229">
        <f>+'BAJO CERO'!M21</f>
        <v>0</v>
      </c>
      <c r="U129" s="91">
        <f t="shared" si="58"/>
        <v>0</v>
      </c>
      <c r="V129" s="229">
        <f>+'BAJO CERO'!R21</f>
        <v>0</v>
      </c>
      <c r="W129" s="91">
        <f t="shared" si="54"/>
        <v>0</v>
      </c>
      <c r="X129" s="229">
        <f>+'BAJO CERO'!W21</f>
        <v>415</v>
      </c>
      <c r="Y129" s="91">
        <f t="shared" si="59"/>
        <v>117279.00000000001</v>
      </c>
      <c r="Z129" s="229">
        <f>+'BAJO CERO'!AB21</f>
        <v>385</v>
      </c>
      <c r="AA129" s="292">
        <f t="shared" si="60"/>
        <v>108801.00000000001</v>
      </c>
      <c r="AB129" s="292"/>
      <c r="AC129" s="292"/>
      <c r="AD129" s="292"/>
      <c r="AE129" s="292"/>
      <c r="AF129" s="292"/>
      <c r="AG129" s="292"/>
      <c r="AH129" s="292"/>
      <c r="AI129" s="292"/>
      <c r="AJ129" s="292"/>
      <c r="AK129" s="292"/>
      <c r="AL129" s="292"/>
      <c r="AM129" s="292"/>
      <c r="AP129" s="292"/>
      <c r="AQ129" s="292"/>
    </row>
    <row r="130" spans="1:43" x14ac:dyDescent="0.25">
      <c r="A130" s="255">
        <v>102310</v>
      </c>
      <c r="B130" s="256" t="s">
        <v>60</v>
      </c>
      <c r="C130" s="292">
        <v>354.96</v>
      </c>
      <c r="D130" s="292">
        <f t="shared" si="55"/>
        <v>354.96</v>
      </c>
      <c r="E130" s="292">
        <f t="shared" si="55"/>
        <v>354.96</v>
      </c>
      <c r="F130" s="430">
        <v>306.72000000000003</v>
      </c>
      <c r="G130" s="292">
        <f t="shared" si="55"/>
        <v>306.72000000000003</v>
      </c>
      <c r="H130" s="292">
        <f t="shared" si="55"/>
        <v>306.72000000000003</v>
      </c>
      <c r="I130" s="292">
        <f t="shared" si="55"/>
        <v>306.72000000000003</v>
      </c>
      <c r="J130" s="292">
        <f t="shared" si="55"/>
        <v>306.72000000000003</v>
      </c>
      <c r="K130" s="292">
        <f t="shared" si="55"/>
        <v>306.72000000000003</v>
      </c>
      <c r="L130" s="292">
        <f t="shared" si="55"/>
        <v>306.72000000000003</v>
      </c>
      <c r="M130" s="292">
        <f t="shared" si="55"/>
        <v>306.72000000000003</v>
      </c>
      <c r="N130" s="292">
        <f t="shared" si="55"/>
        <v>306.72000000000003</v>
      </c>
      <c r="O130" s="300">
        <f t="shared" si="55"/>
        <v>306.72000000000003</v>
      </c>
      <c r="P130" s="406">
        <f t="shared" si="56"/>
        <v>314.76000000000016</v>
      </c>
      <c r="Q130" s="313"/>
      <c r="R130" s="229">
        <f>+'BAJO CERO'!H22</f>
        <v>0</v>
      </c>
      <c r="S130" s="91">
        <f t="shared" si="57"/>
        <v>0</v>
      </c>
      <c r="T130" s="229">
        <f>+'BAJO CERO'!M22</f>
        <v>0</v>
      </c>
      <c r="U130" s="91">
        <f t="shared" si="58"/>
        <v>0</v>
      </c>
      <c r="V130" s="229">
        <f>+'BAJO CERO'!R22</f>
        <v>146</v>
      </c>
      <c r="W130" s="91">
        <f t="shared" si="54"/>
        <v>44781.120000000003</v>
      </c>
      <c r="X130" s="229">
        <f>+'BAJO CERO'!W22</f>
        <v>283</v>
      </c>
      <c r="Y130" s="91">
        <f t="shared" si="59"/>
        <v>86801.760000000009</v>
      </c>
      <c r="Z130" s="229">
        <f>+'BAJO CERO'!AB22</f>
        <v>273</v>
      </c>
      <c r="AA130" s="292">
        <f t="shared" si="60"/>
        <v>83734.560000000012</v>
      </c>
      <c r="AB130" s="292"/>
      <c r="AC130" s="292"/>
      <c r="AD130" s="292"/>
      <c r="AE130" s="292"/>
      <c r="AF130" s="292"/>
      <c r="AG130" s="292"/>
      <c r="AH130" s="292"/>
      <c r="AI130" s="292"/>
      <c r="AJ130" s="292"/>
      <c r="AK130" s="292"/>
      <c r="AL130" s="292"/>
      <c r="AM130" s="292"/>
      <c r="AP130" s="292"/>
      <c r="AQ130" s="292"/>
    </row>
    <row r="131" spans="1:43" x14ac:dyDescent="0.25">
      <c r="A131" s="255">
        <v>102211</v>
      </c>
      <c r="B131" s="256" t="s">
        <v>61</v>
      </c>
      <c r="C131" s="292">
        <v>295.35000000000002</v>
      </c>
      <c r="D131" s="292">
        <f t="shared" si="55"/>
        <v>295.35000000000002</v>
      </c>
      <c r="E131" s="292">
        <f t="shared" si="55"/>
        <v>295.35000000000002</v>
      </c>
      <c r="F131" s="430">
        <v>259.2</v>
      </c>
      <c r="G131" s="292">
        <f t="shared" si="55"/>
        <v>259.2</v>
      </c>
      <c r="H131" s="292">
        <f t="shared" si="55"/>
        <v>259.2</v>
      </c>
      <c r="I131" s="292">
        <f t="shared" si="55"/>
        <v>259.2</v>
      </c>
      <c r="J131" s="292">
        <f t="shared" si="55"/>
        <v>259.2</v>
      </c>
      <c r="K131" s="292">
        <f t="shared" si="55"/>
        <v>259.2</v>
      </c>
      <c r="L131" s="292">
        <f t="shared" si="55"/>
        <v>259.2</v>
      </c>
      <c r="M131" s="292">
        <f t="shared" si="55"/>
        <v>259.2</v>
      </c>
      <c r="N131" s="292">
        <f t="shared" si="55"/>
        <v>259.2</v>
      </c>
      <c r="O131" s="300">
        <f t="shared" si="55"/>
        <v>259.2</v>
      </c>
      <c r="P131" s="406">
        <f t="shared" si="56"/>
        <v>265.22499999999997</v>
      </c>
      <c r="Q131" s="313"/>
      <c r="R131" s="229">
        <f>+'BAJO CERO'!H23</f>
        <v>0</v>
      </c>
      <c r="S131" s="91">
        <f t="shared" si="57"/>
        <v>0</v>
      </c>
      <c r="T131" s="229">
        <f>+'BAJO CERO'!M23</f>
        <v>0</v>
      </c>
      <c r="U131" s="91">
        <f t="shared" si="58"/>
        <v>0</v>
      </c>
      <c r="V131" s="229">
        <f>+'BAJO CERO'!R23</f>
        <v>95</v>
      </c>
      <c r="W131" s="91">
        <f t="shared" si="54"/>
        <v>24624</v>
      </c>
      <c r="X131" s="229">
        <f>+'BAJO CERO'!W23</f>
        <v>229</v>
      </c>
      <c r="Y131" s="91">
        <f t="shared" si="59"/>
        <v>59356.799999999996</v>
      </c>
      <c r="Z131" s="229">
        <f>+'BAJO CERO'!AB23</f>
        <v>139</v>
      </c>
      <c r="AA131" s="292">
        <f t="shared" si="60"/>
        <v>36028.799999999996</v>
      </c>
      <c r="AB131" s="292"/>
      <c r="AC131" s="292"/>
      <c r="AD131" s="292"/>
      <c r="AE131" s="292"/>
      <c r="AF131" s="292"/>
      <c r="AG131" s="292"/>
      <c r="AH131" s="292"/>
      <c r="AI131" s="292"/>
      <c r="AJ131" s="292"/>
      <c r="AK131" s="292"/>
      <c r="AL131" s="292"/>
      <c r="AM131" s="292"/>
      <c r="AP131" s="292"/>
      <c r="AQ131" s="292"/>
    </row>
    <row r="132" spans="1:43" x14ac:dyDescent="0.25">
      <c r="A132" s="255">
        <v>104215</v>
      </c>
      <c r="B132" s="256" t="s">
        <v>62</v>
      </c>
      <c r="C132" s="292">
        <v>346.14</v>
      </c>
      <c r="D132" s="292">
        <f t="shared" si="55"/>
        <v>346.14</v>
      </c>
      <c r="E132" s="292">
        <f t="shared" si="55"/>
        <v>346.14</v>
      </c>
      <c r="F132" s="292">
        <f t="shared" si="55"/>
        <v>346.14</v>
      </c>
      <c r="G132" s="292">
        <f t="shared" si="55"/>
        <v>346.14</v>
      </c>
      <c r="H132" s="292">
        <f t="shared" si="55"/>
        <v>346.14</v>
      </c>
      <c r="I132" s="292">
        <f t="shared" si="55"/>
        <v>346.14</v>
      </c>
      <c r="J132" s="292">
        <f t="shared" si="55"/>
        <v>346.14</v>
      </c>
      <c r="K132" s="292">
        <f t="shared" si="55"/>
        <v>346.14</v>
      </c>
      <c r="L132" s="292">
        <f t="shared" si="55"/>
        <v>346.14</v>
      </c>
      <c r="M132" s="292">
        <f t="shared" si="55"/>
        <v>346.14</v>
      </c>
      <c r="N132" s="292">
        <f t="shared" si="55"/>
        <v>346.14</v>
      </c>
      <c r="O132" s="300">
        <f t="shared" si="55"/>
        <v>346.14</v>
      </c>
      <c r="P132" s="406">
        <f t="shared" si="56"/>
        <v>346.13999999999993</v>
      </c>
      <c r="Q132" s="313"/>
      <c r="R132" s="229">
        <f>+'BAJO CERO'!H24</f>
        <v>0</v>
      </c>
      <c r="S132" s="91">
        <f t="shared" si="57"/>
        <v>0</v>
      </c>
      <c r="T132" s="229">
        <f>+'BAJO CERO'!M24</f>
        <v>0</v>
      </c>
      <c r="U132" s="91">
        <f t="shared" si="58"/>
        <v>0</v>
      </c>
      <c r="V132" s="229">
        <f>+'BAJO CERO'!R24</f>
        <v>0</v>
      </c>
      <c r="W132" s="91">
        <f t="shared" si="54"/>
        <v>0</v>
      </c>
      <c r="X132" s="229">
        <f>+'BAJO CERO'!W24</f>
        <v>279</v>
      </c>
      <c r="Y132" s="91">
        <f t="shared" si="59"/>
        <v>96573.06</v>
      </c>
      <c r="Z132" s="229">
        <f>+'BAJO CERO'!AB24</f>
        <v>279</v>
      </c>
      <c r="AA132" s="292">
        <f t="shared" si="60"/>
        <v>96573.06</v>
      </c>
      <c r="AB132" s="292"/>
      <c r="AC132" s="292"/>
      <c r="AD132" s="292"/>
      <c r="AE132" s="292"/>
      <c r="AF132" s="292"/>
      <c r="AG132" s="292"/>
      <c r="AH132" s="292"/>
      <c r="AI132" s="292"/>
      <c r="AJ132" s="292"/>
      <c r="AK132" s="292"/>
      <c r="AL132" s="292"/>
      <c r="AM132" s="292"/>
      <c r="AP132" s="292"/>
      <c r="AQ132" s="292"/>
    </row>
    <row r="133" spans="1:43" x14ac:dyDescent="0.25">
      <c r="A133" s="255">
        <v>114054</v>
      </c>
      <c r="B133" s="256" t="s">
        <v>63</v>
      </c>
      <c r="C133" s="292">
        <v>353.84</v>
      </c>
      <c r="D133" s="292">
        <f t="shared" si="55"/>
        <v>353.84</v>
      </c>
      <c r="E133" s="292">
        <f t="shared" si="55"/>
        <v>353.84</v>
      </c>
      <c r="F133" s="430">
        <v>327.38</v>
      </c>
      <c r="G133" s="292">
        <f t="shared" si="55"/>
        <v>327.38</v>
      </c>
      <c r="H133" s="292">
        <f t="shared" si="55"/>
        <v>327.38</v>
      </c>
      <c r="I133" s="292">
        <f t="shared" si="55"/>
        <v>327.38</v>
      </c>
      <c r="J133" s="292">
        <f t="shared" si="55"/>
        <v>327.38</v>
      </c>
      <c r="K133" s="292">
        <f t="shared" si="55"/>
        <v>327.38</v>
      </c>
      <c r="L133" s="292">
        <f t="shared" si="55"/>
        <v>327.38</v>
      </c>
      <c r="M133" s="292">
        <f t="shared" si="55"/>
        <v>327.38</v>
      </c>
      <c r="N133" s="292">
        <f t="shared" si="55"/>
        <v>327.38</v>
      </c>
      <c r="O133" s="300">
        <f t="shared" si="55"/>
        <v>327.38</v>
      </c>
      <c r="P133" s="406">
        <f t="shared" si="56"/>
        <v>331.79000000000008</v>
      </c>
      <c r="Q133" s="313"/>
      <c r="R133" s="229">
        <f>+'BAJO CERO'!H25</f>
        <v>0</v>
      </c>
      <c r="S133" s="91">
        <f t="shared" si="57"/>
        <v>0</v>
      </c>
      <c r="T133" s="229">
        <f>+'BAJO CERO'!M25</f>
        <v>0</v>
      </c>
      <c r="U133" s="91">
        <f t="shared" si="58"/>
        <v>0</v>
      </c>
      <c r="V133" s="229">
        <f>+'BAJO CERO'!R25</f>
        <v>0</v>
      </c>
      <c r="W133" s="91">
        <f t="shared" si="54"/>
        <v>0</v>
      </c>
      <c r="X133" s="229">
        <f>+'BAJO CERO'!W25</f>
        <v>178</v>
      </c>
      <c r="Y133" s="91">
        <f t="shared" si="59"/>
        <v>58273.64</v>
      </c>
      <c r="Z133" s="229">
        <f>+'BAJO CERO'!AB25</f>
        <v>128</v>
      </c>
      <c r="AA133" s="292">
        <f t="shared" si="60"/>
        <v>41904.639999999999</v>
      </c>
      <c r="AB133" s="292"/>
      <c r="AC133" s="292"/>
      <c r="AD133" s="292"/>
      <c r="AE133" s="292"/>
      <c r="AF133" s="292"/>
      <c r="AG133" s="292"/>
      <c r="AH133" s="292"/>
      <c r="AI133" s="292"/>
      <c r="AJ133" s="292"/>
      <c r="AK133" s="292"/>
      <c r="AL133" s="292"/>
      <c r="AM133" s="292"/>
      <c r="AP133" s="292"/>
      <c r="AQ133" s="292"/>
    </row>
    <row r="134" spans="1:43" x14ac:dyDescent="0.25">
      <c r="A134" s="255">
        <v>102419</v>
      </c>
      <c r="B134" s="256" t="s">
        <v>64</v>
      </c>
      <c r="C134" s="292">
        <v>291.29000000000002</v>
      </c>
      <c r="D134" s="292">
        <f t="shared" si="55"/>
        <v>291.29000000000002</v>
      </c>
      <c r="E134" s="292">
        <f t="shared" si="55"/>
        <v>291.29000000000002</v>
      </c>
      <c r="F134" s="430">
        <v>255.06</v>
      </c>
      <c r="G134" s="292">
        <f t="shared" si="55"/>
        <v>255.06</v>
      </c>
      <c r="H134" s="292">
        <f t="shared" si="55"/>
        <v>255.06</v>
      </c>
      <c r="I134" s="292">
        <f t="shared" si="55"/>
        <v>255.06</v>
      </c>
      <c r="J134" s="292">
        <f t="shared" si="55"/>
        <v>255.06</v>
      </c>
      <c r="K134" s="292">
        <f t="shared" si="55"/>
        <v>255.06</v>
      </c>
      <c r="L134" s="292">
        <f t="shared" si="55"/>
        <v>255.06</v>
      </c>
      <c r="M134" s="292">
        <f t="shared" si="55"/>
        <v>255.06</v>
      </c>
      <c r="N134" s="292">
        <f t="shared" si="55"/>
        <v>255.06</v>
      </c>
      <c r="O134" s="300">
        <f t="shared" si="55"/>
        <v>255.06</v>
      </c>
      <c r="P134" s="406">
        <f t="shared" si="56"/>
        <v>261.0983333333333</v>
      </c>
      <c r="Q134" s="313"/>
      <c r="R134" s="229">
        <f>+'BAJO CERO'!H26</f>
        <v>0</v>
      </c>
      <c r="S134" s="91">
        <f t="shared" si="57"/>
        <v>0</v>
      </c>
      <c r="T134" s="229">
        <f>+'BAJO CERO'!M26</f>
        <v>0</v>
      </c>
      <c r="U134" s="91">
        <f t="shared" si="58"/>
        <v>0</v>
      </c>
      <c r="V134" s="229">
        <f>+'BAJO CERO'!R26</f>
        <v>194</v>
      </c>
      <c r="W134" s="91">
        <f t="shared" si="54"/>
        <v>49481.64</v>
      </c>
      <c r="X134" s="229">
        <f>+'BAJO CERO'!W26</f>
        <v>266</v>
      </c>
      <c r="Y134" s="91">
        <f t="shared" si="59"/>
        <v>67845.960000000006</v>
      </c>
      <c r="Z134" s="229">
        <f>+'BAJO CERO'!AB26</f>
        <v>226</v>
      </c>
      <c r="AA134" s="292">
        <f t="shared" si="60"/>
        <v>57643.56</v>
      </c>
      <c r="AB134" s="292"/>
      <c r="AC134" s="292"/>
      <c r="AD134" s="292"/>
      <c r="AE134" s="292"/>
      <c r="AF134" s="292"/>
      <c r="AG134" s="292"/>
      <c r="AH134" s="292"/>
      <c r="AI134" s="292"/>
      <c r="AJ134" s="292"/>
      <c r="AK134" s="292"/>
      <c r="AL134" s="292"/>
      <c r="AM134" s="292"/>
      <c r="AP134" s="292"/>
      <c r="AQ134" s="292"/>
    </row>
    <row r="135" spans="1:43" hidden="1" x14ac:dyDescent="0.25">
      <c r="A135" s="255"/>
      <c r="B135" s="256"/>
      <c r="C135" s="292"/>
      <c r="D135" s="292">
        <f t="shared" si="55"/>
        <v>0</v>
      </c>
      <c r="E135" s="292">
        <f t="shared" si="55"/>
        <v>0</v>
      </c>
      <c r="F135" s="292">
        <f t="shared" si="55"/>
        <v>0</v>
      </c>
      <c r="G135" s="292">
        <f t="shared" si="55"/>
        <v>0</v>
      </c>
      <c r="H135" s="292">
        <f t="shared" si="55"/>
        <v>0</v>
      </c>
      <c r="I135" s="292">
        <f t="shared" si="55"/>
        <v>0</v>
      </c>
      <c r="J135" s="292">
        <f t="shared" si="55"/>
        <v>0</v>
      </c>
      <c r="K135" s="292">
        <f t="shared" si="55"/>
        <v>0</v>
      </c>
      <c r="L135" s="292">
        <f t="shared" si="55"/>
        <v>0</v>
      </c>
      <c r="M135" s="292">
        <f t="shared" si="55"/>
        <v>0</v>
      </c>
      <c r="N135" s="292">
        <f t="shared" si="55"/>
        <v>0</v>
      </c>
      <c r="O135" s="300">
        <f t="shared" si="55"/>
        <v>0</v>
      </c>
      <c r="P135" s="406">
        <f t="shared" si="56"/>
        <v>0</v>
      </c>
      <c r="Q135" s="313"/>
      <c r="R135" s="301"/>
      <c r="S135" s="91"/>
      <c r="T135" s="301"/>
      <c r="U135" s="91">
        <f>+T135*E135</f>
        <v>0</v>
      </c>
      <c r="V135" s="292"/>
      <c r="W135" s="91">
        <f t="shared" ref="W135:W137" si="61">+V135*F135</f>
        <v>0</v>
      </c>
      <c r="X135" s="292"/>
      <c r="Y135" s="91">
        <f t="shared" si="59"/>
        <v>0</v>
      </c>
      <c r="Z135" s="229">
        <f>+'BAJO CERO'!AB22</f>
        <v>273</v>
      </c>
      <c r="AA135" s="292">
        <f t="shared" si="60"/>
        <v>0</v>
      </c>
      <c r="AB135" s="292"/>
      <c r="AC135" s="292"/>
      <c r="AD135" s="292"/>
      <c r="AE135" s="292"/>
      <c r="AF135" s="292"/>
      <c r="AG135" s="292"/>
      <c r="AH135" s="292"/>
      <c r="AI135" s="292"/>
      <c r="AJ135" s="292"/>
      <c r="AK135" s="292"/>
      <c r="AL135" s="292"/>
      <c r="AM135" s="292"/>
      <c r="AP135" s="292"/>
      <c r="AQ135" s="292"/>
    </row>
    <row r="136" spans="1:43" hidden="1" x14ac:dyDescent="0.25">
      <c r="A136" s="255"/>
      <c r="B136" s="256"/>
      <c r="C136" s="292"/>
      <c r="D136" s="292">
        <f t="shared" si="55"/>
        <v>0</v>
      </c>
      <c r="E136" s="292">
        <f t="shared" si="55"/>
        <v>0</v>
      </c>
      <c r="F136" s="292">
        <f t="shared" si="55"/>
        <v>0</v>
      </c>
      <c r="G136" s="292">
        <f t="shared" si="55"/>
        <v>0</v>
      </c>
      <c r="H136" s="292">
        <f t="shared" si="55"/>
        <v>0</v>
      </c>
      <c r="I136" s="292">
        <f t="shared" si="55"/>
        <v>0</v>
      </c>
      <c r="J136" s="292">
        <f t="shared" si="55"/>
        <v>0</v>
      </c>
      <c r="K136" s="292">
        <f t="shared" si="55"/>
        <v>0</v>
      </c>
      <c r="L136" s="292">
        <f t="shared" si="55"/>
        <v>0</v>
      </c>
      <c r="M136" s="292">
        <f t="shared" si="55"/>
        <v>0</v>
      </c>
      <c r="N136" s="292">
        <f t="shared" si="55"/>
        <v>0</v>
      </c>
      <c r="O136" s="300">
        <f t="shared" si="55"/>
        <v>0</v>
      </c>
      <c r="P136" s="406">
        <f t="shared" si="56"/>
        <v>0</v>
      </c>
      <c r="Q136" s="313"/>
      <c r="R136" s="301"/>
      <c r="S136" s="91"/>
      <c r="T136" s="301"/>
      <c r="U136" s="91">
        <f t="shared" si="58"/>
        <v>0</v>
      </c>
      <c r="V136" s="292"/>
      <c r="W136" s="91">
        <f t="shared" si="61"/>
        <v>0</v>
      </c>
      <c r="X136" s="292"/>
      <c r="Y136" s="91">
        <f t="shared" si="59"/>
        <v>0</v>
      </c>
      <c r="Z136" s="229">
        <f>+'BAJO CERO'!AB23</f>
        <v>139</v>
      </c>
      <c r="AA136" s="292">
        <f t="shared" si="60"/>
        <v>0</v>
      </c>
      <c r="AB136" s="292"/>
      <c r="AC136" s="292"/>
      <c r="AD136" s="292"/>
      <c r="AE136" s="292"/>
      <c r="AF136" s="292"/>
      <c r="AG136" s="292"/>
      <c r="AH136" s="292"/>
      <c r="AI136" s="292"/>
      <c r="AJ136" s="292"/>
      <c r="AK136" s="292"/>
      <c r="AL136" s="292"/>
      <c r="AM136" s="292"/>
      <c r="AP136" s="292"/>
      <c r="AQ136" s="292"/>
    </row>
    <row r="137" spans="1:43" hidden="1" x14ac:dyDescent="0.25">
      <c r="A137" s="255"/>
      <c r="B137" s="256"/>
      <c r="C137" s="292"/>
      <c r="D137" s="292">
        <f t="shared" si="55"/>
        <v>0</v>
      </c>
      <c r="E137" s="292">
        <f t="shared" si="55"/>
        <v>0</v>
      </c>
      <c r="F137" s="292">
        <f t="shared" ref="E137:O138" si="62">+E137</f>
        <v>0</v>
      </c>
      <c r="G137" s="292">
        <f t="shared" si="62"/>
        <v>0</v>
      </c>
      <c r="H137" s="292">
        <f t="shared" si="62"/>
        <v>0</v>
      </c>
      <c r="I137" s="292">
        <f t="shared" si="62"/>
        <v>0</v>
      </c>
      <c r="J137" s="292">
        <f t="shared" si="62"/>
        <v>0</v>
      </c>
      <c r="K137" s="292">
        <f t="shared" si="62"/>
        <v>0</v>
      </c>
      <c r="L137" s="292">
        <f t="shared" si="62"/>
        <v>0</v>
      </c>
      <c r="M137" s="292">
        <f t="shared" si="62"/>
        <v>0</v>
      </c>
      <c r="N137" s="292">
        <f t="shared" si="62"/>
        <v>0</v>
      </c>
      <c r="O137" s="300">
        <f t="shared" si="62"/>
        <v>0</v>
      </c>
      <c r="P137" s="406">
        <f t="shared" si="56"/>
        <v>0</v>
      </c>
      <c r="Q137" s="313"/>
      <c r="R137" s="301"/>
      <c r="S137" s="91"/>
      <c r="T137" s="301"/>
      <c r="U137" s="91">
        <f t="shared" si="58"/>
        <v>0</v>
      </c>
      <c r="V137" s="292"/>
      <c r="W137" s="91">
        <f t="shared" si="61"/>
        <v>0</v>
      </c>
      <c r="X137" s="292"/>
      <c r="Y137" s="91">
        <f t="shared" si="59"/>
        <v>0</v>
      </c>
      <c r="Z137" s="229">
        <f>+'BAJO CERO'!AB24</f>
        <v>279</v>
      </c>
      <c r="AA137" s="292">
        <f t="shared" si="60"/>
        <v>0</v>
      </c>
      <c r="AB137" s="292"/>
      <c r="AC137" s="292"/>
      <c r="AD137" s="292"/>
      <c r="AE137" s="292"/>
      <c r="AF137" s="292"/>
      <c r="AG137" s="292"/>
      <c r="AH137" s="292"/>
      <c r="AI137" s="292"/>
      <c r="AJ137" s="292"/>
      <c r="AK137" s="292"/>
      <c r="AL137" s="292"/>
      <c r="AM137" s="292"/>
      <c r="AP137" s="292"/>
      <c r="AQ137" s="292"/>
    </row>
    <row r="138" spans="1:43" ht="16.5" thickBot="1" x14ac:dyDescent="0.3">
      <c r="A138" s="287">
        <v>505015</v>
      </c>
      <c r="B138" s="288" t="s">
        <v>95</v>
      </c>
      <c r="C138" s="292">
        <v>256.56</v>
      </c>
      <c r="D138" s="292">
        <f t="shared" si="55"/>
        <v>256.56</v>
      </c>
      <c r="E138" s="292">
        <f t="shared" si="62"/>
        <v>256.56</v>
      </c>
      <c r="F138" s="292">
        <f t="shared" si="62"/>
        <v>256.56</v>
      </c>
      <c r="G138" s="292">
        <f t="shared" si="62"/>
        <v>256.56</v>
      </c>
      <c r="H138" s="292">
        <f t="shared" si="62"/>
        <v>256.56</v>
      </c>
      <c r="I138" s="292">
        <f t="shared" si="62"/>
        <v>256.56</v>
      </c>
      <c r="J138" s="292">
        <f t="shared" si="62"/>
        <v>256.56</v>
      </c>
      <c r="K138" s="292">
        <f t="shared" si="62"/>
        <v>256.56</v>
      </c>
      <c r="L138" s="292">
        <f t="shared" si="62"/>
        <v>256.56</v>
      </c>
      <c r="M138" s="292">
        <f t="shared" si="62"/>
        <v>256.56</v>
      </c>
      <c r="N138" s="292">
        <f t="shared" si="62"/>
        <v>256.56</v>
      </c>
      <c r="O138" s="300">
        <f t="shared" si="62"/>
        <v>256.56</v>
      </c>
      <c r="P138" s="407">
        <f t="shared" si="56"/>
        <v>256.56</v>
      </c>
      <c r="Q138" s="313"/>
      <c r="R138" s="229">
        <f>+'BAJO CERO'!H33</f>
        <v>2794.16</v>
      </c>
      <c r="S138" s="91">
        <f t="shared" ref="S138" si="63">+R138*D138</f>
        <v>716869.68959999993</v>
      </c>
      <c r="T138" s="229">
        <f>+'BAJO CERO'!M33</f>
        <v>4414.16</v>
      </c>
      <c r="U138" s="91">
        <f t="shared" si="58"/>
        <v>1132496.8895999999</v>
      </c>
      <c r="V138" s="229">
        <f>+'BAJO CERO'!R33</f>
        <v>3039.16</v>
      </c>
      <c r="W138" s="91">
        <f>+V138*F138</f>
        <v>779726.88959999999</v>
      </c>
      <c r="X138" s="229">
        <f>+'BAJO CERO'!W33</f>
        <v>2582.16</v>
      </c>
      <c r="Y138" s="91">
        <f t="shared" si="59"/>
        <v>662478.96959999995</v>
      </c>
      <c r="Z138" s="229">
        <f>+'BAJO CERO'!AB33</f>
        <v>2843.16</v>
      </c>
      <c r="AA138" s="292">
        <f t="shared" si="60"/>
        <v>729441.12959999999</v>
      </c>
      <c r="AB138" s="292"/>
      <c r="AC138" s="292"/>
      <c r="AD138" s="292"/>
      <c r="AE138" s="292"/>
      <c r="AF138" s="292"/>
      <c r="AG138" s="292"/>
      <c r="AH138" s="292"/>
      <c r="AI138" s="292"/>
      <c r="AJ138" s="292"/>
      <c r="AK138" s="292"/>
      <c r="AL138" s="292"/>
      <c r="AM138" s="292"/>
      <c r="AP138" s="292"/>
      <c r="AQ138" s="292"/>
    </row>
    <row r="139" spans="1:43" ht="30" customHeight="1" thickBot="1" x14ac:dyDescent="0.3">
      <c r="A139" s="645" t="s">
        <v>96</v>
      </c>
      <c r="B139" s="646"/>
      <c r="C139" s="123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297"/>
      <c r="P139" s="404"/>
      <c r="Q139" s="310"/>
      <c r="R139" s="293">
        <f>+SUM(R115:R138)</f>
        <v>5539.16</v>
      </c>
      <c r="S139" s="117">
        <f>+SUM(S115:S138)</f>
        <v>1544466.5495999998</v>
      </c>
      <c r="T139" s="293">
        <f t="shared" ref="T139:X139" si="64">+SUM(T115:T138)</f>
        <v>6005.16</v>
      </c>
      <c r="U139" s="117">
        <f t="shared" si="64"/>
        <v>1677356.5496</v>
      </c>
      <c r="V139" s="293">
        <f t="shared" si="64"/>
        <v>4955.16</v>
      </c>
      <c r="W139" s="117">
        <f>+SUM(W115:W138)</f>
        <v>1401514.9095999999</v>
      </c>
      <c r="X139" s="293">
        <f t="shared" si="64"/>
        <v>4971.16</v>
      </c>
      <c r="Y139" s="117">
        <f>+SUM(Y115:Y138)</f>
        <v>1376959.7996</v>
      </c>
      <c r="Z139" s="293">
        <f>+Z115+Z116+Z119+Z118+Z121+Z128+Z129+Z130+Z131+Z132+Z133+Z134+Z138</f>
        <v>4926.16</v>
      </c>
      <c r="AA139" s="293">
        <f>+AA115+AA116+AA119+AA118+AA121+AA128+AA129+AA130+AA131+AA132+AA133+AA134+AA138</f>
        <v>1358075.6096000001</v>
      </c>
      <c r="AB139" s="118"/>
      <c r="AC139" s="117"/>
      <c r="AD139" s="118"/>
      <c r="AE139" s="117"/>
      <c r="AF139" s="118"/>
      <c r="AG139" s="117"/>
      <c r="AH139" s="294"/>
      <c r="AI139" s="294"/>
      <c r="AJ139" s="118"/>
      <c r="AK139" s="117"/>
      <c r="AL139" s="118"/>
      <c r="AM139" s="119"/>
      <c r="AN139" s="293"/>
      <c r="AO139" s="116"/>
      <c r="AP139" s="118"/>
      <c r="AQ139" s="119"/>
    </row>
    <row r="140" spans="1:43" ht="15" x14ac:dyDescent="0.25">
      <c r="A140" s="649"/>
      <c r="B140" s="650"/>
      <c r="C140" s="650"/>
      <c r="D140" s="650"/>
      <c r="E140" s="650"/>
      <c r="F140" s="650"/>
      <c r="G140" s="650"/>
      <c r="H140" s="650"/>
      <c r="I140" s="650"/>
      <c r="J140" s="650"/>
      <c r="K140" s="650"/>
      <c r="L140" s="650"/>
      <c r="M140" s="650"/>
      <c r="N140" s="650"/>
      <c r="O140" s="650"/>
      <c r="P140" s="650"/>
      <c r="Q140" s="650"/>
      <c r="R140" s="650"/>
      <c r="S140" s="650"/>
      <c r="T140" s="650"/>
      <c r="U140" s="650"/>
      <c r="V140" s="650"/>
      <c r="W140" s="650"/>
      <c r="X140" s="650"/>
      <c r="Y140" s="650"/>
      <c r="Z140" s="650"/>
      <c r="AA140" s="650"/>
      <c r="AB140" s="650"/>
      <c r="AC140" s="650"/>
      <c r="AD140" s="650"/>
      <c r="AE140" s="650"/>
      <c r="AF140" s="650"/>
      <c r="AG140" s="650"/>
      <c r="AH140" s="650"/>
      <c r="AI140" s="650"/>
      <c r="AJ140" s="650"/>
      <c r="AK140" s="650"/>
      <c r="AL140" s="650"/>
      <c r="AM140" s="650"/>
      <c r="AN140" s="650"/>
      <c r="AO140" s="650"/>
      <c r="AP140" s="650"/>
      <c r="AQ140" s="650"/>
    </row>
    <row r="141" spans="1:43" ht="16.5" thickBot="1" x14ac:dyDescent="0.3">
      <c r="A141" s="651" t="s">
        <v>97</v>
      </c>
      <c r="B141" s="652"/>
      <c r="Q141" s="305"/>
    </row>
    <row r="142" spans="1:43" x14ac:dyDescent="0.25">
      <c r="A142" s="267">
        <v>807769</v>
      </c>
      <c r="B142" s="268" t="s">
        <v>77</v>
      </c>
      <c r="C142" s="292">
        <v>345.32</v>
      </c>
      <c r="D142" s="292">
        <f>+C142</f>
        <v>345.32</v>
      </c>
      <c r="E142" s="292">
        <f t="shared" ref="E142:O142" si="65">+D142</f>
        <v>345.32</v>
      </c>
      <c r="F142" s="292">
        <f t="shared" si="65"/>
        <v>345.32</v>
      </c>
      <c r="G142" s="292">
        <f t="shared" si="65"/>
        <v>345.32</v>
      </c>
      <c r="H142" s="292">
        <f t="shared" si="65"/>
        <v>345.32</v>
      </c>
      <c r="I142" s="292">
        <f t="shared" si="65"/>
        <v>345.32</v>
      </c>
      <c r="J142" s="292">
        <f t="shared" si="65"/>
        <v>345.32</v>
      </c>
      <c r="K142" s="292">
        <f t="shared" si="65"/>
        <v>345.32</v>
      </c>
      <c r="L142" s="292">
        <f t="shared" si="65"/>
        <v>345.32</v>
      </c>
      <c r="M142" s="292">
        <f t="shared" si="65"/>
        <v>345.32</v>
      </c>
      <c r="N142" s="292">
        <f t="shared" si="65"/>
        <v>345.32</v>
      </c>
      <c r="O142" s="300">
        <f t="shared" si="65"/>
        <v>345.32</v>
      </c>
      <c r="P142" s="405">
        <f>+AVERAGE(D142:O142)</f>
        <v>345.32000000000011</v>
      </c>
      <c r="Q142" s="312"/>
      <c r="R142" s="229">
        <f>+'VULPES PAPAS'!H2</f>
        <v>109</v>
      </c>
      <c r="S142" s="91">
        <f>+R142*D142</f>
        <v>37639.879999999997</v>
      </c>
      <c r="T142" s="229">
        <f>+'VULPES PAPAS'!M2</f>
        <v>32</v>
      </c>
      <c r="U142" s="91">
        <f>+T142*E142</f>
        <v>11050.24</v>
      </c>
      <c r="V142" s="229">
        <f>+'VULPES PAPAS'!R2</f>
        <v>10</v>
      </c>
      <c r="W142" s="91">
        <f>+V142*F142</f>
        <v>3453.2</v>
      </c>
      <c r="X142" s="229">
        <f>+'VULPES PAPAS'!W2</f>
        <v>25.9</v>
      </c>
      <c r="Y142" s="91">
        <f>+X142*G142</f>
        <v>8943.7879999999986</v>
      </c>
      <c r="Z142" s="229">
        <f>+'VULPES PAPAS'!AB2</f>
        <v>23.9</v>
      </c>
      <c r="AA142" s="292">
        <f>+Z142*H142</f>
        <v>8253.1479999999992</v>
      </c>
      <c r="AB142" s="292"/>
      <c r="AC142" s="292"/>
      <c r="AD142" s="292"/>
      <c r="AE142" s="292"/>
      <c r="AF142" s="292"/>
      <c r="AG142" s="292"/>
      <c r="AH142" s="292"/>
      <c r="AI142" s="292"/>
      <c r="AJ142" s="292"/>
      <c r="AK142" s="292"/>
      <c r="AL142" s="292"/>
      <c r="AM142" s="292"/>
      <c r="AP142" s="292"/>
      <c r="AQ142" s="292"/>
    </row>
    <row r="143" spans="1:43" x14ac:dyDescent="0.25">
      <c r="A143" s="243">
        <v>807329</v>
      </c>
      <c r="B143" s="244" t="s">
        <v>78</v>
      </c>
      <c r="C143" s="292">
        <v>344.73</v>
      </c>
      <c r="D143" s="292">
        <f t="shared" ref="D143:O158" si="66">+C143</f>
        <v>344.73</v>
      </c>
      <c r="E143" s="292">
        <f t="shared" si="66"/>
        <v>344.73</v>
      </c>
      <c r="F143" s="292">
        <f t="shared" si="66"/>
        <v>344.73</v>
      </c>
      <c r="G143" s="292">
        <f t="shared" si="66"/>
        <v>344.73</v>
      </c>
      <c r="H143" s="292">
        <f t="shared" si="66"/>
        <v>344.73</v>
      </c>
      <c r="I143" s="292">
        <f t="shared" si="66"/>
        <v>344.73</v>
      </c>
      <c r="J143" s="292">
        <f t="shared" si="66"/>
        <v>344.73</v>
      </c>
      <c r="K143" s="292">
        <f t="shared" si="66"/>
        <v>344.73</v>
      </c>
      <c r="L143" s="292">
        <f t="shared" si="66"/>
        <v>344.73</v>
      </c>
      <c r="M143" s="292">
        <f t="shared" si="66"/>
        <v>344.73</v>
      </c>
      <c r="N143" s="292">
        <f t="shared" si="66"/>
        <v>344.73</v>
      </c>
      <c r="O143" s="300">
        <f t="shared" si="66"/>
        <v>344.73</v>
      </c>
      <c r="P143" s="406">
        <f t="shared" ref="P143:P166" si="67">+AVERAGE(D143:O143)</f>
        <v>344.73</v>
      </c>
      <c r="Q143" s="313"/>
      <c r="R143" s="229">
        <f>+'VULPES PAPAS'!H3</f>
        <v>63.5</v>
      </c>
      <c r="S143" s="91">
        <f t="shared" ref="S143:S166" si="68">+R143*D143</f>
        <v>21890.355</v>
      </c>
      <c r="T143" s="229">
        <f>+'VULPES PAPAS'!M3</f>
        <v>63.5</v>
      </c>
      <c r="U143" s="91">
        <f t="shared" ref="U143:U166" si="69">+T143*E143</f>
        <v>21890.355</v>
      </c>
      <c r="V143" s="229">
        <f>+'VULPES PAPAS'!R3</f>
        <v>61.5</v>
      </c>
      <c r="W143" s="91">
        <f t="shared" ref="W143:W166" si="70">+V143*F143</f>
        <v>21200.895</v>
      </c>
      <c r="X143" s="229">
        <f>+'VULPES PAPAS'!W3</f>
        <v>61.5</v>
      </c>
      <c r="Y143" s="91">
        <f t="shared" ref="Y143:Y166" si="71">+X143*G143</f>
        <v>21200.895</v>
      </c>
      <c r="Z143" s="229">
        <f>+'VULPES PAPAS'!AB3</f>
        <v>61.5</v>
      </c>
      <c r="AA143" s="292">
        <f t="shared" ref="AA143:AA166" si="72">+Z143*H143</f>
        <v>21200.895</v>
      </c>
      <c r="AB143" s="292"/>
      <c r="AC143" s="292"/>
      <c r="AD143" s="292"/>
      <c r="AE143" s="292"/>
      <c r="AF143" s="292"/>
      <c r="AG143" s="292"/>
      <c r="AH143" s="292"/>
      <c r="AI143" s="292"/>
      <c r="AJ143" s="292"/>
      <c r="AK143" s="292"/>
      <c r="AL143" s="292"/>
      <c r="AM143" s="292"/>
      <c r="AP143" s="292"/>
      <c r="AQ143" s="292"/>
    </row>
    <row r="144" spans="1:43" x14ac:dyDescent="0.25">
      <c r="A144" s="243">
        <v>805411</v>
      </c>
      <c r="B144" s="244" t="s">
        <v>79</v>
      </c>
      <c r="C144" s="292">
        <v>334.1</v>
      </c>
      <c r="D144" s="292">
        <f t="shared" si="66"/>
        <v>334.1</v>
      </c>
      <c r="E144" s="292">
        <f t="shared" si="66"/>
        <v>334.1</v>
      </c>
      <c r="F144" s="292">
        <f t="shared" si="66"/>
        <v>334.1</v>
      </c>
      <c r="G144" s="292">
        <f t="shared" si="66"/>
        <v>334.1</v>
      </c>
      <c r="H144" s="292">
        <f t="shared" si="66"/>
        <v>334.1</v>
      </c>
      <c r="I144" s="292">
        <f t="shared" si="66"/>
        <v>334.1</v>
      </c>
      <c r="J144" s="292">
        <f t="shared" si="66"/>
        <v>334.1</v>
      </c>
      <c r="K144" s="292">
        <f t="shared" si="66"/>
        <v>334.1</v>
      </c>
      <c r="L144" s="292">
        <f t="shared" si="66"/>
        <v>334.1</v>
      </c>
      <c r="M144" s="292">
        <f t="shared" si="66"/>
        <v>334.1</v>
      </c>
      <c r="N144" s="292">
        <f t="shared" si="66"/>
        <v>334.1</v>
      </c>
      <c r="O144" s="300">
        <f t="shared" si="66"/>
        <v>334.1</v>
      </c>
      <c r="P144" s="406">
        <f t="shared" si="67"/>
        <v>334.09999999999997</v>
      </c>
      <c r="Q144" s="313"/>
      <c r="R144" s="229">
        <f>+'VULPES PAPAS'!H4</f>
        <v>63.67</v>
      </c>
      <c r="S144" s="91">
        <f t="shared" si="68"/>
        <v>21272.147000000001</v>
      </c>
      <c r="T144" s="229">
        <f>+'VULPES PAPAS'!M4</f>
        <v>10</v>
      </c>
      <c r="U144" s="91">
        <f t="shared" si="69"/>
        <v>3341</v>
      </c>
      <c r="V144" s="229">
        <f>+'VULPES PAPAS'!R4</f>
        <v>10</v>
      </c>
      <c r="W144" s="91">
        <f t="shared" si="70"/>
        <v>3341</v>
      </c>
      <c r="X144" s="229">
        <f>+'VULPES PAPAS'!W4</f>
        <v>34.92</v>
      </c>
      <c r="Y144" s="91">
        <f t="shared" si="71"/>
        <v>11666.772000000001</v>
      </c>
      <c r="Z144" s="229">
        <f>+'VULPES PAPAS'!AB4</f>
        <v>34.92</v>
      </c>
      <c r="AA144" s="292">
        <f t="shared" si="72"/>
        <v>11666.772000000001</v>
      </c>
      <c r="AB144" s="292"/>
      <c r="AC144" s="292"/>
      <c r="AD144" s="292"/>
      <c r="AE144" s="292"/>
      <c r="AF144" s="292"/>
      <c r="AG144" s="292"/>
      <c r="AH144" s="292"/>
      <c r="AI144" s="292"/>
      <c r="AJ144" s="292"/>
      <c r="AK144" s="292"/>
      <c r="AL144" s="292"/>
      <c r="AM144" s="292"/>
      <c r="AP144" s="292"/>
      <c r="AQ144" s="292"/>
    </row>
    <row r="145" spans="1:43" x14ac:dyDescent="0.25">
      <c r="A145" s="243">
        <v>807679</v>
      </c>
      <c r="B145" s="244" t="s">
        <v>80</v>
      </c>
      <c r="C145" s="292">
        <v>381.44</v>
      </c>
      <c r="D145" s="292">
        <f t="shared" si="66"/>
        <v>381.44</v>
      </c>
      <c r="E145" s="292">
        <f t="shared" si="66"/>
        <v>381.44</v>
      </c>
      <c r="F145" s="292">
        <f t="shared" si="66"/>
        <v>381.44</v>
      </c>
      <c r="G145" s="292">
        <f t="shared" si="66"/>
        <v>381.44</v>
      </c>
      <c r="H145" s="292">
        <f t="shared" si="66"/>
        <v>381.44</v>
      </c>
      <c r="I145" s="292">
        <f t="shared" si="66"/>
        <v>381.44</v>
      </c>
      <c r="J145" s="292">
        <f t="shared" si="66"/>
        <v>381.44</v>
      </c>
      <c r="K145" s="292">
        <f t="shared" si="66"/>
        <v>381.44</v>
      </c>
      <c r="L145" s="292">
        <f t="shared" si="66"/>
        <v>381.44</v>
      </c>
      <c r="M145" s="292">
        <f t="shared" si="66"/>
        <v>381.44</v>
      </c>
      <c r="N145" s="292">
        <f t="shared" si="66"/>
        <v>381.44</v>
      </c>
      <c r="O145" s="300">
        <f t="shared" si="66"/>
        <v>381.44</v>
      </c>
      <c r="P145" s="406">
        <f t="shared" si="67"/>
        <v>381.44</v>
      </c>
      <c r="Q145" s="313"/>
      <c r="R145" s="229">
        <f>+'VULPES PAPAS'!H5</f>
        <v>68.75</v>
      </c>
      <c r="S145" s="91">
        <f t="shared" si="68"/>
        <v>26224</v>
      </c>
      <c r="T145" s="229">
        <f>+'VULPES PAPAS'!M5</f>
        <v>0.5</v>
      </c>
      <c r="U145" s="91">
        <f t="shared" si="69"/>
        <v>190.72</v>
      </c>
      <c r="V145" s="229">
        <f>+'VULPES PAPAS'!R5</f>
        <v>18.5</v>
      </c>
      <c r="W145" s="91">
        <f t="shared" si="70"/>
        <v>7056.64</v>
      </c>
      <c r="X145" s="229">
        <f>+'VULPES PAPAS'!W5</f>
        <v>0.45000000000000284</v>
      </c>
      <c r="Y145" s="91">
        <f t="shared" si="71"/>
        <v>171.64800000000108</v>
      </c>
      <c r="Z145" s="229">
        <f>+'VULPES PAPAS'!AB5</f>
        <v>60.449999999999989</v>
      </c>
      <c r="AA145" s="292">
        <f t="shared" si="72"/>
        <v>23058.047999999995</v>
      </c>
      <c r="AB145" s="292"/>
      <c r="AC145" s="292"/>
      <c r="AD145" s="292"/>
      <c r="AE145" s="292"/>
      <c r="AF145" s="292"/>
      <c r="AG145" s="292"/>
      <c r="AH145" s="292"/>
      <c r="AI145" s="292"/>
      <c r="AJ145" s="292"/>
      <c r="AK145" s="292"/>
      <c r="AL145" s="292"/>
      <c r="AM145" s="292"/>
      <c r="AP145" s="292"/>
      <c r="AQ145" s="292"/>
    </row>
    <row r="146" spans="1:43" x14ac:dyDescent="0.25">
      <c r="A146" s="243">
        <v>260612</v>
      </c>
      <c r="B146" s="244" t="s">
        <v>74</v>
      </c>
      <c r="C146" s="292">
        <v>280.20999999999998</v>
      </c>
      <c r="D146" s="292">
        <f t="shared" si="66"/>
        <v>280.20999999999998</v>
      </c>
      <c r="E146" s="292">
        <f t="shared" si="66"/>
        <v>280.20999999999998</v>
      </c>
      <c r="F146" s="292">
        <f t="shared" si="66"/>
        <v>280.20999999999998</v>
      </c>
      <c r="G146" s="292">
        <f t="shared" si="66"/>
        <v>280.20999999999998</v>
      </c>
      <c r="H146" s="292">
        <f t="shared" si="66"/>
        <v>280.20999999999998</v>
      </c>
      <c r="I146" s="292">
        <f t="shared" si="66"/>
        <v>280.20999999999998</v>
      </c>
      <c r="J146" s="292">
        <f t="shared" si="66"/>
        <v>280.20999999999998</v>
      </c>
      <c r="K146" s="292">
        <f t="shared" si="66"/>
        <v>280.20999999999998</v>
      </c>
      <c r="L146" s="292">
        <f t="shared" si="66"/>
        <v>280.20999999999998</v>
      </c>
      <c r="M146" s="292">
        <f t="shared" si="66"/>
        <v>280.20999999999998</v>
      </c>
      <c r="N146" s="292">
        <f t="shared" si="66"/>
        <v>280.20999999999998</v>
      </c>
      <c r="O146" s="300">
        <f t="shared" si="66"/>
        <v>280.20999999999998</v>
      </c>
      <c r="P146" s="406">
        <f t="shared" si="67"/>
        <v>280.20999999999998</v>
      </c>
      <c r="Q146" s="313"/>
      <c r="R146" s="229">
        <f>+'VULPES PAPAS'!H6</f>
        <v>57.5</v>
      </c>
      <c r="S146" s="91">
        <f t="shared" si="68"/>
        <v>16112.074999999999</v>
      </c>
      <c r="T146" s="229">
        <f>+'VULPES PAPAS'!M6</f>
        <v>0.5</v>
      </c>
      <c r="U146" s="91">
        <f t="shared" si="69"/>
        <v>140.10499999999999</v>
      </c>
      <c r="V146" s="229">
        <f>+'VULPES PAPAS'!R6</f>
        <v>0.5</v>
      </c>
      <c r="W146" s="91">
        <f t="shared" si="70"/>
        <v>140.10499999999999</v>
      </c>
      <c r="X146" s="229">
        <f>+'VULPES PAPAS'!W6</f>
        <v>0.5</v>
      </c>
      <c r="Y146" s="91">
        <f t="shared" si="71"/>
        <v>140.10499999999999</v>
      </c>
      <c r="Z146" s="229">
        <f>+'VULPES PAPAS'!AB6</f>
        <v>0.5</v>
      </c>
      <c r="AA146" s="292">
        <f t="shared" si="72"/>
        <v>140.10499999999999</v>
      </c>
      <c r="AB146" s="292"/>
      <c r="AC146" s="292"/>
      <c r="AD146" s="292"/>
      <c r="AE146" s="292"/>
      <c r="AF146" s="292"/>
      <c r="AG146" s="292"/>
      <c r="AH146" s="292"/>
      <c r="AI146" s="292"/>
      <c r="AJ146" s="292"/>
      <c r="AK146" s="292"/>
      <c r="AL146" s="292"/>
      <c r="AM146" s="292"/>
      <c r="AP146" s="292"/>
      <c r="AQ146" s="292"/>
    </row>
    <row r="147" spans="1:43" x14ac:dyDescent="0.25">
      <c r="A147" s="243">
        <v>802142</v>
      </c>
      <c r="B147" s="244" t="s">
        <v>92</v>
      </c>
      <c r="C147" s="292">
        <v>302.66000000000003</v>
      </c>
      <c r="D147" s="292">
        <f t="shared" si="66"/>
        <v>302.66000000000003</v>
      </c>
      <c r="E147" s="292">
        <f t="shared" si="66"/>
        <v>302.66000000000003</v>
      </c>
      <c r="F147" s="292">
        <f t="shared" si="66"/>
        <v>302.66000000000003</v>
      </c>
      <c r="G147" s="292">
        <f t="shared" si="66"/>
        <v>302.66000000000003</v>
      </c>
      <c r="H147" s="292">
        <f t="shared" si="66"/>
        <v>302.66000000000003</v>
      </c>
      <c r="I147" s="292">
        <f t="shared" si="66"/>
        <v>302.66000000000003</v>
      </c>
      <c r="J147" s="292">
        <f t="shared" si="66"/>
        <v>302.66000000000003</v>
      </c>
      <c r="K147" s="292">
        <f t="shared" si="66"/>
        <v>302.66000000000003</v>
      </c>
      <c r="L147" s="292">
        <f t="shared" si="66"/>
        <v>302.66000000000003</v>
      </c>
      <c r="M147" s="292">
        <f t="shared" si="66"/>
        <v>302.66000000000003</v>
      </c>
      <c r="N147" s="292">
        <f t="shared" si="66"/>
        <v>302.66000000000003</v>
      </c>
      <c r="O147" s="300">
        <f t="shared" si="66"/>
        <v>302.66000000000003</v>
      </c>
      <c r="P147" s="406">
        <f t="shared" si="67"/>
        <v>302.65999999999997</v>
      </c>
      <c r="Q147" s="313"/>
      <c r="R147" s="229">
        <f>+'VULPES PAPAS'!H7</f>
        <v>0.25</v>
      </c>
      <c r="S147" s="91">
        <f t="shared" si="68"/>
        <v>75.665000000000006</v>
      </c>
      <c r="T147" s="229">
        <f>+'VULPES PAPAS'!M7</f>
        <v>0.25</v>
      </c>
      <c r="U147" s="91">
        <f t="shared" si="69"/>
        <v>75.665000000000006</v>
      </c>
      <c r="V147" s="229">
        <f>+'VULPES PAPAS'!R7</f>
        <v>0.25</v>
      </c>
      <c r="W147" s="91">
        <f t="shared" si="70"/>
        <v>75.665000000000006</v>
      </c>
      <c r="X147" s="229">
        <f>+'VULPES PAPAS'!W7</f>
        <v>0.25</v>
      </c>
      <c r="Y147" s="91">
        <f t="shared" si="71"/>
        <v>75.665000000000006</v>
      </c>
      <c r="Z147" s="229">
        <f>+'VULPES PAPAS'!AB7</f>
        <v>0.25</v>
      </c>
      <c r="AA147" s="292">
        <f t="shared" si="72"/>
        <v>75.665000000000006</v>
      </c>
      <c r="AB147" s="292"/>
      <c r="AC147" s="292"/>
      <c r="AD147" s="292"/>
      <c r="AE147" s="292"/>
      <c r="AF147" s="292"/>
      <c r="AG147" s="292"/>
      <c r="AH147" s="292"/>
      <c r="AI147" s="292"/>
      <c r="AJ147" s="292"/>
      <c r="AK147" s="292"/>
      <c r="AL147" s="292"/>
      <c r="AM147" s="292"/>
      <c r="AP147" s="292"/>
      <c r="AQ147" s="292"/>
    </row>
    <row r="148" spans="1:43" x14ac:dyDescent="0.25">
      <c r="A148" s="243">
        <v>806982</v>
      </c>
      <c r="B148" s="244" t="s">
        <v>94</v>
      </c>
      <c r="C148" s="292">
        <v>315.08999999999997</v>
      </c>
      <c r="D148" s="292">
        <f t="shared" si="66"/>
        <v>315.08999999999997</v>
      </c>
      <c r="E148" s="292">
        <f t="shared" si="66"/>
        <v>315.08999999999997</v>
      </c>
      <c r="F148" s="292">
        <f t="shared" si="66"/>
        <v>315.08999999999997</v>
      </c>
      <c r="G148" s="292">
        <f t="shared" si="66"/>
        <v>315.08999999999997</v>
      </c>
      <c r="H148" s="292">
        <f t="shared" si="66"/>
        <v>315.08999999999997</v>
      </c>
      <c r="I148" s="292">
        <f t="shared" si="66"/>
        <v>315.08999999999997</v>
      </c>
      <c r="J148" s="292">
        <f t="shared" si="66"/>
        <v>315.08999999999997</v>
      </c>
      <c r="K148" s="292">
        <f t="shared" si="66"/>
        <v>315.08999999999997</v>
      </c>
      <c r="L148" s="292">
        <f t="shared" si="66"/>
        <v>315.08999999999997</v>
      </c>
      <c r="M148" s="292">
        <f t="shared" si="66"/>
        <v>315.08999999999997</v>
      </c>
      <c r="N148" s="292">
        <f t="shared" si="66"/>
        <v>315.08999999999997</v>
      </c>
      <c r="O148" s="300">
        <f t="shared" si="66"/>
        <v>315.08999999999997</v>
      </c>
      <c r="P148" s="406">
        <f t="shared" si="67"/>
        <v>315.09000000000003</v>
      </c>
      <c r="Q148" s="313"/>
      <c r="R148" s="229">
        <f>+'VULPES PAPAS'!H8</f>
        <v>12.170000000000002</v>
      </c>
      <c r="S148" s="91">
        <f t="shared" si="68"/>
        <v>3834.6453000000001</v>
      </c>
      <c r="T148" s="229">
        <f>+'VULPES PAPAS'!M8</f>
        <v>58.84</v>
      </c>
      <c r="U148" s="91">
        <f t="shared" si="69"/>
        <v>18539.8956</v>
      </c>
      <c r="V148" s="229">
        <f>+'VULPES PAPAS'!R8</f>
        <v>101.84</v>
      </c>
      <c r="W148" s="91">
        <f t="shared" si="70"/>
        <v>32088.765599999999</v>
      </c>
      <c r="X148" s="229">
        <f>+'VULPES PAPAS'!W8</f>
        <v>94.67</v>
      </c>
      <c r="Y148" s="91">
        <f t="shared" si="71"/>
        <v>29829.570299999999</v>
      </c>
      <c r="Z148" s="229">
        <f>+'VULPES PAPAS'!AB8</f>
        <v>92.67</v>
      </c>
      <c r="AA148" s="292">
        <f t="shared" si="72"/>
        <v>29199.390299999999</v>
      </c>
      <c r="AB148" s="292"/>
      <c r="AC148" s="292"/>
      <c r="AD148" s="292"/>
      <c r="AE148" s="292"/>
      <c r="AF148" s="292"/>
      <c r="AG148" s="292"/>
      <c r="AH148" s="292"/>
      <c r="AI148" s="292"/>
      <c r="AJ148" s="292"/>
      <c r="AK148" s="292"/>
      <c r="AL148" s="292"/>
      <c r="AM148" s="292"/>
      <c r="AP148" s="292"/>
      <c r="AQ148" s="292"/>
    </row>
    <row r="149" spans="1:43" x14ac:dyDescent="0.25">
      <c r="A149" s="243">
        <v>806685</v>
      </c>
      <c r="B149" s="244" t="s">
        <v>57</v>
      </c>
      <c r="C149" s="292"/>
      <c r="D149" s="292">
        <f t="shared" si="66"/>
        <v>0</v>
      </c>
      <c r="E149" s="292">
        <f t="shared" si="66"/>
        <v>0</v>
      </c>
      <c r="F149" s="292">
        <f t="shared" si="66"/>
        <v>0</v>
      </c>
      <c r="G149" s="292">
        <f t="shared" si="66"/>
        <v>0</v>
      </c>
      <c r="H149" s="292">
        <f t="shared" si="66"/>
        <v>0</v>
      </c>
      <c r="I149" s="292">
        <f t="shared" si="66"/>
        <v>0</v>
      </c>
      <c r="J149" s="292">
        <f t="shared" si="66"/>
        <v>0</v>
      </c>
      <c r="K149" s="292">
        <f t="shared" si="66"/>
        <v>0</v>
      </c>
      <c r="L149" s="292">
        <f t="shared" si="66"/>
        <v>0</v>
      </c>
      <c r="M149" s="292">
        <f t="shared" si="66"/>
        <v>0</v>
      </c>
      <c r="N149" s="292">
        <f t="shared" si="66"/>
        <v>0</v>
      </c>
      <c r="O149" s="300">
        <f t="shared" si="66"/>
        <v>0</v>
      </c>
      <c r="P149" s="406">
        <f t="shared" si="67"/>
        <v>0</v>
      </c>
      <c r="Q149" s="313"/>
      <c r="R149" s="229">
        <f>+'VULPES PAPAS'!H9</f>
        <v>1.5</v>
      </c>
      <c r="S149" s="91">
        <f t="shared" si="68"/>
        <v>0</v>
      </c>
      <c r="T149" s="229">
        <f>+'VULPES PAPAS'!M9</f>
        <v>1.5</v>
      </c>
      <c r="U149" s="91">
        <f t="shared" si="69"/>
        <v>0</v>
      </c>
      <c r="V149" s="229">
        <f>+'VULPES PAPAS'!R9</f>
        <v>1.5</v>
      </c>
      <c r="W149" s="91">
        <f t="shared" si="70"/>
        <v>0</v>
      </c>
      <c r="X149" s="229">
        <f>+'VULPES PAPAS'!W9</f>
        <v>0.5</v>
      </c>
      <c r="Y149" s="91">
        <f t="shared" si="71"/>
        <v>0</v>
      </c>
      <c r="Z149" s="229">
        <f>+'VULPES PAPAS'!AB9</f>
        <v>0.5</v>
      </c>
      <c r="AA149" s="292">
        <f t="shared" si="72"/>
        <v>0</v>
      </c>
      <c r="AB149" s="292"/>
      <c r="AC149" s="292"/>
      <c r="AD149" s="292"/>
      <c r="AE149" s="292"/>
      <c r="AF149" s="292"/>
      <c r="AG149" s="292"/>
      <c r="AH149" s="292"/>
      <c r="AI149" s="292"/>
      <c r="AJ149" s="292"/>
      <c r="AK149" s="292"/>
      <c r="AL149" s="292"/>
      <c r="AM149" s="292"/>
      <c r="AP149" s="292"/>
      <c r="AQ149" s="292"/>
    </row>
    <row r="150" spans="1:43" x14ac:dyDescent="0.25">
      <c r="A150" s="243">
        <v>804104</v>
      </c>
      <c r="B150" s="244" t="s">
        <v>69</v>
      </c>
      <c r="C150" s="292">
        <v>330.18</v>
      </c>
      <c r="D150" s="292">
        <f t="shared" si="66"/>
        <v>330.18</v>
      </c>
      <c r="E150" s="292">
        <f t="shared" si="66"/>
        <v>330.18</v>
      </c>
      <c r="F150" s="292">
        <f t="shared" si="66"/>
        <v>330.18</v>
      </c>
      <c r="G150" s="292">
        <f t="shared" si="66"/>
        <v>330.18</v>
      </c>
      <c r="H150" s="292">
        <f t="shared" si="66"/>
        <v>330.18</v>
      </c>
      <c r="I150" s="292">
        <f t="shared" si="66"/>
        <v>330.18</v>
      </c>
      <c r="J150" s="292">
        <f t="shared" si="66"/>
        <v>330.18</v>
      </c>
      <c r="K150" s="292">
        <f t="shared" si="66"/>
        <v>330.18</v>
      </c>
      <c r="L150" s="292">
        <f t="shared" si="66"/>
        <v>330.18</v>
      </c>
      <c r="M150" s="292">
        <f t="shared" si="66"/>
        <v>330.18</v>
      </c>
      <c r="N150" s="292">
        <f t="shared" si="66"/>
        <v>330.18</v>
      </c>
      <c r="O150" s="300">
        <f t="shared" si="66"/>
        <v>330.18</v>
      </c>
      <c r="P150" s="406">
        <f t="shared" si="67"/>
        <v>330.17999999999995</v>
      </c>
      <c r="Q150" s="313"/>
      <c r="R150" s="229">
        <f>+'VULPES PAPAS'!H10</f>
        <v>2.25</v>
      </c>
      <c r="S150" s="91">
        <f t="shared" si="68"/>
        <v>742.90499999999997</v>
      </c>
      <c r="T150" s="229">
        <f>+'VULPES PAPAS'!M10</f>
        <v>2.25</v>
      </c>
      <c r="U150" s="91">
        <f t="shared" si="69"/>
        <v>742.90499999999997</v>
      </c>
      <c r="V150" s="229">
        <f>+'VULPES PAPAS'!R10</f>
        <v>2.25</v>
      </c>
      <c r="W150" s="91">
        <f t="shared" si="70"/>
        <v>742.90499999999997</v>
      </c>
      <c r="X150" s="229">
        <f>+'VULPES PAPAS'!W10</f>
        <v>0.25</v>
      </c>
      <c r="Y150" s="91">
        <f t="shared" si="71"/>
        <v>82.545000000000002</v>
      </c>
      <c r="Z150" s="229">
        <f>+'VULPES PAPAS'!AB10</f>
        <v>0.25</v>
      </c>
      <c r="AA150" s="292">
        <f t="shared" si="72"/>
        <v>82.545000000000002</v>
      </c>
      <c r="AB150" s="292"/>
      <c r="AC150" s="292"/>
      <c r="AD150" s="292"/>
      <c r="AE150" s="292"/>
      <c r="AF150" s="292"/>
      <c r="AG150" s="292"/>
      <c r="AH150" s="292"/>
      <c r="AI150" s="292"/>
      <c r="AJ150" s="292"/>
      <c r="AK150" s="292"/>
      <c r="AL150" s="292"/>
      <c r="AM150" s="292"/>
      <c r="AP150" s="292"/>
      <c r="AQ150" s="292"/>
    </row>
    <row r="151" spans="1:43" x14ac:dyDescent="0.25">
      <c r="A151" s="243">
        <v>806686</v>
      </c>
      <c r="B151" s="244" t="s">
        <v>70</v>
      </c>
      <c r="C151" s="292">
        <v>312.32</v>
      </c>
      <c r="D151" s="292">
        <f t="shared" si="66"/>
        <v>312.32</v>
      </c>
      <c r="E151" s="292">
        <f t="shared" si="66"/>
        <v>312.32</v>
      </c>
      <c r="F151" s="292">
        <f t="shared" si="66"/>
        <v>312.32</v>
      </c>
      <c r="G151" s="292">
        <f t="shared" si="66"/>
        <v>312.32</v>
      </c>
      <c r="H151" s="292">
        <f t="shared" si="66"/>
        <v>312.32</v>
      </c>
      <c r="I151" s="292">
        <f t="shared" si="66"/>
        <v>312.32</v>
      </c>
      <c r="J151" s="292">
        <f t="shared" si="66"/>
        <v>312.32</v>
      </c>
      <c r="K151" s="292">
        <f t="shared" si="66"/>
        <v>312.32</v>
      </c>
      <c r="L151" s="292">
        <f t="shared" si="66"/>
        <v>312.32</v>
      </c>
      <c r="M151" s="292">
        <f t="shared" si="66"/>
        <v>312.32</v>
      </c>
      <c r="N151" s="292">
        <f t="shared" si="66"/>
        <v>312.32</v>
      </c>
      <c r="O151" s="300">
        <f t="shared" si="66"/>
        <v>312.32</v>
      </c>
      <c r="P151" s="406">
        <f t="shared" si="67"/>
        <v>312.32000000000005</v>
      </c>
      <c r="Q151" s="313"/>
      <c r="R151" s="229">
        <f>+'VULPES PAPAS'!H11</f>
        <v>0</v>
      </c>
      <c r="S151" s="91">
        <f t="shared" si="68"/>
        <v>0</v>
      </c>
      <c r="T151" s="229">
        <f>+'VULPES PAPAS'!M11</f>
        <v>0</v>
      </c>
      <c r="U151" s="91">
        <f t="shared" si="69"/>
        <v>0</v>
      </c>
      <c r="V151" s="229">
        <f>+'VULPES PAPAS'!R11</f>
        <v>0</v>
      </c>
      <c r="W151" s="91">
        <f t="shared" si="70"/>
        <v>0</v>
      </c>
      <c r="X151" s="229">
        <f>+'VULPES PAPAS'!W11</f>
        <v>0</v>
      </c>
      <c r="Y151" s="91">
        <f t="shared" si="71"/>
        <v>0</v>
      </c>
      <c r="Z151" s="229">
        <f>+'VULPES PAPAS'!AB11</f>
        <v>0</v>
      </c>
      <c r="AA151" s="292">
        <f t="shared" si="72"/>
        <v>0</v>
      </c>
      <c r="AB151" s="292"/>
      <c r="AC151" s="292"/>
      <c r="AD151" s="292"/>
      <c r="AE151" s="292"/>
      <c r="AF151" s="292"/>
      <c r="AG151" s="292"/>
      <c r="AH151" s="292"/>
      <c r="AI151" s="292"/>
      <c r="AJ151" s="292"/>
      <c r="AK151" s="292"/>
      <c r="AL151" s="292"/>
      <c r="AM151" s="292"/>
      <c r="AP151" s="292"/>
      <c r="AQ151" s="292"/>
    </row>
    <row r="152" spans="1:43" hidden="1" x14ac:dyDescent="0.25">
      <c r="A152" s="243"/>
      <c r="B152" s="244"/>
      <c r="C152" s="292"/>
      <c r="D152" s="292">
        <f t="shared" si="66"/>
        <v>0</v>
      </c>
      <c r="E152" s="292">
        <f t="shared" si="66"/>
        <v>0</v>
      </c>
      <c r="F152" s="292">
        <f t="shared" si="66"/>
        <v>0</v>
      </c>
      <c r="G152" s="292">
        <f t="shared" si="66"/>
        <v>0</v>
      </c>
      <c r="H152" s="292">
        <f t="shared" si="66"/>
        <v>0</v>
      </c>
      <c r="I152" s="292">
        <f t="shared" si="66"/>
        <v>0</v>
      </c>
      <c r="J152" s="292">
        <f t="shared" si="66"/>
        <v>0</v>
      </c>
      <c r="K152" s="292">
        <f t="shared" si="66"/>
        <v>0</v>
      </c>
      <c r="L152" s="292">
        <f t="shared" si="66"/>
        <v>0</v>
      </c>
      <c r="M152" s="292">
        <f t="shared" si="66"/>
        <v>0</v>
      </c>
      <c r="N152" s="292">
        <f t="shared" si="66"/>
        <v>0</v>
      </c>
      <c r="O152" s="300">
        <f t="shared" si="66"/>
        <v>0</v>
      </c>
      <c r="P152" s="406">
        <f t="shared" si="67"/>
        <v>0</v>
      </c>
      <c r="Q152" s="313"/>
      <c r="R152" s="229"/>
      <c r="S152" s="91">
        <f t="shared" si="68"/>
        <v>0</v>
      </c>
      <c r="T152" s="229"/>
      <c r="U152" s="91">
        <f t="shared" si="69"/>
        <v>0</v>
      </c>
      <c r="V152" s="229"/>
      <c r="W152" s="91">
        <f t="shared" si="70"/>
        <v>0</v>
      </c>
      <c r="X152" s="229"/>
      <c r="Y152" s="91">
        <f t="shared" si="71"/>
        <v>0</v>
      </c>
      <c r="Z152" s="229">
        <f>+'VULPES PAPAS'!AB12</f>
        <v>0</v>
      </c>
      <c r="AA152" s="292">
        <f t="shared" si="72"/>
        <v>0</v>
      </c>
      <c r="AB152" s="292"/>
      <c r="AC152" s="292"/>
      <c r="AD152" s="292"/>
      <c r="AE152" s="292"/>
      <c r="AF152" s="292"/>
      <c r="AG152" s="292"/>
      <c r="AH152" s="292"/>
      <c r="AI152" s="292"/>
      <c r="AJ152" s="292"/>
      <c r="AK152" s="292"/>
      <c r="AL152" s="292"/>
      <c r="AM152" s="292"/>
      <c r="AP152" s="292"/>
      <c r="AQ152" s="292"/>
    </row>
    <row r="153" spans="1:43" hidden="1" x14ac:dyDescent="0.25">
      <c r="A153" s="243"/>
      <c r="B153" s="244"/>
      <c r="C153" s="292"/>
      <c r="D153" s="292">
        <f t="shared" si="66"/>
        <v>0</v>
      </c>
      <c r="E153" s="292">
        <f t="shared" si="66"/>
        <v>0</v>
      </c>
      <c r="F153" s="292">
        <f t="shared" si="66"/>
        <v>0</v>
      </c>
      <c r="G153" s="292">
        <f t="shared" si="66"/>
        <v>0</v>
      </c>
      <c r="H153" s="292">
        <f t="shared" si="66"/>
        <v>0</v>
      </c>
      <c r="I153" s="292">
        <f t="shared" si="66"/>
        <v>0</v>
      </c>
      <c r="J153" s="292">
        <f t="shared" si="66"/>
        <v>0</v>
      </c>
      <c r="K153" s="292">
        <f t="shared" si="66"/>
        <v>0</v>
      </c>
      <c r="L153" s="292">
        <f t="shared" si="66"/>
        <v>0</v>
      </c>
      <c r="M153" s="292">
        <f t="shared" si="66"/>
        <v>0</v>
      </c>
      <c r="N153" s="292">
        <f t="shared" si="66"/>
        <v>0</v>
      </c>
      <c r="O153" s="300">
        <f t="shared" si="66"/>
        <v>0</v>
      </c>
      <c r="P153" s="406">
        <f t="shared" si="67"/>
        <v>0</v>
      </c>
      <c r="Q153" s="313"/>
      <c r="R153" s="229"/>
      <c r="S153" s="91">
        <f t="shared" si="68"/>
        <v>0</v>
      </c>
      <c r="T153" s="229"/>
      <c r="U153" s="91">
        <f t="shared" si="69"/>
        <v>0</v>
      </c>
      <c r="V153" s="229"/>
      <c r="W153" s="91">
        <f t="shared" si="70"/>
        <v>0</v>
      </c>
      <c r="X153" s="229"/>
      <c r="Y153" s="91">
        <f t="shared" si="71"/>
        <v>0</v>
      </c>
      <c r="Z153" s="229">
        <f>+'VULPES PAPAS'!AB13</f>
        <v>0</v>
      </c>
      <c r="AA153" s="292">
        <f t="shared" si="72"/>
        <v>0</v>
      </c>
      <c r="AB153" s="292"/>
      <c r="AC153" s="292"/>
      <c r="AD153" s="292"/>
      <c r="AE153" s="292"/>
      <c r="AF153" s="292"/>
      <c r="AG153" s="292"/>
      <c r="AH153" s="292"/>
      <c r="AI153" s="292"/>
      <c r="AJ153" s="292"/>
      <c r="AK153" s="292"/>
      <c r="AL153" s="292"/>
      <c r="AM153" s="292"/>
      <c r="AP153" s="292"/>
      <c r="AQ153" s="292"/>
    </row>
    <row r="154" spans="1:43" hidden="1" x14ac:dyDescent="0.25">
      <c r="A154" s="243"/>
      <c r="B154" s="244"/>
      <c r="C154" s="292"/>
      <c r="D154" s="292">
        <f t="shared" si="66"/>
        <v>0</v>
      </c>
      <c r="E154" s="292">
        <f t="shared" si="66"/>
        <v>0</v>
      </c>
      <c r="F154" s="292">
        <f t="shared" si="66"/>
        <v>0</v>
      </c>
      <c r="G154" s="292">
        <f t="shared" si="66"/>
        <v>0</v>
      </c>
      <c r="H154" s="292">
        <f t="shared" si="66"/>
        <v>0</v>
      </c>
      <c r="I154" s="292">
        <f t="shared" si="66"/>
        <v>0</v>
      </c>
      <c r="J154" s="292">
        <f t="shared" si="66"/>
        <v>0</v>
      </c>
      <c r="K154" s="292">
        <f t="shared" si="66"/>
        <v>0</v>
      </c>
      <c r="L154" s="292">
        <f t="shared" si="66"/>
        <v>0</v>
      </c>
      <c r="M154" s="292">
        <f t="shared" si="66"/>
        <v>0</v>
      </c>
      <c r="N154" s="292">
        <f t="shared" si="66"/>
        <v>0</v>
      </c>
      <c r="O154" s="300">
        <f t="shared" si="66"/>
        <v>0</v>
      </c>
      <c r="P154" s="406">
        <f t="shared" si="67"/>
        <v>0</v>
      </c>
      <c r="Q154" s="313"/>
      <c r="R154" s="229"/>
      <c r="S154" s="91">
        <f t="shared" si="68"/>
        <v>0</v>
      </c>
      <c r="T154" s="229"/>
      <c r="U154" s="91">
        <f t="shared" si="69"/>
        <v>0</v>
      </c>
      <c r="V154" s="229"/>
      <c r="W154" s="91">
        <f t="shared" si="70"/>
        <v>0</v>
      </c>
      <c r="X154" s="229"/>
      <c r="Y154" s="91">
        <f t="shared" si="71"/>
        <v>0</v>
      </c>
      <c r="Z154" s="229">
        <f>+'VULPES PAPAS'!AB14</f>
        <v>0</v>
      </c>
      <c r="AA154" s="292">
        <f t="shared" si="72"/>
        <v>0</v>
      </c>
      <c r="AB154" s="292"/>
      <c r="AC154" s="292"/>
      <c r="AD154" s="292"/>
      <c r="AE154" s="292"/>
      <c r="AF154" s="292"/>
      <c r="AG154" s="292"/>
      <c r="AH154" s="292"/>
      <c r="AI154" s="292"/>
      <c r="AJ154" s="292"/>
      <c r="AK154" s="292"/>
      <c r="AL154" s="292"/>
      <c r="AM154" s="292"/>
      <c r="AP154" s="292"/>
      <c r="AQ154" s="292"/>
    </row>
    <row r="155" spans="1:43" x14ac:dyDescent="0.25">
      <c r="A155" s="255">
        <v>105632</v>
      </c>
      <c r="B155" s="256" t="s">
        <v>58</v>
      </c>
      <c r="C155" s="292">
        <v>285.47000000000003</v>
      </c>
      <c r="D155" s="430">
        <f>+D128</f>
        <v>242.6</v>
      </c>
      <c r="E155" s="292">
        <f t="shared" si="66"/>
        <v>242.6</v>
      </c>
      <c r="F155" s="292">
        <f t="shared" si="66"/>
        <v>242.6</v>
      </c>
      <c r="G155" s="292">
        <f t="shared" si="66"/>
        <v>242.6</v>
      </c>
      <c r="H155" s="292">
        <f t="shared" si="66"/>
        <v>242.6</v>
      </c>
      <c r="I155" s="292">
        <f t="shared" si="66"/>
        <v>242.6</v>
      </c>
      <c r="J155" s="292">
        <f t="shared" si="66"/>
        <v>242.6</v>
      </c>
      <c r="K155" s="292">
        <f t="shared" si="66"/>
        <v>242.6</v>
      </c>
      <c r="L155" s="292">
        <f t="shared" si="66"/>
        <v>242.6</v>
      </c>
      <c r="M155" s="292">
        <f t="shared" si="66"/>
        <v>242.6</v>
      </c>
      <c r="N155" s="292">
        <f t="shared" si="66"/>
        <v>242.6</v>
      </c>
      <c r="O155" s="300">
        <f t="shared" si="66"/>
        <v>242.6</v>
      </c>
      <c r="P155" s="406">
        <f t="shared" si="67"/>
        <v>242.59999999999994</v>
      </c>
      <c r="Q155" s="313"/>
      <c r="R155" s="229">
        <f>+'VULPES PAPAS'!H20</f>
        <v>0</v>
      </c>
      <c r="S155" s="91">
        <f t="shared" si="68"/>
        <v>0</v>
      </c>
      <c r="T155" s="229">
        <f>+'VULPES PAPAS'!M20</f>
        <v>0</v>
      </c>
      <c r="U155" s="91">
        <f t="shared" si="69"/>
        <v>0</v>
      </c>
      <c r="V155" s="229">
        <f>+'VULPES PAPAS'!R20</f>
        <v>0</v>
      </c>
      <c r="W155" s="91">
        <f t="shared" si="70"/>
        <v>0</v>
      </c>
      <c r="X155" s="229">
        <f>+'VULPES PAPAS'!W20</f>
        <v>0</v>
      </c>
      <c r="Y155" s="91">
        <f t="shared" si="71"/>
        <v>0</v>
      </c>
      <c r="Z155" s="229">
        <f>+'VULPES PAPAS'!AB20</f>
        <v>0</v>
      </c>
      <c r="AA155" s="292">
        <f t="shared" si="72"/>
        <v>0</v>
      </c>
      <c r="AB155" s="292"/>
      <c r="AC155" s="292"/>
      <c r="AD155" s="292"/>
      <c r="AE155" s="292"/>
      <c r="AF155" s="292"/>
      <c r="AG155" s="292"/>
      <c r="AH155" s="292"/>
      <c r="AI155" s="292"/>
      <c r="AJ155" s="292"/>
      <c r="AK155" s="292"/>
      <c r="AL155" s="292"/>
      <c r="AM155" s="292"/>
      <c r="AP155" s="292"/>
      <c r="AQ155" s="292"/>
    </row>
    <row r="156" spans="1:43" x14ac:dyDescent="0.25">
      <c r="A156" s="255">
        <v>102341</v>
      </c>
      <c r="B156" s="256" t="s">
        <v>59</v>
      </c>
      <c r="C156" s="292">
        <v>282.60000000000002</v>
      </c>
      <c r="D156" s="292">
        <f t="shared" si="66"/>
        <v>282.60000000000002</v>
      </c>
      <c r="E156" s="292">
        <f t="shared" si="66"/>
        <v>282.60000000000002</v>
      </c>
      <c r="F156" s="292">
        <f t="shared" si="66"/>
        <v>282.60000000000002</v>
      </c>
      <c r="G156" s="292">
        <f t="shared" si="66"/>
        <v>282.60000000000002</v>
      </c>
      <c r="H156" s="292">
        <f t="shared" si="66"/>
        <v>282.60000000000002</v>
      </c>
      <c r="I156" s="292">
        <f t="shared" si="66"/>
        <v>282.60000000000002</v>
      </c>
      <c r="J156" s="292">
        <f t="shared" si="66"/>
        <v>282.60000000000002</v>
      </c>
      <c r="K156" s="292">
        <f t="shared" si="66"/>
        <v>282.60000000000002</v>
      </c>
      <c r="L156" s="292">
        <f t="shared" si="66"/>
        <v>282.60000000000002</v>
      </c>
      <c r="M156" s="292">
        <f t="shared" si="66"/>
        <v>282.60000000000002</v>
      </c>
      <c r="N156" s="292">
        <f t="shared" si="66"/>
        <v>282.60000000000002</v>
      </c>
      <c r="O156" s="300">
        <f t="shared" si="66"/>
        <v>282.60000000000002</v>
      </c>
      <c r="P156" s="406">
        <f t="shared" si="67"/>
        <v>282.59999999999997</v>
      </c>
      <c r="Q156" s="313"/>
      <c r="R156" s="229">
        <f>+'VULPES PAPAS'!H21</f>
        <v>133.25</v>
      </c>
      <c r="S156" s="91">
        <f t="shared" si="68"/>
        <v>37656.450000000004</v>
      </c>
      <c r="T156" s="229">
        <f>+'VULPES PAPAS'!M21</f>
        <v>2</v>
      </c>
      <c r="U156" s="91">
        <f t="shared" si="69"/>
        <v>565.20000000000005</v>
      </c>
      <c r="V156" s="229">
        <f>+'VULPES PAPAS'!R21</f>
        <v>2</v>
      </c>
      <c r="W156" s="91">
        <f t="shared" si="70"/>
        <v>565.20000000000005</v>
      </c>
      <c r="X156" s="229">
        <f>+'VULPES PAPAS'!W21</f>
        <v>44</v>
      </c>
      <c r="Y156" s="91">
        <f t="shared" si="71"/>
        <v>12434.400000000001</v>
      </c>
      <c r="Z156" s="229">
        <f>+'VULPES PAPAS'!AB21</f>
        <v>49</v>
      </c>
      <c r="AA156" s="292">
        <f t="shared" si="72"/>
        <v>13847.400000000001</v>
      </c>
      <c r="AB156" s="292"/>
      <c r="AC156" s="292"/>
      <c r="AD156" s="292"/>
      <c r="AE156" s="292"/>
      <c r="AF156" s="292"/>
      <c r="AG156" s="292"/>
      <c r="AH156" s="292"/>
      <c r="AI156" s="292"/>
      <c r="AJ156" s="292"/>
      <c r="AK156" s="292"/>
      <c r="AL156" s="292"/>
      <c r="AM156" s="292"/>
      <c r="AP156" s="292"/>
      <c r="AQ156" s="292"/>
    </row>
    <row r="157" spans="1:43" x14ac:dyDescent="0.25">
      <c r="A157" s="255">
        <v>102310</v>
      </c>
      <c r="B157" s="256" t="s">
        <v>60</v>
      </c>
      <c r="C157" s="292">
        <v>354.96</v>
      </c>
      <c r="D157" s="292">
        <f t="shared" si="66"/>
        <v>354.96</v>
      </c>
      <c r="E157" s="292">
        <f t="shared" si="66"/>
        <v>354.96</v>
      </c>
      <c r="F157" s="292">
        <f t="shared" si="66"/>
        <v>354.96</v>
      </c>
      <c r="G157" s="292">
        <f t="shared" si="66"/>
        <v>354.96</v>
      </c>
      <c r="H157" s="292">
        <f t="shared" si="66"/>
        <v>354.96</v>
      </c>
      <c r="I157" s="292">
        <f t="shared" si="66"/>
        <v>354.96</v>
      </c>
      <c r="J157" s="292">
        <f t="shared" si="66"/>
        <v>354.96</v>
      </c>
      <c r="K157" s="292">
        <f t="shared" si="66"/>
        <v>354.96</v>
      </c>
      <c r="L157" s="292">
        <f t="shared" si="66"/>
        <v>354.96</v>
      </c>
      <c r="M157" s="292">
        <f t="shared" si="66"/>
        <v>354.96</v>
      </c>
      <c r="N157" s="292">
        <f t="shared" si="66"/>
        <v>354.96</v>
      </c>
      <c r="O157" s="300">
        <f t="shared" si="66"/>
        <v>354.96</v>
      </c>
      <c r="P157" s="406">
        <f t="shared" si="67"/>
        <v>354.96</v>
      </c>
      <c r="Q157" s="313"/>
      <c r="R157" s="229">
        <f>+'VULPES PAPAS'!H22</f>
        <v>25.25</v>
      </c>
      <c r="S157" s="91">
        <f t="shared" si="68"/>
        <v>8962.74</v>
      </c>
      <c r="T157" s="229">
        <f>+'VULPES PAPAS'!M22</f>
        <v>1</v>
      </c>
      <c r="U157" s="91">
        <f t="shared" si="69"/>
        <v>354.96</v>
      </c>
      <c r="V157" s="229">
        <f>+'VULPES PAPAS'!R22</f>
        <v>35</v>
      </c>
      <c r="W157" s="91">
        <f t="shared" si="70"/>
        <v>12423.599999999999</v>
      </c>
      <c r="X157" s="229">
        <f>+'VULPES PAPAS'!W22</f>
        <v>72.7</v>
      </c>
      <c r="Y157" s="91">
        <f t="shared" si="71"/>
        <v>25805.592000000001</v>
      </c>
      <c r="Z157" s="229">
        <f>+'VULPES PAPAS'!AB22</f>
        <v>66.7</v>
      </c>
      <c r="AA157" s="292">
        <f t="shared" si="72"/>
        <v>23675.831999999999</v>
      </c>
      <c r="AB157" s="292"/>
      <c r="AC157" s="292"/>
      <c r="AD157" s="292"/>
      <c r="AE157" s="292"/>
      <c r="AF157" s="292"/>
      <c r="AG157" s="292"/>
      <c r="AH157" s="292"/>
      <c r="AI157" s="292"/>
      <c r="AJ157" s="292"/>
      <c r="AK157" s="292"/>
      <c r="AL157" s="292"/>
      <c r="AM157" s="292"/>
      <c r="AP157" s="292"/>
      <c r="AQ157" s="292"/>
    </row>
    <row r="158" spans="1:43" x14ac:dyDescent="0.25">
      <c r="A158" s="255">
        <v>102211</v>
      </c>
      <c r="B158" s="256" t="s">
        <v>61</v>
      </c>
      <c r="C158" s="292">
        <v>295.35000000000002</v>
      </c>
      <c r="D158" s="292">
        <f t="shared" si="66"/>
        <v>295.35000000000002</v>
      </c>
      <c r="E158" s="292">
        <f t="shared" si="66"/>
        <v>295.35000000000002</v>
      </c>
      <c r="F158" s="292">
        <f t="shared" si="66"/>
        <v>295.35000000000002</v>
      </c>
      <c r="G158" s="292">
        <f t="shared" si="66"/>
        <v>295.35000000000002</v>
      </c>
      <c r="H158" s="292">
        <f t="shared" si="66"/>
        <v>295.35000000000002</v>
      </c>
      <c r="I158" s="292">
        <f t="shared" si="66"/>
        <v>295.35000000000002</v>
      </c>
      <c r="J158" s="292">
        <f t="shared" si="66"/>
        <v>295.35000000000002</v>
      </c>
      <c r="K158" s="292">
        <f t="shared" si="66"/>
        <v>295.35000000000002</v>
      </c>
      <c r="L158" s="292">
        <f t="shared" si="66"/>
        <v>295.35000000000002</v>
      </c>
      <c r="M158" s="292">
        <f t="shared" si="66"/>
        <v>295.35000000000002</v>
      </c>
      <c r="N158" s="292">
        <f t="shared" si="66"/>
        <v>295.35000000000002</v>
      </c>
      <c r="O158" s="300">
        <f t="shared" si="66"/>
        <v>295.35000000000002</v>
      </c>
      <c r="P158" s="406">
        <f t="shared" si="67"/>
        <v>295.34999999999997</v>
      </c>
      <c r="Q158" s="313"/>
      <c r="R158" s="229">
        <f>+'VULPES PAPAS'!H23</f>
        <v>32</v>
      </c>
      <c r="S158" s="91">
        <f t="shared" si="68"/>
        <v>9451.2000000000007</v>
      </c>
      <c r="T158" s="229">
        <f>+'VULPES PAPAS'!M23</f>
        <v>1</v>
      </c>
      <c r="U158" s="91">
        <f t="shared" si="69"/>
        <v>295.35000000000002</v>
      </c>
      <c r="V158" s="229">
        <f>+'VULPES PAPAS'!R23</f>
        <v>11</v>
      </c>
      <c r="W158" s="91">
        <f t="shared" si="70"/>
        <v>3248.8500000000004</v>
      </c>
      <c r="X158" s="229">
        <f>+'VULPES PAPAS'!W23</f>
        <v>14</v>
      </c>
      <c r="Y158" s="91">
        <f t="shared" si="71"/>
        <v>4134.9000000000005</v>
      </c>
      <c r="Z158" s="229">
        <f>+'VULPES PAPAS'!AB23</f>
        <v>40</v>
      </c>
      <c r="AA158" s="292">
        <f t="shared" si="72"/>
        <v>11814</v>
      </c>
      <c r="AB158" s="292"/>
      <c r="AC158" s="292"/>
      <c r="AD158" s="292"/>
      <c r="AE158" s="292"/>
      <c r="AF158" s="292"/>
      <c r="AG158" s="292"/>
      <c r="AH158" s="292"/>
      <c r="AI158" s="292"/>
      <c r="AJ158" s="292"/>
      <c r="AK158" s="292"/>
      <c r="AL158" s="292"/>
      <c r="AM158" s="292"/>
      <c r="AP158" s="292"/>
      <c r="AQ158" s="292"/>
    </row>
    <row r="159" spans="1:43" x14ac:dyDescent="0.25">
      <c r="A159" s="255">
        <v>104215</v>
      </c>
      <c r="B159" s="256" t="s">
        <v>62</v>
      </c>
      <c r="C159" s="292">
        <v>346.14</v>
      </c>
      <c r="D159" s="292">
        <f t="shared" ref="D159:O166" si="73">+C159</f>
        <v>346.14</v>
      </c>
      <c r="E159" s="292">
        <f t="shared" si="73"/>
        <v>346.14</v>
      </c>
      <c r="F159" s="292">
        <f t="shared" si="73"/>
        <v>346.14</v>
      </c>
      <c r="G159" s="292">
        <f t="shared" si="73"/>
        <v>346.14</v>
      </c>
      <c r="H159" s="292">
        <f t="shared" si="73"/>
        <v>346.14</v>
      </c>
      <c r="I159" s="292">
        <f t="shared" si="73"/>
        <v>346.14</v>
      </c>
      <c r="J159" s="292">
        <f t="shared" si="73"/>
        <v>346.14</v>
      </c>
      <c r="K159" s="292">
        <f t="shared" si="73"/>
        <v>346.14</v>
      </c>
      <c r="L159" s="292">
        <f t="shared" si="73"/>
        <v>346.14</v>
      </c>
      <c r="M159" s="292">
        <f t="shared" si="73"/>
        <v>346.14</v>
      </c>
      <c r="N159" s="292">
        <f t="shared" si="73"/>
        <v>346.14</v>
      </c>
      <c r="O159" s="300">
        <f t="shared" si="73"/>
        <v>346.14</v>
      </c>
      <c r="P159" s="406">
        <f t="shared" si="67"/>
        <v>346.13999999999993</v>
      </c>
      <c r="Q159" s="313"/>
      <c r="R159" s="229">
        <f>+'VULPES PAPAS'!H24</f>
        <v>149.25</v>
      </c>
      <c r="S159" s="91">
        <f t="shared" si="68"/>
        <v>51661.394999999997</v>
      </c>
      <c r="T159" s="229">
        <f>+'VULPES PAPAS'!M24</f>
        <v>21.25</v>
      </c>
      <c r="U159" s="91">
        <f t="shared" si="69"/>
        <v>7355.4749999999995</v>
      </c>
      <c r="V159" s="229">
        <f>+'VULPES PAPAS'!R24</f>
        <v>0.25</v>
      </c>
      <c r="W159" s="91">
        <f t="shared" si="70"/>
        <v>86.534999999999997</v>
      </c>
      <c r="X159" s="229">
        <f>+'VULPES PAPAS'!W24</f>
        <v>93.75</v>
      </c>
      <c r="Y159" s="91">
        <f t="shared" si="71"/>
        <v>32450.625</v>
      </c>
      <c r="Z159" s="229">
        <f>+'VULPES PAPAS'!AB24</f>
        <v>68.75</v>
      </c>
      <c r="AA159" s="292">
        <f t="shared" si="72"/>
        <v>23797.125</v>
      </c>
      <c r="AB159" s="292"/>
      <c r="AC159" s="292"/>
      <c r="AD159" s="292"/>
      <c r="AE159" s="292"/>
      <c r="AF159" s="292"/>
      <c r="AG159" s="292"/>
      <c r="AH159" s="292"/>
      <c r="AI159" s="292"/>
      <c r="AJ159" s="292"/>
      <c r="AK159" s="292"/>
      <c r="AL159" s="292"/>
      <c r="AM159" s="292"/>
      <c r="AP159" s="292"/>
      <c r="AQ159" s="292"/>
    </row>
    <row r="160" spans="1:43" x14ac:dyDescent="0.25">
      <c r="A160" s="255">
        <v>114054</v>
      </c>
      <c r="B160" s="256" t="s">
        <v>63</v>
      </c>
      <c r="C160" s="292">
        <v>353.84</v>
      </c>
      <c r="D160" s="292">
        <f t="shared" si="73"/>
        <v>353.84</v>
      </c>
      <c r="E160" s="292">
        <f t="shared" si="73"/>
        <v>353.84</v>
      </c>
      <c r="F160" s="292">
        <f t="shared" si="73"/>
        <v>353.84</v>
      </c>
      <c r="G160" s="292">
        <f t="shared" si="73"/>
        <v>353.84</v>
      </c>
      <c r="H160" s="292">
        <f t="shared" si="73"/>
        <v>353.84</v>
      </c>
      <c r="I160" s="292">
        <f t="shared" si="73"/>
        <v>353.84</v>
      </c>
      <c r="J160" s="292">
        <f t="shared" si="73"/>
        <v>353.84</v>
      </c>
      <c r="K160" s="292">
        <f t="shared" si="73"/>
        <v>353.84</v>
      </c>
      <c r="L160" s="292">
        <f t="shared" si="73"/>
        <v>353.84</v>
      </c>
      <c r="M160" s="292">
        <f t="shared" si="73"/>
        <v>353.84</v>
      </c>
      <c r="N160" s="292">
        <f t="shared" si="73"/>
        <v>353.84</v>
      </c>
      <c r="O160" s="300">
        <f t="shared" si="73"/>
        <v>353.84</v>
      </c>
      <c r="P160" s="406">
        <f t="shared" si="67"/>
        <v>353.84000000000009</v>
      </c>
      <c r="Q160" s="313"/>
      <c r="R160" s="229">
        <f>+'VULPES PAPAS'!H25</f>
        <v>55.5</v>
      </c>
      <c r="S160" s="91">
        <f t="shared" si="68"/>
        <v>19638.12</v>
      </c>
      <c r="T160" s="229">
        <f>+'VULPES PAPAS'!M25</f>
        <v>1</v>
      </c>
      <c r="U160" s="91">
        <f t="shared" si="69"/>
        <v>353.84</v>
      </c>
      <c r="V160" s="229">
        <f>+'VULPES PAPAS'!R25</f>
        <v>27</v>
      </c>
      <c r="W160" s="91">
        <f t="shared" si="70"/>
        <v>9553.6799999999985</v>
      </c>
      <c r="X160" s="229">
        <f>+'VULPES PAPAS'!W25</f>
        <v>10.450000000000003</v>
      </c>
      <c r="Y160" s="91">
        <f t="shared" si="71"/>
        <v>3697.6280000000006</v>
      </c>
      <c r="Z160" s="229">
        <f>+'VULPES PAPAS'!AB25</f>
        <v>21.450000000000003</v>
      </c>
      <c r="AA160" s="292">
        <f t="shared" si="72"/>
        <v>7589.8680000000004</v>
      </c>
      <c r="AB160" s="292"/>
      <c r="AC160" s="292"/>
      <c r="AD160" s="292"/>
      <c r="AE160" s="292"/>
      <c r="AF160" s="292"/>
      <c r="AG160" s="292"/>
      <c r="AH160" s="292"/>
      <c r="AI160" s="292"/>
      <c r="AJ160" s="292"/>
      <c r="AK160" s="292"/>
      <c r="AL160" s="292"/>
      <c r="AM160" s="292"/>
      <c r="AP160" s="292"/>
      <c r="AQ160" s="292"/>
    </row>
    <row r="161" spans="1:43" x14ac:dyDescent="0.25">
      <c r="A161" s="255">
        <v>102419</v>
      </c>
      <c r="B161" s="256" t="s">
        <v>64</v>
      </c>
      <c r="C161" s="292">
        <v>291.29000000000002</v>
      </c>
      <c r="D161" s="292">
        <f t="shared" si="73"/>
        <v>291.29000000000002</v>
      </c>
      <c r="E161" s="292">
        <f t="shared" si="73"/>
        <v>291.29000000000002</v>
      </c>
      <c r="F161" s="292">
        <f t="shared" si="73"/>
        <v>291.29000000000002</v>
      </c>
      <c r="G161" s="292">
        <f t="shared" si="73"/>
        <v>291.29000000000002</v>
      </c>
      <c r="H161" s="292">
        <f t="shared" si="73"/>
        <v>291.29000000000002</v>
      </c>
      <c r="I161" s="292">
        <f t="shared" si="73"/>
        <v>291.29000000000002</v>
      </c>
      <c r="J161" s="292">
        <f t="shared" si="73"/>
        <v>291.29000000000002</v>
      </c>
      <c r="K161" s="292">
        <f t="shared" si="73"/>
        <v>291.29000000000002</v>
      </c>
      <c r="L161" s="292">
        <f t="shared" si="73"/>
        <v>291.29000000000002</v>
      </c>
      <c r="M161" s="292">
        <f t="shared" si="73"/>
        <v>291.29000000000002</v>
      </c>
      <c r="N161" s="292">
        <f t="shared" si="73"/>
        <v>291.29000000000002</v>
      </c>
      <c r="O161" s="300">
        <f t="shared" si="73"/>
        <v>291.29000000000002</v>
      </c>
      <c r="P161" s="406">
        <f t="shared" si="67"/>
        <v>291.29000000000002</v>
      </c>
      <c r="Q161" s="313"/>
      <c r="R161" s="229">
        <f>+'VULPES PAPAS'!H26</f>
        <v>3.5</v>
      </c>
      <c r="S161" s="91">
        <f t="shared" si="68"/>
        <v>1019.5150000000001</v>
      </c>
      <c r="T161" s="229">
        <f>+'VULPES PAPAS'!M26</f>
        <v>0.5</v>
      </c>
      <c r="U161" s="91">
        <f t="shared" si="69"/>
        <v>145.64500000000001</v>
      </c>
      <c r="V161" s="229">
        <f>+'VULPES PAPAS'!R26</f>
        <v>92.5</v>
      </c>
      <c r="W161" s="91">
        <f t="shared" si="70"/>
        <v>26944.325000000001</v>
      </c>
      <c r="X161" s="229">
        <f>+'VULPES PAPAS'!W26</f>
        <v>26.25</v>
      </c>
      <c r="Y161" s="91">
        <f t="shared" si="71"/>
        <v>7646.3625000000002</v>
      </c>
      <c r="Z161" s="229">
        <f>+'VULPES PAPAS'!AB26</f>
        <v>28.25</v>
      </c>
      <c r="AA161" s="292">
        <f t="shared" si="72"/>
        <v>8228.942500000001</v>
      </c>
      <c r="AB161" s="292"/>
      <c r="AC161" s="292"/>
      <c r="AD161" s="292"/>
      <c r="AE161" s="292"/>
      <c r="AF161" s="292"/>
      <c r="AG161" s="292"/>
      <c r="AH161" s="292"/>
      <c r="AI161" s="292"/>
      <c r="AJ161" s="292"/>
      <c r="AK161" s="292"/>
      <c r="AL161" s="292"/>
      <c r="AM161" s="292"/>
      <c r="AP161" s="292"/>
      <c r="AQ161" s="292"/>
    </row>
    <row r="162" spans="1:43" x14ac:dyDescent="0.25">
      <c r="A162" s="255">
        <v>102013</v>
      </c>
      <c r="B162" s="256" t="s">
        <v>58</v>
      </c>
      <c r="C162" s="292"/>
      <c r="D162" s="292">
        <v>242.6</v>
      </c>
      <c r="E162" s="292">
        <f t="shared" si="73"/>
        <v>242.6</v>
      </c>
      <c r="F162" s="292">
        <f t="shared" si="73"/>
        <v>242.6</v>
      </c>
      <c r="G162" s="292">
        <f t="shared" si="73"/>
        <v>242.6</v>
      </c>
      <c r="H162" s="292">
        <f t="shared" si="73"/>
        <v>242.6</v>
      </c>
      <c r="I162" s="292">
        <f t="shared" si="73"/>
        <v>242.6</v>
      </c>
      <c r="J162" s="292">
        <f t="shared" si="73"/>
        <v>242.6</v>
      </c>
      <c r="K162" s="292">
        <f t="shared" si="73"/>
        <v>242.6</v>
      </c>
      <c r="L162" s="292">
        <f t="shared" si="73"/>
        <v>242.6</v>
      </c>
      <c r="M162" s="292">
        <f t="shared" si="73"/>
        <v>242.6</v>
      </c>
      <c r="N162" s="292">
        <f t="shared" si="73"/>
        <v>242.6</v>
      </c>
      <c r="O162" s="300">
        <f t="shared" si="73"/>
        <v>242.6</v>
      </c>
      <c r="P162" s="406">
        <f t="shared" si="67"/>
        <v>242.59999999999994</v>
      </c>
      <c r="Q162" s="313"/>
      <c r="R162" s="229">
        <f>+'VULPES PAPAS'!H27</f>
        <v>33.5</v>
      </c>
      <c r="S162" s="91">
        <f t="shared" si="68"/>
        <v>8127.0999999999995</v>
      </c>
      <c r="T162" s="229">
        <f>+'VULPES PAPAS'!M27</f>
        <v>133.72999999999999</v>
      </c>
      <c r="U162" s="91">
        <f t="shared" si="69"/>
        <v>32442.897999999997</v>
      </c>
      <c r="V162" s="229">
        <f>+'VULPES PAPAS'!R27</f>
        <v>6.4799999999999898</v>
      </c>
      <c r="W162" s="91">
        <f t="shared" si="70"/>
        <v>1572.0479999999975</v>
      </c>
      <c r="X162" s="229">
        <f>+'VULPES PAPAS'!W27</f>
        <v>107.23000000000002</v>
      </c>
      <c r="Y162" s="91">
        <f t="shared" si="71"/>
        <v>26013.998000000003</v>
      </c>
      <c r="Z162" s="229">
        <f>+'VULPES PAPAS'!AB27</f>
        <v>69.230000000000018</v>
      </c>
      <c r="AA162" s="292">
        <f t="shared" si="72"/>
        <v>16795.198000000004</v>
      </c>
      <c r="AB162" s="292"/>
      <c r="AC162" s="292"/>
      <c r="AD162" s="292"/>
      <c r="AE162" s="292"/>
      <c r="AF162" s="292"/>
      <c r="AG162" s="292"/>
      <c r="AH162" s="292"/>
      <c r="AI162" s="292"/>
      <c r="AJ162" s="292"/>
      <c r="AK162" s="292"/>
      <c r="AL162" s="292"/>
      <c r="AM162" s="292"/>
      <c r="AP162" s="292"/>
      <c r="AQ162" s="292"/>
    </row>
    <row r="163" spans="1:43" hidden="1" x14ac:dyDescent="0.25">
      <c r="A163" s="255"/>
      <c r="B163" s="256"/>
      <c r="C163" s="292"/>
      <c r="D163" s="292">
        <f t="shared" ref="D163" si="74">+C163</f>
        <v>0</v>
      </c>
      <c r="E163" s="292">
        <f t="shared" ref="E163" si="75">+D163</f>
        <v>0</v>
      </c>
      <c r="F163" s="292">
        <f t="shared" ref="F163" si="76">+E163</f>
        <v>0</v>
      </c>
      <c r="G163" s="292">
        <f t="shared" ref="G163" si="77">+F163</f>
        <v>0</v>
      </c>
      <c r="H163" s="292">
        <f t="shared" ref="H163" si="78">+G163</f>
        <v>0</v>
      </c>
      <c r="I163" s="292">
        <f t="shared" ref="I163" si="79">+H163</f>
        <v>0</v>
      </c>
      <c r="J163" s="292">
        <f t="shared" ref="J163" si="80">+I163</f>
        <v>0</v>
      </c>
      <c r="K163" s="292">
        <f t="shared" ref="K163" si="81">+J163</f>
        <v>0</v>
      </c>
      <c r="L163" s="292">
        <f t="shared" ref="L163" si="82">+K163</f>
        <v>0</v>
      </c>
      <c r="M163" s="292">
        <f t="shared" ref="M163" si="83">+L163</f>
        <v>0</v>
      </c>
      <c r="N163" s="292">
        <f t="shared" ref="N163" si="84">+M163</f>
        <v>0</v>
      </c>
      <c r="O163" s="300">
        <f t="shared" ref="O163" si="85">+N163</f>
        <v>0</v>
      </c>
      <c r="P163" s="406">
        <f t="shared" ref="P163" si="86">+AVERAGE(D163:O163)</f>
        <v>0</v>
      </c>
      <c r="Q163" s="313"/>
      <c r="R163" s="229"/>
      <c r="S163" s="91">
        <f t="shared" si="68"/>
        <v>0</v>
      </c>
      <c r="T163" s="229"/>
      <c r="U163" s="91">
        <f t="shared" si="69"/>
        <v>0</v>
      </c>
      <c r="V163" s="229"/>
      <c r="W163" s="91">
        <f t="shared" si="70"/>
        <v>0</v>
      </c>
      <c r="X163" s="229"/>
      <c r="Y163" s="91">
        <f t="shared" si="71"/>
        <v>0</v>
      </c>
      <c r="Z163" s="229">
        <f>+'VULPES PAPAS'!AB23</f>
        <v>40</v>
      </c>
      <c r="AA163" s="292">
        <f t="shared" si="72"/>
        <v>0</v>
      </c>
      <c r="AB163" s="292"/>
      <c r="AC163" s="292"/>
      <c r="AD163" s="292"/>
      <c r="AE163" s="292"/>
      <c r="AF163" s="292"/>
      <c r="AG163" s="292"/>
      <c r="AH163" s="292"/>
      <c r="AI163" s="292"/>
      <c r="AJ163" s="292"/>
      <c r="AK163" s="292"/>
      <c r="AL163" s="292"/>
      <c r="AM163" s="292"/>
      <c r="AP163" s="292"/>
      <c r="AQ163" s="292"/>
    </row>
    <row r="164" spans="1:43" hidden="1" x14ac:dyDescent="0.25">
      <c r="A164" s="255"/>
      <c r="B164" s="256"/>
      <c r="C164" s="292"/>
      <c r="D164" s="292">
        <f t="shared" si="73"/>
        <v>0</v>
      </c>
      <c r="E164" s="292">
        <f t="shared" si="73"/>
        <v>0</v>
      </c>
      <c r="F164" s="292">
        <f t="shared" si="73"/>
        <v>0</v>
      </c>
      <c r="G164" s="292">
        <f t="shared" si="73"/>
        <v>0</v>
      </c>
      <c r="H164" s="292">
        <f t="shared" si="73"/>
        <v>0</v>
      </c>
      <c r="I164" s="292">
        <f t="shared" si="73"/>
        <v>0</v>
      </c>
      <c r="J164" s="292">
        <f t="shared" si="73"/>
        <v>0</v>
      </c>
      <c r="K164" s="292">
        <f t="shared" si="73"/>
        <v>0</v>
      </c>
      <c r="L164" s="292">
        <f t="shared" si="73"/>
        <v>0</v>
      </c>
      <c r="M164" s="292">
        <f t="shared" si="73"/>
        <v>0</v>
      </c>
      <c r="N164" s="292">
        <f t="shared" si="73"/>
        <v>0</v>
      </c>
      <c r="O164" s="300">
        <f t="shared" si="73"/>
        <v>0</v>
      </c>
      <c r="P164" s="406">
        <f t="shared" si="67"/>
        <v>0</v>
      </c>
      <c r="Q164" s="313"/>
      <c r="R164" s="229"/>
      <c r="S164" s="91">
        <f t="shared" si="68"/>
        <v>0</v>
      </c>
      <c r="T164" s="229"/>
      <c r="U164" s="91">
        <f t="shared" si="69"/>
        <v>0</v>
      </c>
      <c r="V164" s="229"/>
      <c r="W164" s="91">
        <f t="shared" si="70"/>
        <v>0</v>
      </c>
      <c r="X164" s="229"/>
      <c r="Y164" s="91">
        <f t="shared" si="71"/>
        <v>0</v>
      </c>
      <c r="Z164" s="229">
        <f>+'VULPES PAPAS'!AB24</f>
        <v>68.75</v>
      </c>
      <c r="AA164" s="292">
        <f t="shared" si="72"/>
        <v>0</v>
      </c>
      <c r="AB164" s="292"/>
      <c r="AC164" s="292"/>
      <c r="AD164" s="292"/>
      <c r="AE164" s="292"/>
      <c r="AF164" s="292"/>
      <c r="AG164" s="292"/>
      <c r="AH164" s="292"/>
      <c r="AI164" s="292"/>
      <c r="AJ164" s="292"/>
      <c r="AK164" s="292"/>
      <c r="AL164" s="292"/>
      <c r="AM164" s="292"/>
      <c r="AP164" s="292"/>
      <c r="AQ164" s="292"/>
    </row>
    <row r="165" spans="1:43" hidden="1" x14ac:dyDescent="0.25">
      <c r="A165" s="255"/>
      <c r="B165" s="256"/>
      <c r="C165" s="292"/>
      <c r="D165" s="292">
        <f t="shared" si="73"/>
        <v>0</v>
      </c>
      <c r="E165" s="292">
        <f t="shared" si="73"/>
        <v>0</v>
      </c>
      <c r="F165" s="292">
        <f t="shared" si="73"/>
        <v>0</v>
      </c>
      <c r="G165" s="292">
        <f t="shared" si="73"/>
        <v>0</v>
      </c>
      <c r="H165" s="292">
        <f t="shared" si="73"/>
        <v>0</v>
      </c>
      <c r="I165" s="292">
        <f t="shared" si="73"/>
        <v>0</v>
      </c>
      <c r="J165" s="292">
        <f t="shared" si="73"/>
        <v>0</v>
      </c>
      <c r="K165" s="292">
        <f t="shared" si="73"/>
        <v>0</v>
      </c>
      <c r="L165" s="292">
        <f t="shared" si="73"/>
        <v>0</v>
      </c>
      <c r="M165" s="292">
        <f t="shared" si="73"/>
        <v>0</v>
      </c>
      <c r="N165" s="292">
        <f t="shared" si="73"/>
        <v>0</v>
      </c>
      <c r="O165" s="300">
        <f t="shared" si="73"/>
        <v>0</v>
      </c>
      <c r="P165" s="406">
        <f t="shared" si="67"/>
        <v>0</v>
      </c>
      <c r="Q165" s="313"/>
      <c r="R165" s="229"/>
      <c r="S165" s="91">
        <f t="shared" si="68"/>
        <v>0</v>
      </c>
      <c r="T165" s="229"/>
      <c r="U165" s="91">
        <f t="shared" si="69"/>
        <v>0</v>
      </c>
      <c r="V165" s="229"/>
      <c r="W165" s="91">
        <f t="shared" si="70"/>
        <v>0</v>
      </c>
      <c r="X165" s="229"/>
      <c r="Y165" s="91">
        <f t="shared" si="71"/>
        <v>0</v>
      </c>
      <c r="Z165" s="229">
        <f>+'VULPES PAPAS'!AB25</f>
        <v>21.450000000000003</v>
      </c>
      <c r="AA165" s="292">
        <f t="shared" si="72"/>
        <v>0</v>
      </c>
      <c r="AB165" s="292"/>
      <c r="AC165" s="292"/>
      <c r="AD165" s="292"/>
      <c r="AE165" s="292"/>
      <c r="AF165" s="292"/>
      <c r="AG165" s="292"/>
      <c r="AH165" s="292"/>
      <c r="AI165" s="292"/>
      <c r="AJ165" s="292"/>
      <c r="AK165" s="292"/>
      <c r="AL165" s="292"/>
      <c r="AM165" s="292"/>
      <c r="AP165" s="292"/>
      <c r="AQ165" s="292"/>
    </row>
    <row r="166" spans="1:43" ht="16.5" thickBot="1" x14ac:dyDescent="0.3">
      <c r="A166" s="287">
        <v>505015</v>
      </c>
      <c r="B166" s="288" t="s">
        <v>95</v>
      </c>
      <c r="C166" s="292">
        <v>256.56</v>
      </c>
      <c r="D166" s="292">
        <f t="shared" si="73"/>
        <v>256.56</v>
      </c>
      <c r="E166" s="292">
        <f t="shared" si="73"/>
        <v>256.56</v>
      </c>
      <c r="F166" s="292">
        <f t="shared" si="73"/>
        <v>256.56</v>
      </c>
      <c r="G166" s="292">
        <f t="shared" si="73"/>
        <v>256.56</v>
      </c>
      <c r="H166" s="292">
        <f t="shared" si="73"/>
        <v>256.56</v>
      </c>
      <c r="I166" s="292">
        <f t="shared" si="73"/>
        <v>256.56</v>
      </c>
      <c r="J166" s="292">
        <f t="shared" si="73"/>
        <v>256.56</v>
      </c>
      <c r="K166" s="292">
        <f t="shared" si="73"/>
        <v>256.56</v>
      </c>
      <c r="L166" s="292">
        <f t="shared" si="73"/>
        <v>256.56</v>
      </c>
      <c r="M166" s="292">
        <f t="shared" si="73"/>
        <v>256.56</v>
      </c>
      <c r="N166" s="292">
        <f t="shared" si="73"/>
        <v>256.56</v>
      </c>
      <c r="O166" s="300">
        <f t="shared" si="73"/>
        <v>256.56</v>
      </c>
      <c r="P166" s="407">
        <f t="shared" si="67"/>
        <v>256.56</v>
      </c>
      <c r="Q166" s="313"/>
      <c r="R166" s="229">
        <f>+'VULPES PAPAS'!H33</f>
        <v>170</v>
      </c>
      <c r="S166" s="91">
        <f t="shared" si="68"/>
        <v>43615.199999999997</v>
      </c>
      <c r="T166" s="229">
        <f>+'VULPES PAPAS'!M33</f>
        <v>311.5</v>
      </c>
      <c r="U166" s="91">
        <f t="shared" si="69"/>
        <v>79918.44</v>
      </c>
      <c r="V166" s="229">
        <f>+'VULPES PAPAS'!R33</f>
        <v>2052.5</v>
      </c>
      <c r="W166" s="91">
        <f t="shared" si="70"/>
        <v>526589.4</v>
      </c>
      <c r="X166" s="229">
        <f>+'VULPES PAPAS'!W33</f>
        <v>1347.31</v>
      </c>
      <c r="Y166" s="91">
        <f t="shared" si="71"/>
        <v>345665.85359999997</v>
      </c>
      <c r="Z166" s="229">
        <f>+'VULPES PAPAS'!AB33</f>
        <v>767.31</v>
      </c>
      <c r="AA166" s="292">
        <f t="shared" si="72"/>
        <v>196861.05359999998</v>
      </c>
      <c r="AB166" s="292"/>
      <c r="AC166" s="292"/>
      <c r="AD166" s="292"/>
      <c r="AE166" s="292"/>
      <c r="AF166" s="292"/>
      <c r="AG166" s="292"/>
      <c r="AH166" s="292"/>
      <c r="AI166" s="292"/>
      <c r="AJ166" s="292"/>
      <c r="AK166" s="292"/>
      <c r="AL166" s="292"/>
      <c r="AM166" s="292"/>
      <c r="AP166" s="292"/>
      <c r="AQ166" s="292"/>
    </row>
    <row r="167" spans="1:43" ht="30" customHeight="1" thickBot="1" x14ac:dyDescent="0.3">
      <c r="A167" s="645" t="s">
        <v>98</v>
      </c>
      <c r="B167" s="646"/>
      <c r="C167" s="123"/>
      <c r="D167" s="123"/>
      <c r="E167" s="123"/>
      <c r="F167" s="123"/>
      <c r="G167" s="123"/>
      <c r="H167" s="123"/>
      <c r="I167" s="123"/>
      <c r="J167" s="123"/>
      <c r="K167" s="123"/>
      <c r="L167" s="123"/>
      <c r="M167" s="123"/>
      <c r="N167" s="123"/>
      <c r="O167" s="297"/>
      <c r="P167" s="400"/>
      <c r="Q167" s="310"/>
      <c r="R167" s="293">
        <f>+SUM(R142:R166)</f>
        <v>980.84</v>
      </c>
      <c r="S167" s="117">
        <f>+SUM(S142:S166)</f>
        <v>307923.39230000001</v>
      </c>
      <c r="T167" s="293">
        <f t="shared" ref="T167:Y167" si="87">+SUM(T142:T166)</f>
        <v>641.31999999999994</v>
      </c>
      <c r="U167" s="117">
        <f t="shared" si="87"/>
        <v>177402.6936</v>
      </c>
      <c r="V167" s="293">
        <f t="shared" si="87"/>
        <v>2433.0700000000002</v>
      </c>
      <c r="W167" s="117">
        <f t="shared" si="87"/>
        <v>649082.81359999999</v>
      </c>
      <c r="X167" s="293">
        <f>+SUM(X142:X166)</f>
        <v>1934.6299999999999</v>
      </c>
      <c r="Y167" s="117">
        <f t="shared" si="87"/>
        <v>529960.34739999997</v>
      </c>
      <c r="Z167" s="293">
        <f>+Z142+Z143+Z144+Z145+Z146+Z147+Z148+Z149+Z150+Z151+Z155+Z156+Z157+Z158+Z159+Z160+Z161+Z162+Z166</f>
        <v>1385.63</v>
      </c>
      <c r="AA167" s="293">
        <f>+AA142+AA143+AA144+AA145+AA146+AA147+AA148+AA149+AA150+AA151+AA155+AA156+AA157+AA158+AA159+AA160+AA161+AA162+AA166</f>
        <v>396285.98739999998</v>
      </c>
      <c r="AB167" s="118"/>
      <c r="AC167" s="117"/>
      <c r="AD167" s="118"/>
      <c r="AE167" s="117"/>
      <c r="AF167" s="118"/>
      <c r="AG167" s="117"/>
      <c r="AH167" s="294"/>
      <c r="AI167" s="294"/>
      <c r="AJ167" s="118"/>
      <c r="AK167" s="117"/>
      <c r="AL167" s="118"/>
      <c r="AM167" s="119"/>
      <c r="AN167" s="293"/>
      <c r="AO167" s="116"/>
      <c r="AP167" s="118"/>
      <c r="AQ167" s="119"/>
    </row>
    <row r="168" spans="1:43" ht="15" x14ac:dyDescent="0.25">
      <c r="A168" s="649"/>
      <c r="B168" s="650"/>
      <c r="C168" s="650"/>
      <c r="D168" s="650"/>
      <c r="E168" s="650"/>
      <c r="F168" s="650"/>
      <c r="G168" s="650"/>
      <c r="H168" s="650"/>
      <c r="I168" s="650"/>
      <c r="J168" s="650"/>
      <c r="K168" s="650"/>
      <c r="L168" s="650"/>
      <c r="M168" s="650"/>
      <c r="N168" s="650"/>
      <c r="O168" s="650"/>
      <c r="P168" s="650"/>
      <c r="Q168" s="650"/>
      <c r="R168" s="650"/>
      <c r="S168" s="650"/>
      <c r="T168" s="650"/>
      <c r="U168" s="650"/>
      <c r="V168" s="650"/>
      <c r="W168" s="650"/>
      <c r="X168" s="650"/>
      <c r="Y168" s="650"/>
      <c r="Z168" s="650"/>
      <c r="AA168" s="650"/>
      <c r="AB168" s="650"/>
      <c r="AC168" s="650"/>
      <c r="AD168" s="650"/>
      <c r="AE168" s="650"/>
      <c r="AF168" s="650"/>
      <c r="AG168" s="650"/>
      <c r="AH168" s="650"/>
      <c r="AI168" s="650"/>
      <c r="AJ168" s="650"/>
      <c r="AK168" s="650"/>
      <c r="AL168" s="650"/>
      <c r="AM168" s="650"/>
      <c r="AN168" s="650"/>
      <c r="AO168" s="650"/>
      <c r="AP168" s="650"/>
      <c r="AQ168" s="650"/>
    </row>
    <row r="169" spans="1:43" ht="16.5" thickBot="1" x14ac:dyDescent="0.3">
      <c r="A169" s="643" t="s">
        <v>99</v>
      </c>
      <c r="B169" s="644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 s="401"/>
      <c r="Q169" s="307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 s="92"/>
      <c r="AO169" s="91"/>
      <c r="AP169"/>
      <c r="AQ169"/>
    </row>
    <row r="170" spans="1:43" ht="16.5" thickBot="1" x14ac:dyDescent="0.3">
      <c r="A170" s="243">
        <v>806939</v>
      </c>
      <c r="B170" s="244" t="s">
        <v>67</v>
      </c>
      <c r="C170" s="292">
        <f>+C26</f>
        <v>326.49</v>
      </c>
      <c r="D170" s="292">
        <f>+D26</f>
        <v>326.49</v>
      </c>
      <c r="E170" s="292">
        <f t="shared" ref="E170:O170" si="88">+D170</f>
        <v>326.49</v>
      </c>
      <c r="F170" s="292">
        <f t="shared" si="88"/>
        <v>326.49</v>
      </c>
      <c r="G170" s="292">
        <f t="shared" si="88"/>
        <v>326.49</v>
      </c>
      <c r="H170" s="292">
        <f t="shared" si="88"/>
        <v>326.49</v>
      </c>
      <c r="I170" s="292">
        <f t="shared" si="88"/>
        <v>326.49</v>
      </c>
      <c r="J170" s="292">
        <f t="shared" si="88"/>
        <v>326.49</v>
      </c>
      <c r="K170" s="292">
        <f t="shared" si="88"/>
        <v>326.49</v>
      </c>
      <c r="L170" s="292">
        <f t="shared" si="88"/>
        <v>326.49</v>
      </c>
      <c r="M170" s="292">
        <f t="shared" si="88"/>
        <v>326.49</v>
      </c>
      <c r="N170" s="292">
        <f t="shared" si="88"/>
        <v>326.49</v>
      </c>
      <c r="O170" s="300">
        <f t="shared" si="88"/>
        <v>326.49</v>
      </c>
      <c r="P170" s="407">
        <f t="shared" ref="P170" si="89">+AVERAGE(D170:O170)</f>
        <v>326.48999999999995</v>
      </c>
      <c r="Q170" s="311"/>
      <c r="R170" s="229">
        <f>+CANBELT!H3</f>
        <v>13</v>
      </c>
      <c r="S170" s="91">
        <f>+R170*D170</f>
        <v>4244.37</v>
      </c>
      <c r="T170" s="92">
        <f>+T74</f>
        <v>9</v>
      </c>
      <c r="U170" s="92">
        <f t="shared" ref="U170:Y170" si="90">+U74</f>
        <v>2585.79</v>
      </c>
      <c r="V170" s="92">
        <f t="shared" si="90"/>
        <v>9</v>
      </c>
      <c r="W170" s="92">
        <f t="shared" si="90"/>
        <v>2776.7699999999995</v>
      </c>
      <c r="X170" s="92">
        <f t="shared" si="90"/>
        <v>9</v>
      </c>
      <c r="Y170" s="92">
        <f t="shared" si="90"/>
        <v>2776.7699999999995</v>
      </c>
      <c r="Z170" s="92">
        <f>+CANBELT!AB3</f>
        <v>56</v>
      </c>
      <c r="AA170" s="91">
        <f>+Z170*H170</f>
        <v>18283.440000000002</v>
      </c>
      <c r="AB170" s="92"/>
      <c r="AC170" s="91"/>
      <c r="AD170" s="92"/>
      <c r="AE170" s="91"/>
      <c r="AF170" s="92"/>
      <c r="AG170" s="91"/>
      <c r="AH170" s="92"/>
      <c r="AI170" s="91"/>
      <c r="AJ170" s="92"/>
      <c r="AK170" s="91"/>
      <c r="AL170" s="92"/>
      <c r="AM170" s="91"/>
      <c r="AN170" s="92"/>
      <c r="AO170" s="91"/>
      <c r="AP170" s="92"/>
      <c r="AQ170" s="91"/>
    </row>
    <row r="171" spans="1:43" ht="16.5" thickBot="1" x14ac:dyDescent="0.3">
      <c r="A171" s="645" t="s">
        <v>258</v>
      </c>
      <c r="B171" s="646"/>
      <c r="C171" s="123"/>
      <c r="D171" s="123"/>
      <c r="E171" s="123"/>
      <c r="F171" s="123"/>
      <c r="G171" s="123"/>
      <c r="H171" s="123"/>
      <c r="I171" s="123"/>
      <c r="J171" s="123"/>
      <c r="K171" s="123"/>
      <c r="L171" s="123"/>
      <c r="M171" s="123"/>
      <c r="N171" s="123"/>
      <c r="O171" s="297"/>
      <c r="P171" s="400"/>
      <c r="Q171" s="310"/>
      <c r="R171" s="293">
        <f>+R170</f>
        <v>13</v>
      </c>
      <c r="S171" s="117">
        <f>+S170</f>
        <v>4244.37</v>
      </c>
      <c r="T171" s="293">
        <f t="shared" ref="T171:AA171" si="91">+T170</f>
        <v>9</v>
      </c>
      <c r="U171" s="117">
        <f t="shared" si="91"/>
        <v>2585.79</v>
      </c>
      <c r="V171" s="293">
        <f t="shared" si="91"/>
        <v>9</v>
      </c>
      <c r="W171" s="117">
        <f t="shared" si="91"/>
        <v>2776.7699999999995</v>
      </c>
      <c r="X171" s="293">
        <f t="shared" si="91"/>
        <v>9</v>
      </c>
      <c r="Y171" s="117">
        <f t="shared" si="91"/>
        <v>2776.7699999999995</v>
      </c>
      <c r="Z171" s="293">
        <f t="shared" si="91"/>
        <v>56</v>
      </c>
      <c r="AA171" s="117">
        <f t="shared" si="91"/>
        <v>18283.440000000002</v>
      </c>
      <c r="AB171" s="118"/>
      <c r="AC171" s="117"/>
      <c r="AD171" s="118"/>
      <c r="AE171" s="117"/>
      <c r="AF171" s="118"/>
      <c r="AG171" s="117"/>
      <c r="AH171" s="294"/>
      <c r="AI171" s="294"/>
      <c r="AJ171" s="118"/>
      <c r="AK171" s="117"/>
      <c r="AL171" s="118"/>
      <c r="AM171" s="119"/>
      <c r="AN171" s="293"/>
      <c r="AO171" s="116"/>
      <c r="AP171" s="118"/>
      <c r="AQ171" s="119"/>
    </row>
    <row r="172" spans="1:43" ht="15" x14ac:dyDescent="0.25">
      <c r="A172" s="649"/>
      <c r="B172" s="650"/>
      <c r="C172" s="650"/>
      <c r="D172" s="650"/>
      <c r="E172" s="650"/>
      <c r="F172" s="650"/>
      <c r="G172" s="650"/>
      <c r="H172" s="650"/>
      <c r="I172" s="650"/>
      <c r="J172" s="650"/>
      <c r="K172" s="650"/>
      <c r="L172" s="650"/>
      <c r="M172" s="650"/>
      <c r="N172" s="650"/>
      <c r="O172" s="650"/>
      <c r="P172" s="650"/>
      <c r="Q172" s="650"/>
      <c r="R172" s="650"/>
      <c r="S172" s="650"/>
      <c r="T172" s="650"/>
      <c r="U172" s="650"/>
      <c r="V172" s="650"/>
      <c r="W172" s="650"/>
      <c r="X172" s="650"/>
      <c r="Y172" s="650"/>
      <c r="Z172" s="650"/>
      <c r="AA172" s="650"/>
      <c r="AB172" s="650"/>
      <c r="AC172" s="650"/>
      <c r="AD172" s="650"/>
      <c r="AE172" s="650"/>
      <c r="AF172" s="650"/>
      <c r="AG172" s="650"/>
      <c r="AH172" s="650"/>
      <c r="AI172" s="650"/>
      <c r="AJ172" s="650"/>
      <c r="AK172" s="650"/>
      <c r="AL172" s="650"/>
      <c r="AM172" s="650"/>
      <c r="AN172" s="650"/>
      <c r="AO172" s="650"/>
      <c r="AP172" s="650"/>
      <c r="AQ172" s="650"/>
    </row>
    <row r="173" spans="1:43" ht="16.5" thickBot="1" x14ac:dyDescent="0.3">
      <c r="A173" s="643" t="s">
        <v>100</v>
      </c>
      <c r="B173" s="644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 s="401"/>
      <c r="Q173" s="307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 s="92"/>
      <c r="AO173" s="91"/>
      <c r="AP173"/>
      <c r="AQ173"/>
    </row>
    <row r="174" spans="1:43" ht="16.5" thickBot="1" x14ac:dyDescent="0.3">
      <c r="A174" s="243">
        <v>260612</v>
      </c>
      <c r="B174" s="277" t="s">
        <v>101</v>
      </c>
      <c r="C174" s="121">
        <v>266.66000000000003</v>
      </c>
      <c r="D174" s="292">
        <f t="shared" ref="D174:O174" si="92">+C174</f>
        <v>266.66000000000003</v>
      </c>
      <c r="E174" s="292">
        <f t="shared" si="92"/>
        <v>266.66000000000003</v>
      </c>
      <c r="F174" s="292">
        <f t="shared" si="92"/>
        <v>266.66000000000003</v>
      </c>
      <c r="G174" s="292">
        <f t="shared" si="92"/>
        <v>266.66000000000003</v>
      </c>
      <c r="H174" s="292">
        <f t="shared" si="92"/>
        <v>266.66000000000003</v>
      </c>
      <c r="I174" s="292">
        <f t="shared" si="92"/>
        <v>266.66000000000003</v>
      </c>
      <c r="J174" s="292">
        <f t="shared" si="92"/>
        <v>266.66000000000003</v>
      </c>
      <c r="K174" s="292">
        <f t="shared" si="92"/>
        <v>266.66000000000003</v>
      </c>
      <c r="L174" s="292">
        <f t="shared" si="92"/>
        <v>266.66000000000003</v>
      </c>
      <c r="M174" s="292">
        <f t="shared" si="92"/>
        <v>266.66000000000003</v>
      </c>
      <c r="N174" s="292">
        <f t="shared" si="92"/>
        <v>266.66000000000003</v>
      </c>
      <c r="O174" s="300">
        <f t="shared" si="92"/>
        <v>266.66000000000003</v>
      </c>
      <c r="P174" s="407">
        <f t="shared" ref="P174" si="93">+AVERAGE(D174:O174)</f>
        <v>266.65999999999997</v>
      </c>
      <c r="Q174" s="311"/>
      <c r="R174" s="229">
        <f>+ALFRIMEX!I3</f>
        <v>356</v>
      </c>
      <c r="S174" s="91">
        <f>+R174*D174</f>
        <v>94930.96</v>
      </c>
      <c r="T174" s="92">
        <f>+ALFRIMEX!N3</f>
        <v>44</v>
      </c>
      <c r="U174" s="91">
        <f>+T174*F174</f>
        <v>11733.04</v>
      </c>
      <c r="V174" s="92"/>
      <c r="W174" s="91"/>
      <c r="X174" s="92"/>
      <c r="Y174" s="91"/>
      <c r="Z174" s="92"/>
      <c r="AA174" s="91"/>
      <c r="AB174" s="92"/>
      <c r="AC174" s="91"/>
      <c r="AD174" s="92"/>
      <c r="AE174" s="91"/>
      <c r="AF174" s="92"/>
      <c r="AG174" s="91"/>
      <c r="AH174" s="92"/>
      <c r="AI174" s="91"/>
      <c r="AJ174" s="92"/>
      <c r="AK174" s="91"/>
      <c r="AL174" s="92"/>
      <c r="AM174" s="91"/>
      <c r="AN174" s="92"/>
      <c r="AO174" s="91"/>
      <c r="AP174" s="92"/>
      <c r="AQ174" s="91"/>
    </row>
    <row r="175" spans="1:43" ht="21" customHeight="1" thickBot="1" x14ac:dyDescent="0.3">
      <c r="A175" s="645" t="s">
        <v>86</v>
      </c>
      <c r="B175" s="646"/>
      <c r="C175" s="123"/>
      <c r="D175" s="123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297"/>
      <c r="P175" s="400"/>
      <c r="Q175" s="310"/>
      <c r="R175" s="293">
        <f>+R174</f>
        <v>356</v>
      </c>
      <c r="S175" s="117">
        <f>+S174</f>
        <v>94930.96</v>
      </c>
      <c r="T175" s="293">
        <f>+T174</f>
        <v>44</v>
      </c>
      <c r="U175" s="117">
        <f>+U174</f>
        <v>11733.04</v>
      </c>
      <c r="V175" s="118"/>
      <c r="W175" s="117"/>
      <c r="X175" s="118"/>
      <c r="Y175" s="117"/>
      <c r="Z175" s="118"/>
      <c r="AA175" s="117"/>
      <c r="AB175" s="118"/>
      <c r="AC175" s="117"/>
      <c r="AD175" s="118"/>
      <c r="AE175" s="117"/>
      <c r="AF175" s="118"/>
      <c r="AG175" s="117"/>
      <c r="AH175" s="294"/>
      <c r="AI175" s="294"/>
      <c r="AJ175" s="118"/>
      <c r="AK175" s="117"/>
      <c r="AL175" s="118"/>
      <c r="AM175" s="119"/>
      <c r="AN175" s="293"/>
      <c r="AO175" s="116"/>
      <c r="AP175" s="118"/>
      <c r="AQ175" s="119"/>
    </row>
    <row r="176" spans="1:43" ht="19.5" customHeight="1" thickBot="1" x14ac:dyDescent="0.3">
      <c r="A176" s="643" t="s">
        <v>260</v>
      </c>
      <c r="B176" s="644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 s="401"/>
      <c r="Q176" s="307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</row>
    <row r="177" spans="1:43" x14ac:dyDescent="0.25">
      <c r="A177" s="243">
        <v>806685</v>
      </c>
      <c r="B177" s="244" t="s">
        <v>57</v>
      </c>
      <c r="C177" s="121">
        <v>344.32</v>
      </c>
      <c r="D177" s="429">
        <v>305.47000000000003</v>
      </c>
      <c r="E177" s="429">
        <v>297.01</v>
      </c>
      <c r="F177" s="429">
        <v>318.2</v>
      </c>
      <c r="G177" s="121">
        <f t="shared" ref="G177:G197" si="94">+F177</f>
        <v>318.2</v>
      </c>
      <c r="H177" s="121">
        <f t="shared" ref="H177:H197" si="95">+G177</f>
        <v>318.2</v>
      </c>
      <c r="I177" s="121">
        <f t="shared" ref="I177:I197" si="96">+H177</f>
        <v>318.2</v>
      </c>
      <c r="J177" s="121">
        <f t="shared" ref="J177:J197" si="97">+I177</f>
        <v>318.2</v>
      </c>
      <c r="K177" s="121">
        <f t="shared" ref="K177:K197" si="98">+J177</f>
        <v>318.2</v>
      </c>
      <c r="L177" s="121">
        <f t="shared" ref="L177:L197" si="99">+K177</f>
        <v>318.2</v>
      </c>
      <c r="M177" s="121">
        <f t="shared" ref="M177:M197" si="100">+L177</f>
        <v>318.2</v>
      </c>
      <c r="N177" s="121">
        <f t="shared" ref="N177:N197" si="101">+M177</f>
        <v>318.2</v>
      </c>
      <c r="O177" s="296">
        <f t="shared" ref="O177:O197" si="102">+N177</f>
        <v>318.2</v>
      </c>
      <c r="P177" s="402">
        <f>+AVERAGE(D177:O177)</f>
        <v>315.37333333333328</v>
      </c>
      <c r="Q177" s="311"/>
      <c r="R177" s="229">
        <f>+'RESUMEN CDMX'!K156</f>
        <v>0</v>
      </c>
      <c r="S177" s="91">
        <f>+R177*D177</f>
        <v>0</v>
      </c>
      <c r="T177" s="229">
        <f>+MEXIDELI!M3</f>
        <v>972</v>
      </c>
      <c r="U177" s="91">
        <f>+T177*E177</f>
        <v>288693.71999999997</v>
      </c>
      <c r="V177" s="92">
        <f>+MEXIDELI!R3</f>
        <v>2217</v>
      </c>
      <c r="W177" s="91">
        <f>+V177*F177</f>
        <v>705449.4</v>
      </c>
      <c r="X177" s="92">
        <f>+MEXIDELI!W3</f>
        <v>1280</v>
      </c>
      <c r="Y177" s="91">
        <f t="shared" ref="Y177:Y195" si="103">+X177*H177</f>
        <v>407296</v>
      </c>
      <c r="Z177" s="92">
        <f>+MEXIDELI!AB3</f>
        <v>938</v>
      </c>
      <c r="AA177" s="91">
        <f>+Z177*H177</f>
        <v>298471.59999999998</v>
      </c>
      <c r="AB177" s="92"/>
      <c r="AC177" s="91"/>
      <c r="AD177" s="92"/>
      <c r="AE177" s="91"/>
      <c r="AF177" s="92"/>
      <c r="AG177" s="91"/>
      <c r="AH177" s="92"/>
      <c r="AI177" s="91"/>
      <c r="AJ177" s="92"/>
      <c r="AK177" s="91"/>
      <c r="AL177" s="92"/>
      <c r="AM177" s="91"/>
      <c r="AN177" s="92"/>
      <c r="AO177" s="91"/>
      <c r="AP177" s="92"/>
      <c r="AQ177" s="91"/>
    </row>
    <row r="178" spans="1:43" x14ac:dyDescent="0.25">
      <c r="A178" s="243">
        <v>806939</v>
      </c>
      <c r="B178" s="244" t="s">
        <v>67</v>
      </c>
      <c r="C178" s="121">
        <v>326.49</v>
      </c>
      <c r="D178" s="121">
        <f t="shared" ref="D178:D186" si="104">+C178</f>
        <v>326.49</v>
      </c>
      <c r="E178" s="429">
        <v>287.31</v>
      </c>
      <c r="F178" s="429">
        <v>308.52999999999997</v>
      </c>
      <c r="G178" s="121">
        <f t="shared" si="94"/>
        <v>308.52999999999997</v>
      </c>
      <c r="H178" s="121">
        <f t="shared" si="95"/>
        <v>308.52999999999997</v>
      </c>
      <c r="I178" s="121">
        <f t="shared" si="96"/>
        <v>308.52999999999997</v>
      </c>
      <c r="J178" s="121">
        <f t="shared" si="97"/>
        <v>308.52999999999997</v>
      </c>
      <c r="K178" s="121">
        <f t="shared" si="98"/>
        <v>308.52999999999997</v>
      </c>
      <c r="L178" s="121">
        <f t="shared" si="99"/>
        <v>308.52999999999997</v>
      </c>
      <c r="M178" s="121">
        <f t="shared" si="100"/>
        <v>308.52999999999997</v>
      </c>
      <c r="N178" s="121">
        <f t="shared" si="101"/>
        <v>308.52999999999997</v>
      </c>
      <c r="O178" s="296">
        <f t="shared" si="102"/>
        <v>308.52999999999997</v>
      </c>
      <c r="P178" s="399">
        <f t="shared" ref="P178:P197" si="105">+AVERAGE(D178:O178)</f>
        <v>308.25833333333321</v>
      </c>
      <c r="Q178" s="308"/>
      <c r="R178" s="229">
        <f>+'RESUMEN CDMX'!K157</f>
        <v>0</v>
      </c>
      <c r="S178" s="91">
        <f t="shared" ref="S178:S194" si="106">+R178*D178</f>
        <v>0</v>
      </c>
      <c r="T178" s="229">
        <f>+MEXIDELI!M4</f>
        <v>234</v>
      </c>
      <c r="U178" s="91">
        <f t="shared" ref="U178:U194" si="107">+T178*E178</f>
        <v>67230.539999999994</v>
      </c>
      <c r="V178" s="92">
        <f>+MEXIDELI!R4</f>
        <v>337</v>
      </c>
      <c r="W178" s="91">
        <f t="shared" ref="W178:W195" si="108">+V178*F178</f>
        <v>103974.60999999999</v>
      </c>
      <c r="X178" s="92">
        <f>+MEXIDELI!W4</f>
        <v>150</v>
      </c>
      <c r="Y178" s="91">
        <f t="shared" si="103"/>
        <v>46279.499999999993</v>
      </c>
      <c r="Z178" s="92">
        <f>+MEXIDELI!AB4</f>
        <v>150</v>
      </c>
      <c r="AA178" s="91">
        <f t="shared" ref="AA178:AA197" si="109">+Z178*H178</f>
        <v>46279.499999999993</v>
      </c>
      <c r="AB178" s="92"/>
      <c r="AC178" s="91"/>
      <c r="AD178" s="92"/>
      <c r="AE178" s="91"/>
      <c r="AF178" s="92"/>
      <c r="AG178" s="91"/>
      <c r="AH178" s="92"/>
      <c r="AI178" s="91"/>
      <c r="AJ178" s="92"/>
      <c r="AK178" s="91"/>
      <c r="AL178" s="92"/>
      <c r="AM178" s="91"/>
      <c r="AN178" s="92"/>
      <c r="AO178" s="91"/>
      <c r="AP178" s="92"/>
      <c r="AQ178" s="91"/>
    </row>
    <row r="179" spans="1:43" x14ac:dyDescent="0.25">
      <c r="A179" s="243">
        <v>806694</v>
      </c>
      <c r="B179" s="244" t="s">
        <v>68</v>
      </c>
      <c r="C179" s="121">
        <v>382.98</v>
      </c>
      <c r="D179" s="121">
        <f t="shared" si="104"/>
        <v>382.98</v>
      </c>
      <c r="E179" s="429">
        <v>325.08</v>
      </c>
      <c r="F179" s="429">
        <v>366.07</v>
      </c>
      <c r="G179" s="121">
        <f t="shared" si="94"/>
        <v>366.07</v>
      </c>
      <c r="H179" s="121">
        <f t="shared" si="95"/>
        <v>366.07</v>
      </c>
      <c r="I179" s="121">
        <f t="shared" si="96"/>
        <v>366.07</v>
      </c>
      <c r="J179" s="121">
        <f t="shared" si="97"/>
        <v>366.07</v>
      </c>
      <c r="K179" s="121">
        <f t="shared" si="98"/>
        <v>366.07</v>
      </c>
      <c r="L179" s="121">
        <f t="shared" si="99"/>
        <v>366.07</v>
      </c>
      <c r="M179" s="121">
        <f t="shared" si="100"/>
        <v>366.07</v>
      </c>
      <c r="N179" s="121">
        <f t="shared" si="101"/>
        <v>366.07</v>
      </c>
      <c r="O179" s="296">
        <f t="shared" si="102"/>
        <v>366.07</v>
      </c>
      <c r="P179" s="399">
        <f t="shared" si="105"/>
        <v>364.06333333333333</v>
      </c>
      <c r="Q179" s="308"/>
      <c r="R179" s="229">
        <f>+'RESUMEN CDMX'!K158</f>
        <v>0</v>
      </c>
      <c r="S179" s="91">
        <f t="shared" si="106"/>
        <v>0</v>
      </c>
      <c r="T179" s="229">
        <f>+MEXIDELI!M5</f>
        <v>150</v>
      </c>
      <c r="U179" s="91">
        <f t="shared" si="107"/>
        <v>48762</v>
      </c>
      <c r="V179" s="92">
        <f>+MEXIDELI!R5</f>
        <v>201</v>
      </c>
      <c r="W179" s="91">
        <f t="shared" si="108"/>
        <v>73580.069999999992</v>
      </c>
      <c r="X179" s="92">
        <f>+MEXIDELI!W5</f>
        <v>176</v>
      </c>
      <c r="Y179" s="91">
        <f t="shared" si="103"/>
        <v>64428.32</v>
      </c>
      <c r="Z179" s="92">
        <f>+MEXIDELI!AB5</f>
        <v>166</v>
      </c>
      <c r="AA179" s="91">
        <f t="shared" si="109"/>
        <v>60767.619999999995</v>
      </c>
      <c r="AB179" s="92"/>
      <c r="AC179" s="91"/>
      <c r="AD179" s="92"/>
      <c r="AE179" s="91"/>
      <c r="AF179" s="92"/>
      <c r="AG179" s="91"/>
      <c r="AH179" s="92"/>
      <c r="AI179" s="91"/>
      <c r="AJ179" s="92"/>
      <c r="AK179" s="91"/>
      <c r="AL179" s="92"/>
      <c r="AM179" s="91"/>
      <c r="AN179" s="92"/>
      <c r="AO179" s="91"/>
      <c r="AP179" s="92"/>
      <c r="AQ179" s="91"/>
    </row>
    <row r="180" spans="1:43" x14ac:dyDescent="0.25">
      <c r="A180" s="243">
        <v>804104</v>
      </c>
      <c r="B180" s="244" t="s">
        <v>69</v>
      </c>
      <c r="C180" s="121">
        <v>369.36</v>
      </c>
      <c r="D180" s="121">
        <f t="shared" si="104"/>
        <v>369.36</v>
      </c>
      <c r="E180" s="121">
        <f t="shared" ref="E180" si="110">+D180</f>
        <v>369.36</v>
      </c>
      <c r="F180" s="121">
        <f t="shared" ref="F180:F181" si="111">+E180</f>
        <v>369.36</v>
      </c>
      <c r="G180" s="121">
        <f t="shared" si="94"/>
        <v>369.36</v>
      </c>
      <c r="H180" s="121">
        <f t="shared" si="95"/>
        <v>369.36</v>
      </c>
      <c r="I180" s="121">
        <f t="shared" si="96"/>
        <v>369.36</v>
      </c>
      <c r="J180" s="121">
        <f t="shared" si="97"/>
        <v>369.36</v>
      </c>
      <c r="K180" s="121">
        <f t="shared" si="98"/>
        <v>369.36</v>
      </c>
      <c r="L180" s="121">
        <f t="shared" si="99"/>
        <v>369.36</v>
      </c>
      <c r="M180" s="121">
        <f t="shared" si="100"/>
        <v>369.36</v>
      </c>
      <c r="N180" s="121">
        <f t="shared" si="101"/>
        <v>369.36</v>
      </c>
      <c r="O180" s="296">
        <f t="shared" si="102"/>
        <v>369.36</v>
      </c>
      <c r="P180" s="399">
        <f t="shared" si="105"/>
        <v>369.36000000000007</v>
      </c>
      <c r="Q180" s="308"/>
      <c r="R180" s="229">
        <f>+'RESUMEN CDMX'!K159</f>
        <v>0</v>
      </c>
      <c r="S180" s="91">
        <f t="shared" si="106"/>
        <v>0</v>
      </c>
      <c r="T180" s="229">
        <f>+MEXIDELI!M6</f>
        <v>0</v>
      </c>
      <c r="U180" s="91">
        <f t="shared" si="107"/>
        <v>0</v>
      </c>
      <c r="V180" s="92">
        <f>+MEXIDELI!R6</f>
        <v>0</v>
      </c>
      <c r="W180" s="91">
        <f t="shared" si="108"/>
        <v>0</v>
      </c>
      <c r="X180" s="92">
        <f>+MEXIDELI!W6</f>
        <v>0</v>
      </c>
      <c r="Y180" s="91">
        <f t="shared" si="103"/>
        <v>0</v>
      </c>
      <c r="Z180" s="92">
        <f>+MEXIDELI!AB6</f>
        <v>0</v>
      </c>
      <c r="AA180" s="91">
        <f t="shared" si="109"/>
        <v>0</v>
      </c>
      <c r="AB180" s="92"/>
      <c r="AC180" s="91"/>
      <c r="AD180" s="92"/>
      <c r="AE180" s="91"/>
      <c r="AF180" s="92"/>
      <c r="AG180" s="91"/>
      <c r="AH180" s="92"/>
      <c r="AI180" s="91"/>
      <c r="AJ180" s="92"/>
      <c r="AK180" s="91"/>
      <c r="AL180" s="92"/>
      <c r="AM180" s="91"/>
      <c r="AN180" s="92"/>
      <c r="AO180" s="91"/>
      <c r="AP180" s="92"/>
      <c r="AQ180" s="91"/>
    </row>
    <row r="181" spans="1:43" x14ac:dyDescent="0.25">
      <c r="A181" s="243">
        <v>806686</v>
      </c>
      <c r="B181" s="244" t="s">
        <v>70</v>
      </c>
      <c r="C181" s="121">
        <v>320.48</v>
      </c>
      <c r="D181" s="121">
        <f t="shared" si="104"/>
        <v>320.48</v>
      </c>
      <c r="E181" s="429">
        <v>297.01</v>
      </c>
      <c r="F181" s="121">
        <f t="shared" si="111"/>
        <v>297.01</v>
      </c>
      <c r="G181" s="121">
        <f t="shared" si="94"/>
        <v>297.01</v>
      </c>
      <c r="H181" s="121">
        <f t="shared" si="95"/>
        <v>297.01</v>
      </c>
      <c r="I181" s="121">
        <f t="shared" si="96"/>
        <v>297.01</v>
      </c>
      <c r="J181" s="121">
        <f t="shared" si="97"/>
        <v>297.01</v>
      </c>
      <c r="K181" s="121">
        <f t="shared" si="98"/>
        <v>297.01</v>
      </c>
      <c r="L181" s="121">
        <f t="shared" si="99"/>
        <v>297.01</v>
      </c>
      <c r="M181" s="121">
        <f t="shared" si="100"/>
        <v>297.01</v>
      </c>
      <c r="N181" s="121">
        <f t="shared" si="101"/>
        <v>297.01</v>
      </c>
      <c r="O181" s="296">
        <f t="shared" si="102"/>
        <v>297.01</v>
      </c>
      <c r="P181" s="399">
        <f t="shared" si="105"/>
        <v>298.96583333333342</v>
      </c>
      <c r="Q181" s="308"/>
      <c r="R181" s="229">
        <f>+'RESUMEN CDMX'!K160</f>
        <v>0</v>
      </c>
      <c r="S181" s="91">
        <f t="shared" si="106"/>
        <v>0</v>
      </c>
      <c r="T181" s="229">
        <f>+MEXIDELI!M7</f>
        <v>88</v>
      </c>
      <c r="U181" s="91">
        <f t="shared" si="107"/>
        <v>26136.879999999997</v>
      </c>
      <c r="V181" s="92">
        <f>+MEXIDELI!R7</f>
        <v>2</v>
      </c>
      <c r="W181" s="91">
        <f t="shared" si="108"/>
        <v>594.02</v>
      </c>
      <c r="X181" s="92">
        <f>+MEXIDELI!W7</f>
        <v>0</v>
      </c>
      <c r="Y181" s="91">
        <f t="shared" si="103"/>
        <v>0</v>
      </c>
      <c r="Z181" s="92">
        <f>+MEXIDELI!AB7</f>
        <v>0</v>
      </c>
      <c r="AA181" s="91">
        <f t="shared" si="109"/>
        <v>0</v>
      </c>
      <c r="AB181" s="92"/>
      <c r="AC181" s="91"/>
      <c r="AD181" s="92"/>
      <c r="AE181" s="91"/>
      <c r="AF181" s="92"/>
      <c r="AG181" s="91"/>
      <c r="AH181" s="92"/>
      <c r="AI181" s="91"/>
      <c r="AJ181" s="92"/>
      <c r="AK181" s="91"/>
      <c r="AL181" s="92"/>
      <c r="AM181" s="91"/>
      <c r="AN181" s="92"/>
      <c r="AO181" s="91"/>
      <c r="AP181" s="92"/>
      <c r="AQ181" s="91"/>
    </row>
    <row r="182" spans="1:43" x14ac:dyDescent="0.25">
      <c r="A182" s="243">
        <v>804109</v>
      </c>
      <c r="B182" s="244" t="s">
        <v>71</v>
      </c>
      <c r="C182" s="121">
        <v>424.92</v>
      </c>
      <c r="D182" s="121">
        <f t="shared" si="104"/>
        <v>424.92</v>
      </c>
      <c r="E182" s="429">
        <v>361.2</v>
      </c>
      <c r="F182" s="429">
        <v>370.16</v>
      </c>
      <c r="G182" s="121">
        <f t="shared" si="94"/>
        <v>370.16</v>
      </c>
      <c r="H182" s="121">
        <f t="shared" si="95"/>
        <v>370.16</v>
      </c>
      <c r="I182" s="121">
        <f t="shared" si="96"/>
        <v>370.16</v>
      </c>
      <c r="J182" s="121">
        <f t="shared" si="97"/>
        <v>370.16</v>
      </c>
      <c r="K182" s="121">
        <f t="shared" si="98"/>
        <v>370.16</v>
      </c>
      <c r="L182" s="121">
        <f t="shared" si="99"/>
        <v>370.16</v>
      </c>
      <c r="M182" s="121">
        <f t="shared" si="100"/>
        <v>370.16</v>
      </c>
      <c r="N182" s="121">
        <f t="shared" si="101"/>
        <v>370.16</v>
      </c>
      <c r="O182" s="296">
        <f t="shared" si="102"/>
        <v>370.16</v>
      </c>
      <c r="P182" s="399">
        <f t="shared" si="105"/>
        <v>373.97666666666663</v>
      </c>
      <c r="Q182" s="308"/>
      <c r="R182" s="229">
        <f>+'RESUMEN CDMX'!K161</f>
        <v>0</v>
      </c>
      <c r="S182" s="91">
        <f t="shared" si="106"/>
        <v>0</v>
      </c>
      <c r="T182" s="229">
        <f>+MEXIDELI!M8</f>
        <v>148</v>
      </c>
      <c r="U182" s="91">
        <f t="shared" si="107"/>
        <v>53457.599999999999</v>
      </c>
      <c r="V182" s="92">
        <f>+MEXIDELI!R8</f>
        <v>138</v>
      </c>
      <c r="W182" s="91">
        <f t="shared" si="108"/>
        <v>51082.080000000002</v>
      </c>
      <c r="X182" s="92">
        <f>+MEXIDELI!W8</f>
        <v>46</v>
      </c>
      <c r="Y182" s="91">
        <f t="shared" si="103"/>
        <v>17027.36</v>
      </c>
      <c r="Z182" s="92">
        <f>+MEXIDELI!AB8</f>
        <v>40</v>
      </c>
      <c r="AA182" s="91">
        <f t="shared" si="109"/>
        <v>14806.400000000001</v>
      </c>
      <c r="AB182" s="92"/>
      <c r="AC182" s="91"/>
      <c r="AD182" s="92"/>
      <c r="AE182" s="91"/>
      <c r="AF182" s="92"/>
      <c r="AG182" s="91"/>
      <c r="AH182" s="92"/>
      <c r="AI182" s="91"/>
      <c r="AJ182" s="92"/>
      <c r="AK182" s="91"/>
      <c r="AL182" s="92"/>
      <c r="AM182" s="91"/>
      <c r="AN182" s="92"/>
      <c r="AO182" s="91"/>
      <c r="AP182" s="92"/>
      <c r="AQ182" s="91"/>
    </row>
    <row r="183" spans="1:43" x14ac:dyDescent="0.25">
      <c r="A183" s="243">
        <v>806980</v>
      </c>
      <c r="B183" s="244" t="s">
        <v>72</v>
      </c>
      <c r="C183" s="121">
        <v>371.47</v>
      </c>
      <c r="D183" s="121">
        <f t="shared" si="104"/>
        <v>371.47</v>
      </c>
      <c r="E183" s="429">
        <v>314.14</v>
      </c>
      <c r="F183" s="121">
        <f t="shared" ref="F183" si="112">+E183</f>
        <v>314.14</v>
      </c>
      <c r="G183" s="121">
        <f t="shared" si="94"/>
        <v>314.14</v>
      </c>
      <c r="H183" s="121">
        <f t="shared" si="95"/>
        <v>314.14</v>
      </c>
      <c r="I183" s="121">
        <f t="shared" si="96"/>
        <v>314.14</v>
      </c>
      <c r="J183" s="121">
        <f t="shared" si="97"/>
        <v>314.14</v>
      </c>
      <c r="K183" s="121">
        <f t="shared" si="98"/>
        <v>314.14</v>
      </c>
      <c r="L183" s="121">
        <f t="shared" si="99"/>
        <v>314.14</v>
      </c>
      <c r="M183" s="121">
        <f t="shared" si="100"/>
        <v>314.14</v>
      </c>
      <c r="N183" s="121">
        <f t="shared" si="101"/>
        <v>314.14</v>
      </c>
      <c r="O183" s="296">
        <f t="shared" si="102"/>
        <v>314.14</v>
      </c>
      <c r="P183" s="399">
        <f t="shared" si="105"/>
        <v>318.9174999999999</v>
      </c>
      <c r="Q183" s="308"/>
      <c r="R183" s="229">
        <f>+'RESUMEN CDMX'!K162</f>
        <v>0</v>
      </c>
      <c r="S183" s="91">
        <f t="shared" si="106"/>
        <v>0</v>
      </c>
      <c r="T183" s="229">
        <f>+MEXIDELI!M9</f>
        <v>120</v>
      </c>
      <c r="U183" s="91">
        <f t="shared" si="107"/>
        <v>37696.799999999996</v>
      </c>
      <c r="V183" s="92">
        <f>+MEXIDELI!R9</f>
        <v>140</v>
      </c>
      <c r="W183" s="91">
        <f t="shared" si="108"/>
        <v>43979.6</v>
      </c>
      <c r="X183" s="92">
        <f>+MEXIDELI!W9</f>
        <v>58</v>
      </c>
      <c r="Y183" s="91">
        <f t="shared" si="103"/>
        <v>18220.12</v>
      </c>
      <c r="Z183" s="92">
        <f>+MEXIDELI!AB9</f>
        <v>56</v>
      </c>
      <c r="AA183" s="91">
        <f t="shared" si="109"/>
        <v>17591.84</v>
      </c>
      <c r="AB183" s="92"/>
      <c r="AC183" s="91"/>
      <c r="AD183" s="92"/>
      <c r="AE183" s="91"/>
      <c r="AF183" s="92"/>
      <c r="AG183" s="91"/>
      <c r="AH183" s="92"/>
      <c r="AI183" s="91"/>
      <c r="AJ183" s="92"/>
      <c r="AK183" s="91"/>
      <c r="AL183" s="92"/>
      <c r="AM183" s="91"/>
      <c r="AN183" s="92"/>
      <c r="AO183" s="91"/>
      <c r="AP183" s="92"/>
      <c r="AQ183" s="91"/>
    </row>
    <row r="184" spans="1:43" x14ac:dyDescent="0.25">
      <c r="A184" s="243">
        <v>806982</v>
      </c>
      <c r="B184" s="244" t="s">
        <v>73</v>
      </c>
      <c r="C184" s="121">
        <v>346.77</v>
      </c>
      <c r="D184" s="121">
        <f t="shared" si="104"/>
        <v>346.77</v>
      </c>
      <c r="E184" s="121">
        <f t="shared" ref="E184:E189" si="113">+D184</f>
        <v>346.77</v>
      </c>
      <c r="F184" s="429">
        <v>337.55</v>
      </c>
      <c r="G184" s="121">
        <f t="shared" si="94"/>
        <v>337.55</v>
      </c>
      <c r="H184" s="121">
        <f t="shared" si="95"/>
        <v>337.55</v>
      </c>
      <c r="I184" s="121">
        <f t="shared" si="96"/>
        <v>337.55</v>
      </c>
      <c r="J184" s="121">
        <f t="shared" si="97"/>
        <v>337.55</v>
      </c>
      <c r="K184" s="121">
        <f t="shared" si="98"/>
        <v>337.55</v>
      </c>
      <c r="L184" s="121">
        <f t="shared" si="99"/>
        <v>337.55</v>
      </c>
      <c r="M184" s="121">
        <f t="shared" si="100"/>
        <v>337.55</v>
      </c>
      <c r="N184" s="121">
        <f t="shared" si="101"/>
        <v>337.55</v>
      </c>
      <c r="O184" s="296">
        <f t="shared" si="102"/>
        <v>337.55</v>
      </c>
      <c r="P184" s="399">
        <f t="shared" si="105"/>
        <v>339.08666666666676</v>
      </c>
      <c r="Q184" s="308"/>
      <c r="R184" s="229">
        <f>+'RESUMEN CDMX'!K163</f>
        <v>0</v>
      </c>
      <c r="S184" s="91">
        <f t="shared" si="106"/>
        <v>0</v>
      </c>
      <c r="T184" s="229">
        <f>+MEXIDELI!M10</f>
        <v>0</v>
      </c>
      <c r="U184" s="91">
        <f t="shared" si="107"/>
        <v>0</v>
      </c>
      <c r="V184" s="92">
        <f>+MEXIDELI!R10</f>
        <v>108</v>
      </c>
      <c r="W184" s="91">
        <f t="shared" si="108"/>
        <v>36455.4</v>
      </c>
      <c r="X184" s="92">
        <f>+MEXIDELI!W10</f>
        <v>108</v>
      </c>
      <c r="Y184" s="91">
        <f t="shared" si="103"/>
        <v>36455.4</v>
      </c>
      <c r="Z184" s="92">
        <f>+MEXIDELI!AB10</f>
        <v>108</v>
      </c>
      <c r="AA184" s="91">
        <f t="shared" si="109"/>
        <v>36455.4</v>
      </c>
      <c r="AB184" s="92"/>
      <c r="AC184" s="91"/>
      <c r="AD184" s="92"/>
      <c r="AE184" s="91"/>
      <c r="AF184" s="92"/>
      <c r="AG184" s="91"/>
      <c r="AH184" s="92"/>
      <c r="AI184" s="91"/>
      <c r="AJ184" s="92"/>
      <c r="AK184" s="91"/>
      <c r="AL184" s="92"/>
      <c r="AM184" s="91"/>
      <c r="AN184" s="92"/>
      <c r="AO184" s="91"/>
      <c r="AP184" s="92"/>
      <c r="AQ184" s="91"/>
    </row>
    <row r="185" spans="1:43" x14ac:dyDescent="0.25">
      <c r="A185" s="243">
        <v>260612</v>
      </c>
      <c r="B185" s="244" t="s">
        <v>74</v>
      </c>
      <c r="C185" s="121">
        <v>298.86</v>
      </c>
      <c r="D185" s="121">
        <f t="shared" si="104"/>
        <v>298.86</v>
      </c>
      <c r="E185" s="121">
        <f t="shared" si="113"/>
        <v>298.86</v>
      </c>
      <c r="F185" s="121">
        <f t="shared" ref="F185:F190" si="114">+E185</f>
        <v>298.86</v>
      </c>
      <c r="G185" s="121">
        <f t="shared" si="94"/>
        <v>298.86</v>
      </c>
      <c r="H185" s="121">
        <f t="shared" si="95"/>
        <v>298.86</v>
      </c>
      <c r="I185" s="121">
        <f t="shared" si="96"/>
        <v>298.86</v>
      </c>
      <c r="J185" s="121">
        <f t="shared" si="97"/>
        <v>298.86</v>
      </c>
      <c r="K185" s="121">
        <f t="shared" si="98"/>
        <v>298.86</v>
      </c>
      <c r="L185" s="121">
        <f t="shared" si="99"/>
        <v>298.86</v>
      </c>
      <c r="M185" s="121">
        <f t="shared" si="100"/>
        <v>298.86</v>
      </c>
      <c r="N185" s="121">
        <f t="shared" si="101"/>
        <v>298.86</v>
      </c>
      <c r="O185" s="296">
        <f t="shared" si="102"/>
        <v>298.86</v>
      </c>
      <c r="P185" s="399">
        <f t="shared" si="105"/>
        <v>298.86000000000007</v>
      </c>
      <c r="Q185" s="308"/>
      <c r="R185" s="229">
        <f>+'RESUMEN CDMX'!K164</f>
        <v>0</v>
      </c>
      <c r="S185" s="91">
        <f t="shared" si="106"/>
        <v>0</v>
      </c>
      <c r="T185" s="229">
        <f>+MEXIDELI!M11</f>
        <v>0</v>
      </c>
      <c r="U185" s="91">
        <f t="shared" si="107"/>
        <v>0</v>
      </c>
      <c r="V185" s="92">
        <f>+MEXIDELI!R11</f>
        <v>0</v>
      </c>
      <c r="W185" s="91">
        <f t="shared" si="108"/>
        <v>0</v>
      </c>
      <c r="X185" s="92">
        <f>+MEXIDELI!W11</f>
        <v>0</v>
      </c>
      <c r="Y185" s="91">
        <f t="shared" si="103"/>
        <v>0</v>
      </c>
      <c r="Z185" s="92">
        <f>+MEXIDELI!AB11</f>
        <v>0</v>
      </c>
      <c r="AA185" s="91">
        <f t="shared" si="109"/>
        <v>0</v>
      </c>
      <c r="AB185" s="92"/>
      <c r="AC185" s="91"/>
      <c r="AD185" s="92"/>
      <c r="AE185" s="91"/>
      <c r="AF185" s="92"/>
      <c r="AG185" s="91"/>
      <c r="AH185" s="92"/>
      <c r="AI185" s="91"/>
      <c r="AJ185" s="92"/>
      <c r="AK185" s="91"/>
      <c r="AL185" s="92"/>
      <c r="AM185" s="91"/>
      <c r="AN185" s="92"/>
      <c r="AO185" s="91"/>
      <c r="AP185" s="92"/>
      <c r="AQ185" s="91"/>
    </row>
    <row r="186" spans="1:43" x14ac:dyDescent="0.25">
      <c r="A186" s="243">
        <v>804661</v>
      </c>
      <c r="B186" s="244" t="s">
        <v>75</v>
      </c>
      <c r="C186" s="121">
        <v>329.94</v>
      </c>
      <c r="D186" s="121">
        <f t="shared" si="104"/>
        <v>329.94</v>
      </c>
      <c r="E186" s="121">
        <f t="shared" si="113"/>
        <v>329.94</v>
      </c>
      <c r="F186" s="121">
        <f t="shared" si="114"/>
        <v>329.94</v>
      </c>
      <c r="G186" s="121">
        <f t="shared" si="94"/>
        <v>329.94</v>
      </c>
      <c r="H186" s="121">
        <f t="shared" si="95"/>
        <v>329.94</v>
      </c>
      <c r="I186" s="121">
        <f t="shared" si="96"/>
        <v>329.94</v>
      </c>
      <c r="J186" s="121">
        <f t="shared" si="97"/>
        <v>329.94</v>
      </c>
      <c r="K186" s="121">
        <f t="shared" si="98"/>
        <v>329.94</v>
      </c>
      <c r="L186" s="121">
        <f t="shared" si="99"/>
        <v>329.94</v>
      </c>
      <c r="M186" s="121">
        <f t="shared" si="100"/>
        <v>329.94</v>
      </c>
      <c r="N186" s="121">
        <f t="shared" si="101"/>
        <v>329.94</v>
      </c>
      <c r="O186" s="296">
        <f t="shared" si="102"/>
        <v>329.94</v>
      </c>
      <c r="P186" s="399">
        <f t="shared" si="105"/>
        <v>329.94</v>
      </c>
      <c r="Q186" s="308"/>
      <c r="R186" s="229">
        <f>+'RESUMEN CDMX'!K165</f>
        <v>0</v>
      </c>
      <c r="S186" s="91">
        <f t="shared" si="106"/>
        <v>0</v>
      </c>
      <c r="T186" s="229">
        <f>+MEXIDELI!M12</f>
        <v>0</v>
      </c>
      <c r="U186" s="91">
        <f t="shared" si="107"/>
        <v>0</v>
      </c>
      <c r="V186" s="92">
        <f>+MEXIDELI!R12</f>
        <v>0</v>
      </c>
      <c r="W186" s="91">
        <f t="shared" si="108"/>
        <v>0</v>
      </c>
      <c r="X186" s="92">
        <f>+MEXIDELI!W12</f>
        <v>0</v>
      </c>
      <c r="Y186" s="91">
        <f t="shared" si="103"/>
        <v>0</v>
      </c>
      <c r="Z186" s="92">
        <f>+MEXIDELI!AB12</f>
        <v>0</v>
      </c>
      <c r="AA186" s="91">
        <f t="shared" si="109"/>
        <v>0</v>
      </c>
      <c r="AB186" s="92"/>
      <c r="AC186" s="91"/>
      <c r="AD186" s="92"/>
      <c r="AE186" s="91"/>
      <c r="AF186" s="92"/>
      <c r="AG186" s="91"/>
      <c r="AH186" s="92"/>
      <c r="AI186" s="91"/>
      <c r="AJ186" s="92"/>
      <c r="AK186" s="91"/>
      <c r="AL186" s="92"/>
      <c r="AM186" s="91"/>
      <c r="AN186" s="92"/>
      <c r="AO186" s="91"/>
      <c r="AP186" s="92"/>
      <c r="AQ186" s="91"/>
    </row>
    <row r="187" spans="1:43" x14ac:dyDescent="0.25">
      <c r="A187" s="243">
        <v>806702</v>
      </c>
      <c r="B187" s="244" t="s">
        <v>76</v>
      </c>
      <c r="C187" s="121">
        <v>554.39</v>
      </c>
      <c r="D187" s="429">
        <v>432.95</v>
      </c>
      <c r="E187" s="121">
        <f t="shared" si="113"/>
        <v>432.95</v>
      </c>
      <c r="F187" s="121">
        <f t="shared" si="114"/>
        <v>432.95</v>
      </c>
      <c r="G187" s="121">
        <f t="shared" si="94"/>
        <v>432.95</v>
      </c>
      <c r="H187" s="121">
        <f t="shared" si="95"/>
        <v>432.95</v>
      </c>
      <c r="I187" s="121">
        <f t="shared" si="96"/>
        <v>432.95</v>
      </c>
      <c r="J187" s="121">
        <f t="shared" si="97"/>
        <v>432.95</v>
      </c>
      <c r="K187" s="121">
        <f t="shared" si="98"/>
        <v>432.95</v>
      </c>
      <c r="L187" s="121">
        <f t="shared" si="99"/>
        <v>432.95</v>
      </c>
      <c r="M187" s="121">
        <f t="shared" si="100"/>
        <v>432.95</v>
      </c>
      <c r="N187" s="121">
        <f t="shared" si="101"/>
        <v>432.95</v>
      </c>
      <c r="O187" s="296">
        <f t="shared" si="102"/>
        <v>432.95</v>
      </c>
      <c r="P187" s="399">
        <f t="shared" si="105"/>
        <v>432.94999999999987</v>
      </c>
      <c r="Q187" s="308"/>
      <c r="R187" s="229">
        <f>+'RESUMEN CDMX'!K166</f>
        <v>0</v>
      </c>
      <c r="S187" s="91">
        <f t="shared" si="106"/>
        <v>0</v>
      </c>
      <c r="T187" s="229">
        <f>+MEXIDELI!M13</f>
        <v>0</v>
      </c>
      <c r="U187" s="91">
        <f t="shared" si="107"/>
        <v>0</v>
      </c>
      <c r="V187" s="92">
        <f>+MEXIDELI!R13</f>
        <v>0</v>
      </c>
      <c r="W187" s="91">
        <f t="shared" si="108"/>
        <v>0</v>
      </c>
      <c r="X187" s="92">
        <f>+MEXIDELI!W13</f>
        <v>0</v>
      </c>
      <c r="Y187" s="91">
        <f t="shared" si="103"/>
        <v>0</v>
      </c>
      <c r="Z187" s="92">
        <f>+MEXIDELI!AB13</f>
        <v>0</v>
      </c>
      <c r="AA187" s="91">
        <f t="shared" si="109"/>
        <v>0</v>
      </c>
      <c r="AB187" s="92"/>
      <c r="AC187" s="91"/>
      <c r="AD187" s="92"/>
      <c r="AE187" s="91"/>
      <c r="AF187" s="92"/>
      <c r="AG187" s="91"/>
      <c r="AH187" s="92"/>
      <c r="AI187" s="91"/>
      <c r="AJ187" s="92"/>
      <c r="AK187" s="91"/>
      <c r="AL187" s="92"/>
      <c r="AM187" s="91"/>
      <c r="AN187" s="92"/>
      <c r="AO187" s="91"/>
      <c r="AP187" s="92"/>
      <c r="AQ187" s="91"/>
    </row>
    <row r="188" spans="1:43" x14ac:dyDescent="0.25">
      <c r="A188" s="267">
        <v>807769</v>
      </c>
      <c r="B188" s="268" t="s">
        <v>77</v>
      </c>
      <c r="C188" s="121">
        <v>346.43</v>
      </c>
      <c r="D188" s="121">
        <f t="shared" ref="D188:D196" si="115">+C188</f>
        <v>346.43</v>
      </c>
      <c r="E188" s="121">
        <f t="shared" si="113"/>
        <v>346.43</v>
      </c>
      <c r="F188" s="121">
        <f t="shared" si="114"/>
        <v>346.43</v>
      </c>
      <c r="G188" s="121">
        <f t="shared" si="94"/>
        <v>346.43</v>
      </c>
      <c r="H188" s="121">
        <f t="shared" si="95"/>
        <v>346.43</v>
      </c>
      <c r="I188" s="121">
        <f t="shared" si="96"/>
        <v>346.43</v>
      </c>
      <c r="J188" s="121">
        <f t="shared" si="97"/>
        <v>346.43</v>
      </c>
      <c r="K188" s="121">
        <f t="shared" si="98"/>
        <v>346.43</v>
      </c>
      <c r="L188" s="121">
        <f t="shared" si="99"/>
        <v>346.43</v>
      </c>
      <c r="M188" s="121">
        <f t="shared" si="100"/>
        <v>346.43</v>
      </c>
      <c r="N188" s="121">
        <f t="shared" si="101"/>
        <v>346.43</v>
      </c>
      <c r="O188" s="296">
        <f t="shared" si="102"/>
        <v>346.43</v>
      </c>
      <c r="P188" s="399">
        <f t="shared" si="105"/>
        <v>346.42999999999989</v>
      </c>
      <c r="Q188" s="308"/>
      <c r="R188" s="229">
        <f>+'RESUMEN CDMX'!K167</f>
        <v>0</v>
      </c>
      <c r="S188" s="91">
        <f t="shared" si="106"/>
        <v>0</v>
      </c>
      <c r="T188" s="229">
        <f>+MEXIDELI!M14</f>
        <v>0</v>
      </c>
      <c r="U188" s="91">
        <f t="shared" si="107"/>
        <v>0</v>
      </c>
      <c r="V188" s="92">
        <f>+MEXIDELI!R14</f>
        <v>0</v>
      </c>
      <c r="W188" s="91">
        <f t="shared" si="108"/>
        <v>0</v>
      </c>
      <c r="X188" s="92">
        <f>+MEXIDELI!W14</f>
        <v>0</v>
      </c>
      <c r="Y188" s="91">
        <f t="shared" si="103"/>
        <v>0</v>
      </c>
      <c r="Z188" s="92">
        <f>+MEXIDELI!AB14</f>
        <v>0</v>
      </c>
      <c r="AA188" s="91">
        <f t="shared" si="109"/>
        <v>0</v>
      </c>
      <c r="AB188" s="92"/>
      <c r="AC188" s="91"/>
      <c r="AD188" s="92"/>
      <c r="AE188" s="91"/>
      <c r="AF188" s="92"/>
      <c r="AG188" s="91"/>
      <c r="AH188" s="92"/>
      <c r="AI188" s="91"/>
      <c r="AJ188" s="92"/>
      <c r="AK188" s="91"/>
      <c r="AL188" s="92"/>
      <c r="AM188" s="91"/>
      <c r="AN188" s="92"/>
      <c r="AO188" s="91"/>
      <c r="AP188" s="92"/>
      <c r="AQ188" s="91"/>
    </row>
    <row r="189" spans="1:43" x14ac:dyDescent="0.25">
      <c r="A189" s="243">
        <v>807329</v>
      </c>
      <c r="B189" s="244" t="s">
        <v>78</v>
      </c>
      <c r="C189" s="121">
        <v>356.34</v>
      </c>
      <c r="D189" s="121">
        <f t="shared" si="115"/>
        <v>356.34</v>
      </c>
      <c r="E189" s="121">
        <f t="shared" si="113"/>
        <v>356.34</v>
      </c>
      <c r="F189" s="121">
        <f t="shared" si="114"/>
        <v>356.34</v>
      </c>
      <c r="G189" s="121">
        <f t="shared" si="94"/>
        <v>356.34</v>
      </c>
      <c r="H189" s="121">
        <f t="shared" si="95"/>
        <v>356.34</v>
      </c>
      <c r="I189" s="121">
        <f t="shared" si="96"/>
        <v>356.34</v>
      </c>
      <c r="J189" s="121">
        <f t="shared" si="97"/>
        <v>356.34</v>
      </c>
      <c r="K189" s="121">
        <f t="shared" si="98"/>
        <v>356.34</v>
      </c>
      <c r="L189" s="121">
        <f t="shared" si="99"/>
        <v>356.34</v>
      </c>
      <c r="M189" s="121">
        <f t="shared" si="100"/>
        <v>356.34</v>
      </c>
      <c r="N189" s="121">
        <f t="shared" si="101"/>
        <v>356.34</v>
      </c>
      <c r="O189" s="296">
        <f t="shared" si="102"/>
        <v>356.34</v>
      </c>
      <c r="P189" s="399">
        <f t="shared" si="105"/>
        <v>356.34000000000009</v>
      </c>
      <c r="Q189" s="308"/>
      <c r="R189" s="229">
        <f>+'RESUMEN CDMX'!K168</f>
        <v>0</v>
      </c>
      <c r="S189" s="91">
        <f t="shared" si="106"/>
        <v>0</v>
      </c>
      <c r="T189" s="229">
        <f>+MEXIDELI!M15</f>
        <v>0</v>
      </c>
      <c r="U189" s="91">
        <f t="shared" si="107"/>
        <v>0</v>
      </c>
      <c r="V189" s="92">
        <f>+MEXIDELI!R15</f>
        <v>164</v>
      </c>
      <c r="W189" s="91">
        <f t="shared" si="108"/>
        <v>58439.759999999995</v>
      </c>
      <c r="X189" s="92">
        <f>+MEXIDELI!W15</f>
        <v>164</v>
      </c>
      <c r="Y189" s="91">
        <f t="shared" si="103"/>
        <v>58439.759999999995</v>
      </c>
      <c r="Z189" s="92">
        <f>+MEXIDELI!AB15</f>
        <v>164</v>
      </c>
      <c r="AA189" s="91">
        <f t="shared" si="109"/>
        <v>58439.759999999995</v>
      </c>
      <c r="AB189" s="92"/>
      <c r="AC189" s="91"/>
      <c r="AD189" s="92"/>
      <c r="AE189" s="91"/>
      <c r="AF189" s="92"/>
      <c r="AG189" s="91"/>
      <c r="AH189" s="92"/>
      <c r="AI189" s="91"/>
      <c r="AJ189" s="92"/>
      <c r="AK189" s="91"/>
      <c r="AL189" s="92"/>
      <c r="AM189" s="91"/>
      <c r="AN189" s="92"/>
      <c r="AO189" s="91"/>
      <c r="AP189" s="92"/>
      <c r="AQ189" s="91"/>
    </row>
    <row r="190" spans="1:43" x14ac:dyDescent="0.25">
      <c r="A190" s="243">
        <v>805411</v>
      </c>
      <c r="B190" s="244" t="s">
        <v>79</v>
      </c>
      <c r="C190" s="121">
        <v>340.91</v>
      </c>
      <c r="D190" s="121">
        <f t="shared" si="115"/>
        <v>340.91</v>
      </c>
      <c r="E190" s="429">
        <v>306.5</v>
      </c>
      <c r="F190" s="121">
        <f t="shared" si="114"/>
        <v>306.5</v>
      </c>
      <c r="G190" s="121">
        <f t="shared" si="94"/>
        <v>306.5</v>
      </c>
      <c r="H190" s="121">
        <f t="shared" si="95"/>
        <v>306.5</v>
      </c>
      <c r="I190" s="121">
        <f t="shared" si="96"/>
        <v>306.5</v>
      </c>
      <c r="J190" s="121">
        <f t="shared" si="97"/>
        <v>306.5</v>
      </c>
      <c r="K190" s="121">
        <f t="shared" si="98"/>
        <v>306.5</v>
      </c>
      <c r="L190" s="121">
        <f t="shared" si="99"/>
        <v>306.5</v>
      </c>
      <c r="M190" s="121">
        <f t="shared" si="100"/>
        <v>306.5</v>
      </c>
      <c r="N190" s="121">
        <f t="shared" si="101"/>
        <v>306.5</v>
      </c>
      <c r="O190" s="296">
        <f t="shared" si="102"/>
        <v>306.5</v>
      </c>
      <c r="P190" s="399">
        <f t="shared" si="105"/>
        <v>309.36750000000001</v>
      </c>
      <c r="Q190" s="308"/>
      <c r="R190" s="229">
        <f>+'RESUMEN CDMX'!K169</f>
        <v>0</v>
      </c>
      <c r="S190" s="91">
        <f t="shared" si="106"/>
        <v>0</v>
      </c>
      <c r="T190" s="229">
        <f>+MEXIDELI!M16</f>
        <v>216</v>
      </c>
      <c r="U190" s="91">
        <f t="shared" si="107"/>
        <v>66204</v>
      </c>
      <c r="V190" s="92">
        <f>+MEXIDELI!R16</f>
        <v>165</v>
      </c>
      <c r="W190" s="91">
        <f t="shared" si="108"/>
        <v>50572.5</v>
      </c>
      <c r="X190" s="92">
        <f>+MEXIDELI!W16</f>
        <v>165</v>
      </c>
      <c r="Y190" s="91">
        <f t="shared" si="103"/>
        <v>50572.5</v>
      </c>
      <c r="Z190" s="92">
        <f>+MEXIDELI!AB16</f>
        <v>165</v>
      </c>
      <c r="AA190" s="91">
        <f t="shared" si="109"/>
        <v>50572.5</v>
      </c>
      <c r="AB190" s="92"/>
      <c r="AC190" s="91"/>
      <c r="AD190" s="92"/>
      <c r="AE190" s="91"/>
      <c r="AF190" s="92"/>
      <c r="AG190" s="91"/>
      <c r="AH190" s="92"/>
      <c r="AI190" s="91"/>
      <c r="AJ190" s="92"/>
      <c r="AK190" s="91"/>
      <c r="AL190" s="92"/>
      <c r="AM190" s="91"/>
      <c r="AN190" s="92"/>
      <c r="AO190" s="91"/>
      <c r="AP190" s="92"/>
      <c r="AQ190" s="91"/>
    </row>
    <row r="191" spans="1:43" x14ac:dyDescent="0.25">
      <c r="A191" s="243">
        <v>807679</v>
      </c>
      <c r="B191" s="244" t="s">
        <v>80</v>
      </c>
      <c r="C191" s="121">
        <v>388.31</v>
      </c>
      <c r="D191" s="121">
        <f t="shared" si="115"/>
        <v>388.31</v>
      </c>
      <c r="E191" s="429">
        <v>363.68</v>
      </c>
      <c r="F191" s="429">
        <v>386.98</v>
      </c>
      <c r="G191" s="121">
        <f t="shared" si="94"/>
        <v>386.98</v>
      </c>
      <c r="H191" s="121">
        <f t="shared" si="95"/>
        <v>386.98</v>
      </c>
      <c r="I191" s="121">
        <f t="shared" si="96"/>
        <v>386.98</v>
      </c>
      <c r="J191" s="121">
        <f t="shared" si="97"/>
        <v>386.98</v>
      </c>
      <c r="K191" s="121">
        <f t="shared" si="98"/>
        <v>386.98</v>
      </c>
      <c r="L191" s="121">
        <f t="shared" si="99"/>
        <v>386.98</v>
      </c>
      <c r="M191" s="121">
        <f t="shared" si="100"/>
        <v>386.98</v>
      </c>
      <c r="N191" s="121">
        <f t="shared" si="101"/>
        <v>386.98</v>
      </c>
      <c r="O191" s="296">
        <f t="shared" si="102"/>
        <v>386.98</v>
      </c>
      <c r="P191" s="399">
        <f t="shared" si="105"/>
        <v>385.14916666666659</v>
      </c>
      <c r="Q191" s="308"/>
      <c r="R191" s="229">
        <f>+'RESUMEN CDMX'!K170</f>
        <v>0</v>
      </c>
      <c r="S191" s="91">
        <f t="shared" si="106"/>
        <v>0</v>
      </c>
      <c r="T191" s="229">
        <f>+MEXIDELI!M17</f>
        <v>120</v>
      </c>
      <c r="U191" s="91">
        <f t="shared" si="107"/>
        <v>43641.599999999999</v>
      </c>
      <c r="V191" s="92">
        <f>+MEXIDELI!R17</f>
        <v>256</v>
      </c>
      <c r="W191" s="91">
        <f t="shared" si="108"/>
        <v>99066.880000000005</v>
      </c>
      <c r="X191" s="92">
        <f>+MEXIDELI!W17</f>
        <v>256</v>
      </c>
      <c r="Y191" s="91">
        <f t="shared" si="103"/>
        <v>99066.880000000005</v>
      </c>
      <c r="Z191" s="92">
        <f>+MEXIDELI!AB17</f>
        <v>126</v>
      </c>
      <c r="AA191" s="91">
        <f t="shared" si="109"/>
        <v>48759.48</v>
      </c>
      <c r="AB191" s="92"/>
      <c r="AC191" s="91"/>
      <c r="AD191" s="92"/>
      <c r="AE191" s="91"/>
      <c r="AF191" s="92"/>
      <c r="AG191" s="91"/>
      <c r="AH191" s="92"/>
      <c r="AI191" s="91"/>
      <c r="AJ191" s="92"/>
      <c r="AK191" s="91"/>
      <c r="AL191" s="92"/>
      <c r="AM191" s="91"/>
      <c r="AN191" s="92"/>
      <c r="AO191" s="91"/>
      <c r="AP191" s="92"/>
      <c r="AQ191" s="91"/>
    </row>
    <row r="192" spans="1:43" x14ac:dyDescent="0.25">
      <c r="A192" s="243">
        <v>805168</v>
      </c>
      <c r="B192" s="244" t="s">
        <v>81</v>
      </c>
      <c r="C192" s="121">
        <v>608.67999999999995</v>
      </c>
      <c r="D192" s="121">
        <f t="shared" si="115"/>
        <v>608.67999999999995</v>
      </c>
      <c r="E192" s="121">
        <f t="shared" ref="E192:E197" si="116">+D192</f>
        <v>608.67999999999995</v>
      </c>
      <c r="F192" s="121">
        <f t="shared" ref="F192:F197" si="117">+E192</f>
        <v>608.67999999999995</v>
      </c>
      <c r="G192" s="121">
        <f t="shared" si="94"/>
        <v>608.67999999999995</v>
      </c>
      <c r="H192" s="121">
        <f t="shared" si="95"/>
        <v>608.67999999999995</v>
      </c>
      <c r="I192" s="121">
        <f t="shared" si="96"/>
        <v>608.67999999999995</v>
      </c>
      <c r="J192" s="121">
        <f t="shared" si="97"/>
        <v>608.67999999999995</v>
      </c>
      <c r="K192" s="121">
        <f t="shared" si="98"/>
        <v>608.67999999999995</v>
      </c>
      <c r="L192" s="121">
        <f t="shared" si="99"/>
        <v>608.67999999999995</v>
      </c>
      <c r="M192" s="121">
        <f t="shared" si="100"/>
        <v>608.67999999999995</v>
      </c>
      <c r="N192" s="121">
        <f t="shared" si="101"/>
        <v>608.67999999999995</v>
      </c>
      <c r="O192" s="296">
        <f t="shared" si="102"/>
        <v>608.67999999999995</v>
      </c>
      <c r="P192" s="399">
        <f t="shared" si="105"/>
        <v>608.68000000000006</v>
      </c>
      <c r="Q192" s="308"/>
      <c r="R192" s="229">
        <f>+'RESUMEN CDMX'!K171</f>
        <v>0</v>
      </c>
      <c r="S192" s="91">
        <f t="shared" si="106"/>
        <v>0</v>
      </c>
      <c r="T192" s="229">
        <f>+MEXIDELI!M18</f>
        <v>0</v>
      </c>
      <c r="U192" s="91">
        <f t="shared" si="107"/>
        <v>0</v>
      </c>
      <c r="V192" s="92">
        <f>+MEXIDELI!R18</f>
        <v>301</v>
      </c>
      <c r="W192" s="91">
        <f t="shared" si="108"/>
        <v>183212.68</v>
      </c>
      <c r="X192" s="92">
        <f>+MEXIDELI!W18</f>
        <v>301</v>
      </c>
      <c r="Y192" s="91">
        <f t="shared" si="103"/>
        <v>183212.68</v>
      </c>
      <c r="Z192" s="92">
        <f>+MEXIDELI!AB18</f>
        <v>301</v>
      </c>
      <c r="AA192" s="91">
        <f t="shared" si="109"/>
        <v>183212.68</v>
      </c>
      <c r="AB192" s="92"/>
      <c r="AC192" s="91"/>
      <c r="AD192" s="92"/>
      <c r="AE192" s="91"/>
      <c r="AF192" s="92"/>
      <c r="AG192" s="91"/>
      <c r="AH192" s="92"/>
      <c r="AI192" s="91"/>
      <c r="AJ192" s="92"/>
      <c r="AK192" s="91"/>
      <c r="AL192" s="92"/>
      <c r="AM192" s="91"/>
      <c r="AN192" s="92"/>
      <c r="AO192" s="91"/>
      <c r="AP192" s="92"/>
      <c r="AQ192" s="91"/>
    </row>
    <row r="193" spans="1:43" x14ac:dyDescent="0.25">
      <c r="A193" s="243">
        <v>807363</v>
      </c>
      <c r="B193" s="244" t="s">
        <v>82</v>
      </c>
      <c r="C193" s="121">
        <v>357.28</v>
      </c>
      <c r="D193" s="121">
        <f t="shared" si="115"/>
        <v>357.28</v>
      </c>
      <c r="E193" s="121">
        <f t="shared" si="116"/>
        <v>357.28</v>
      </c>
      <c r="F193" s="121">
        <f t="shared" si="117"/>
        <v>357.28</v>
      </c>
      <c r="G193" s="121">
        <f t="shared" si="94"/>
        <v>357.28</v>
      </c>
      <c r="H193" s="121">
        <f t="shared" si="95"/>
        <v>357.28</v>
      </c>
      <c r="I193" s="121">
        <f t="shared" si="96"/>
        <v>357.28</v>
      </c>
      <c r="J193" s="121">
        <f t="shared" si="97"/>
        <v>357.28</v>
      </c>
      <c r="K193" s="121">
        <f t="shared" si="98"/>
        <v>357.28</v>
      </c>
      <c r="L193" s="121">
        <f t="shared" si="99"/>
        <v>357.28</v>
      </c>
      <c r="M193" s="121">
        <f t="shared" si="100"/>
        <v>357.28</v>
      </c>
      <c r="N193" s="121">
        <f t="shared" si="101"/>
        <v>357.28</v>
      </c>
      <c r="O193" s="296">
        <f t="shared" si="102"/>
        <v>357.28</v>
      </c>
      <c r="P193" s="399">
        <f t="shared" si="105"/>
        <v>357.27999999999992</v>
      </c>
      <c r="Q193" s="308"/>
      <c r="R193" s="229">
        <f>+'RESUMEN CDMX'!K172</f>
        <v>0</v>
      </c>
      <c r="S193" s="91">
        <f t="shared" si="106"/>
        <v>0</v>
      </c>
      <c r="T193" s="229">
        <f>+MEXIDELI!M19</f>
        <v>0</v>
      </c>
      <c r="U193" s="91">
        <f t="shared" si="107"/>
        <v>0</v>
      </c>
      <c r="V193" s="92">
        <f>+MEXIDELI!R19</f>
        <v>0</v>
      </c>
      <c r="W193" s="91">
        <f t="shared" si="108"/>
        <v>0</v>
      </c>
      <c r="X193" s="92">
        <f>+MEXIDELI!W19</f>
        <v>0</v>
      </c>
      <c r="Y193" s="91">
        <f t="shared" si="103"/>
        <v>0</v>
      </c>
      <c r="Z193" s="92">
        <f>+MEXIDELI!AB19</f>
        <v>0</v>
      </c>
      <c r="AA193" s="91">
        <f t="shared" si="109"/>
        <v>0</v>
      </c>
      <c r="AB193" s="92"/>
      <c r="AC193" s="91"/>
      <c r="AD193" s="92"/>
      <c r="AE193" s="91"/>
      <c r="AF193" s="92"/>
      <c r="AG193" s="91"/>
      <c r="AH193" s="92"/>
      <c r="AI193" s="91"/>
      <c r="AJ193" s="92"/>
      <c r="AK193" s="91"/>
      <c r="AL193" s="92"/>
      <c r="AM193" s="91"/>
      <c r="AN193" s="92"/>
      <c r="AO193" s="91"/>
      <c r="AP193" s="92"/>
      <c r="AQ193" s="91"/>
    </row>
    <row r="194" spans="1:43" x14ac:dyDescent="0.25">
      <c r="A194" s="263">
        <v>809529</v>
      </c>
      <c r="B194" s="264" t="s">
        <v>83</v>
      </c>
      <c r="C194" s="121">
        <v>353.79</v>
      </c>
      <c r="D194" s="121">
        <f t="shared" si="115"/>
        <v>353.79</v>
      </c>
      <c r="E194" s="121">
        <f t="shared" si="116"/>
        <v>353.79</v>
      </c>
      <c r="F194" s="121">
        <f t="shared" si="117"/>
        <v>353.79</v>
      </c>
      <c r="G194" s="121">
        <f t="shared" si="94"/>
        <v>353.79</v>
      </c>
      <c r="H194" s="121">
        <f t="shared" si="95"/>
        <v>353.79</v>
      </c>
      <c r="I194" s="121">
        <f t="shared" si="96"/>
        <v>353.79</v>
      </c>
      <c r="J194" s="121">
        <f t="shared" si="97"/>
        <v>353.79</v>
      </c>
      <c r="K194" s="121">
        <f t="shared" si="98"/>
        <v>353.79</v>
      </c>
      <c r="L194" s="121">
        <f t="shared" si="99"/>
        <v>353.79</v>
      </c>
      <c r="M194" s="121">
        <f t="shared" si="100"/>
        <v>353.79</v>
      </c>
      <c r="N194" s="121">
        <f t="shared" si="101"/>
        <v>353.79</v>
      </c>
      <c r="O194" s="296">
        <f t="shared" si="102"/>
        <v>353.79</v>
      </c>
      <c r="P194" s="399">
        <f t="shared" si="105"/>
        <v>353.79</v>
      </c>
      <c r="Q194" s="308"/>
      <c r="R194" s="229">
        <f>+'RESUMEN CDMX'!K173</f>
        <v>0</v>
      </c>
      <c r="S194" s="91">
        <f t="shared" si="106"/>
        <v>0</v>
      </c>
      <c r="T194" s="229">
        <f>+MEXIDELI!M20</f>
        <v>0</v>
      </c>
      <c r="U194" s="91">
        <f t="shared" si="107"/>
        <v>0</v>
      </c>
      <c r="V194" s="92">
        <f>+MEXIDELI!R20</f>
        <v>0</v>
      </c>
      <c r="W194" s="91">
        <f t="shared" si="108"/>
        <v>0</v>
      </c>
      <c r="X194" s="92">
        <f>+MEXIDELI!W20</f>
        <v>0</v>
      </c>
      <c r="Y194" s="91">
        <f t="shared" si="103"/>
        <v>0</v>
      </c>
      <c r="Z194" s="92">
        <f>+MEXIDELI!AB20</f>
        <v>0</v>
      </c>
      <c r="AA194" s="91">
        <f t="shared" si="109"/>
        <v>0</v>
      </c>
      <c r="AB194" s="92"/>
      <c r="AC194" s="91"/>
      <c r="AD194" s="92"/>
      <c r="AE194" s="91"/>
      <c r="AF194" s="92"/>
      <c r="AG194" s="91"/>
      <c r="AH194" s="92"/>
      <c r="AI194" s="91"/>
      <c r="AJ194" s="92"/>
      <c r="AK194" s="91"/>
      <c r="AL194" s="92"/>
      <c r="AM194" s="91"/>
      <c r="AN194" s="92"/>
      <c r="AO194" s="91"/>
      <c r="AP194" s="92"/>
      <c r="AQ194" s="91"/>
    </row>
    <row r="195" spans="1:43" ht="16.5" thickBot="1" x14ac:dyDescent="0.3">
      <c r="A195" s="287">
        <v>505015</v>
      </c>
      <c r="B195" s="288" t="s">
        <v>95</v>
      </c>
      <c r="C195" s="121">
        <v>256</v>
      </c>
      <c r="D195" s="121">
        <f t="shared" si="115"/>
        <v>256</v>
      </c>
      <c r="E195" s="121">
        <f t="shared" si="116"/>
        <v>256</v>
      </c>
      <c r="F195" s="121">
        <f t="shared" si="117"/>
        <v>256</v>
      </c>
      <c r="G195" s="121">
        <f t="shared" si="94"/>
        <v>256</v>
      </c>
      <c r="H195" s="121">
        <f t="shared" si="95"/>
        <v>256</v>
      </c>
      <c r="I195" s="121">
        <f t="shared" si="96"/>
        <v>256</v>
      </c>
      <c r="J195" s="121">
        <f t="shared" si="97"/>
        <v>256</v>
      </c>
      <c r="K195" s="121">
        <f t="shared" si="98"/>
        <v>256</v>
      </c>
      <c r="L195" s="121">
        <f t="shared" si="99"/>
        <v>256</v>
      </c>
      <c r="M195" s="121">
        <f t="shared" si="100"/>
        <v>256</v>
      </c>
      <c r="N195" s="121">
        <f t="shared" si="101"/>
        <v>256</v>
      </c>
      <c r="O195" s="296">
        <f t="shared" si="102"/>
        <v>256</v>
      </c>
      <c r="P195" s="399">
        <f t="shared" si="105"/>
        <v>256</v>
      </c>
      <c r="Q195" s="308"/>
      <c r="R195" s="229"/>
      <c r="S195" s="91"/>
      <c r="T195" s="92">
        <f>+MEXIDELI!M21</f>
        <v>0</v>
      </c>
      <c r="U195" s="91"/>
      <c r="V195" s="92">
        <f>+MEXIDELI!R21</f>
        <v>975</v>
      </c>
      <c r="W195" s="91">
        <f t="shared" si="108"/>
        <v>249600</v>
      </c>
      <c r="X195" s="92">
        <f>+MEXIDELI!W21</f>
        <v>818</v>
      </c>
      <c r="Y195" s="91">
        <f t="shared" si="103"/>
        <v>209408</v>
      </c>
      <c r="Z195" s="92">
        <f>+MEXIDELI!AB21</f>
        <v>811</v>
      </c>
      <c r="AA195" s="91">
        <f t="shared" si="109"/>
        <v>207616</v>
      </c>
      <c r="AB195" s="92"/>
      <c r="AC195" s="91"/>
      <c r="AD195" s="92"/>
      <c r="AE195" s="91"/>
      <c r="AF195" s="92"/>
      <c r="AG195" s="91"/>
      <c r="AH195" s="92"/>
      <c r="AI195" s="91"/>
      <c r="AJ195" s="92"/>
      <c r="AK195" s="91"/>
      <c r="AL195" s="92"/>
      <c r="AM195" s="91"/>
      <c r="AN195" s="92"/>
      <c r="AO195" s="91"/>
      <c r="AP195" s="92"/>
      <c r="AQ195" s="91"/>
    </row>
    <row r="196" spans="1:43" hidden="1" x14ac:dyDescent="0.25">
      <c r="A196" s="243"/>
      <c r="B196" s="244"/>
      <c r="C196" s="121"/>
      <c r="D196" s="121">
        <f t="shared" si="115"/>
        <v>0</v>
      </c>
      <c r="E196" s="121">
        <f t="shared" si="116"/>
        <v>0</v>
      </c>
      <c r="F196" s="121">
        <f t="shared" si="117"/>
        <v>0</v>
      </c>
      <c r="G196" s="121">
        <f t="shared" si="94"/>
        <v>0</v>
      </c>
      <c r="H196" s="121">
        <f t="shared" si="95"/>
        <v>0</v>
      </c>
      <c r="I196" s="121">
        <f t="shared" si="96"/>
        <v>0</v>
      </c>
      <c r="J196" s="121">
        <f t="shared" si="97"/>
        <v>0</v>
      </c>
      <c r="K196" s="121">
        <f t="shared" si="98"/>
        <v>0</v>
      </c>
      <c r="L196" s="121">
        <f t="shared" si="99"/>
        <v>0</v>
      </c>
      <c r="M196" s="121">
        <f t="shared" si="100"/>
        <v>0</v>
      </c>
      <c r="N196" s="121">
        <f t="shared" si="101"/>
        <v>0</v>
      </c>
      <c r="O196" s="296">
        <f t="shared" si="102"/>
        <v>0</v>
      </c>
      <c r="P196" s="399">
        <f t="shared" si="105"/>
        <v>0</v>
      </c>
      <c r="Q196" s="308"/>
      <c r="R196" s="229"/>
      <c r="S196" s="91"/>
      <c r="T196" s="92"/>
      <c r="U196" s="91"/>
      <c r="V196" s="92">
        <f>+MEXIDELI!R22</f>
        <v>0</v>
      </c>
      <c r="W196" s="91"/>
      <c r="X196" s="92"/>
      <c r="Y196" s="91"/>
      <c r="Z196" s="92">
        <f>+MEXIDELI!AB22</f>
        <v>0</v>
      </c>
      <c r="AA196" s="91">
        <f t="shared" si="109"/>
        <v>0</v>
      </c>
      <c r="AB196" s="92"/>
      <c r="AC196" s="91"/>
      <c r="AD196" s="92"/>
      <c r="AE196" s="91"/>
      <c r="AF196" s="92"/>
      <c r="AG196" s="91"/>
      <c r="AH196" s="92"/>
      <c r="AI196" s="91"/>
      <c r="AJ196" s="92"/>
      <c r="AK196" s="91"/>
      <c r="AL196" s="92"/>
      <c r="AM196" s="91"/>
      <c r="AN196" s="92"/>
      <c r="AO196" s="91"/>
      <c r="AP196" s="92"/>
      <c r="AQ196" s="91"/>
    </row>
    <row r="197" spans="1:43" ht="16.5" hidden="1" thickBot="1" x14ac:dyDescent="0.3">
      <c r="A197" s="243"/>
      <c r="B197" s="244"/>
      <c r="C197" s="121"/>
      <c r="D197" s="121">
        <f>+C197</f>
        <v>0</v>
      </c>
      <c r="E197" s="121">
        <f t="shared" si="116"/>
        <v>0</v>
      </c>
      <c r="F197" s="121">
        <f t="shared" si="117"/>
        <v>0</v>
      </c>
      <c r="G197" s="121">
        <f t="shared" si="94"/>
        <v>0</v>
      </c>
      <c r="H197" s="121">
        <f t="shared" si="95"/>
        <v>0</v>
      </c>
      <c r="I197" s="121">
        <f t="shared" si="96"/>
        <v>0</v>
      </c>
      <c r="J197" s="121">
        <f t="shared" si="97"/>
        <v>0</v>
      </c>
      <c r="K197" s="121">
        <f t="shared" si="98"/>
        <v>0</v>
      </c>
      <c r="L197" s="121">
        <f t="shared" si="99"/>
        <v>0</v>
      </c>
      <c r="M197" s="121">
        <f t="shared" si="100"/>
        <v>0</v>
      </c>
      <c r="N197" s="121">
        <f t="shared" si="101"/>
        <v>0</v>
      </c>
      <c r="O197" s="296">
        <f t="shared" si="102"/>
        <v>0</v>
      </c>
      <c r="P197" s="403">
        <f t="shared" si="105"/>
        <v>0</v>
      </c>
      <c r="Q197" s="308"/>
      <c r="R197" s="229"/>
      <c r="S197" s="91"/>
      <c r="T197" s="92"/>
      <c r="U197" s="91"/>
      <c r="V197" s="92">
        <f>+MEXIDELI!R23</f>
        <v>0</v>
      </c>
      <c r="W197" s="91"/>
      <c r="X197" s="92"/>
      <c r="Y197" s="91"/>
      <c r="Z197" s="92">
        <f>+MEXIDELI!AB23</f>
        <v>0</v>
      </c>
      <c r="AA197" s="91">
        <f t="shared" si="109"/>
        <v>0</v>
      </c>
      <c r="AB197" s="92"/>
      <c r="AC197" s="91"/>
      <c r="AD197" s="92"/>
      <c r="AE197" s="91"/>
      <c r="AF197" s="92"/>
      <c r="AG197" s="91"/>
      <c r="AH197" s="92"/>
      <c r="AI197" s="91"/>
      <c r="AJ197" s="92"/>
      <c r="AK197" s="91"/>
      <c r="AL197" s="92"/>
      <c r="AM197" s="91"/>
      <c r="AN197" s="92"/>
      <c r="AO197" s="91"/>
      <c r="AP197" s="92"/>
      <c r="AQ197" s="91"/>
    </row>
    <row r="198" spans="1:43" ht="30" customHeight="1" thickBot="1" x14ac:dyDescent="0.3">
      <c r="A198" s="645" t="s">
        <v>84</v>
      </c>
      <c r="B198" s="646"/>
      <c r="C198" s="123"/>
      <c r="D198" s="123"/>
      <c r="E198" s="123"/>
      <c r="F198" s="123"/>
      <c r="G198" s="123"/>
      <c r="H198" s="123"/>
      <c r="I198" s="123"/>
      <c r="J198" s="123"/>
      <c r="K198" s="123"/>
      <c r="L198" s="123"/>
      <c r="M198" s="123"/>
      <c r="N198" s="123"/>
      <c r="O198" s="297"/>
      <c r="P198" s="404"/>
      <c r="Q198" s="310"/>
      <c r="R198" s="293">
        <f>+SUM(R177:R197)</f>
        <v>0</v>
      </c>
      <c r="S198" s="117">
        <f>+SUM(S177:S197)</f>
        <v>0</v>
      </c>
      <c r="T198" s="293">
        <f t="shared" ref="T198" si="118">+SUM(T177:T197)</f>
        <v>2048</v>
      </c>
      <c r="U198" s="117">
        <f t="shared" ref="U198" si="119">+SUM(U177:U197)</f>
        <v>631823.1399999999</v>
      </c>
      <c r="V198" s="293">
        <f t="shared" ref="V198" si="120">+SUM(V177:V197)</f>
        <v>5004</v>
      </c>
      <c r="W198" s="117">
        <f t="shared" ref="W198" si="121">+SUM(W177:W197)</f>
        <v>1656006.9999999998</v>
      </c>
      <c r="X198" s="293">
        <f t="shared" ref="X198:Z198" si="122">+SUM(X177:X197)</f>
        <v>3522</v>
      </c>
      <c r="Y198" s="117">
        <f t="shared" ref="Y198:AA198" si="123">+SUM(Y177:Y197)</f>
        <v>1190406.52</v>
      </c>
      <c r="Z198" s="293">
        <f t="shared" si="122"/>
        <v>3025</v>
      </c>
      <c r="AA198" s="117">
        <f t="shared" si="123"/>
        <v>1022972.78</v>
      </c>
      <c r="AB198" s="118"/>
      <c r="AC198" s="117"/>
      <c r="AD198" s="118"/>
      <c r="AE198" s="117"/>
      <c r="AF198" s="118"/>
      <c r="AG198" s="117"/>
      <c r="AH198" s="294"/>
      <c r="AI198" s="294"/>
      <c r="AJ198" s="118"/>
      <c r="AK198" s="117"/>
      <c r="AL198" s="118"/>
      <c r="AM198" s="119"/>
      <c r="AN198" s="293"/>
      <c r="AO198" s="116"/>
      <c r="AP198" s="118"/>
      <c r="AQ198" s="119"/>
    </row>
  </sheetData>
  <mergeCells count="27">
    <mergeCell ref="A113:AQ113"/>
    <mergeCell ref="A70:B70"/>
    <mergeCell ref="A72:B72"/>
    <mergeCell ref="A94:B94"/>
    <mergeCell ref="A112:B112"/>
    <mergeCell ref="A169:B169"/>
    <mergeCell ref="A140:AQ140"/>
    <mergeCell ref="A168:AQ168"/>
    <mergeCell ref="A139:B139"/>
    <mergeCell ref="A141:B141"/>
    <mergeCell ref="A167:B167"/>
    <mergeCell ref="A176:B176"/>
    <mergeCell ref="A198:B198"/>
    <mergeCell ref="A22:B22"/>
    <mergeCell ref="A46:B46"/>
    <mergeCell ref="A24:B24"/>
    <mergeCell ref="A96:B96"/>
    <mergeCell ref="A48:B48"/>
    <mergeCell ref="A23:AQ23"/>
    <mergeCell ref="A47:AQ47"/>
    <mergeCell ref="A71:AQ71"/>
    <mergeCell ref="A95:AQ95"/>
    <mergeCell ref="A114:B114"/>
    <mergeCell ref="A173:B173"/>
    <mergeCell ref="A175:B175"/>
    <mergeCell ref="A172:AQ172"/>
    <mergeCell ref="A171:B171"/>
  </mergeCells>
  <pageMargins left="0.7" right="0.7" top="0.75" bottom="0.75" header="0.3" footer="0.3"/>
  <pageSetup orientation="portrait" r:id="rId1"/>
  <ignoredErrors>
    <ignoredError sqref="D59 D83 E50:E66 E74:E90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C1FB3-08B7-4224-BDCA-2BDDA181CBD2}">
  <dimension ref="A1:O142"/>
  <sheetViews>
    <sheetView zoomScaleNormal="100" workbookViewId="0">
      <pane xSplit="3" ySplit="1" topLeftCell="E2" activePane="bottomRight" state="frozen"/>
      <selection pane="topRight" activeCell="D1" sqref="D1"/>
      <selection pane="bottomLeft" activeCell="A2" sqref="A2"/>
      <selection pane="bottomRight" activeCell="D1" sqref="D1"/>
    </sheetView>
  </sheetViews>
  <sheetFormatPr baseColWidth="10" defaultColWidth="10.7109375" defaultRowHeight="15" x14ac:dyDescent="0.25"/>
  <cols>
    <col min="1" max="1" width="7.42578125" bestFit="1" customWidth="1"/>
    <col min="3" max="3" width="59.42578125" bestFit="1" customWidth="1"/>
    <col min="4" max="4" width="14.140625" style="153" hidden="1" customWidth="1"/>
    <col min="5" max="6" width="11.42578125" style="153"/>
    <col min="7" max="11" width="10.7109375" style="153"/>
    <col min="12" max="12" width="3.140625" style="153" bestFit="1" customWidth="1"/>
    <col min="13" max="13" width="13.85546875" style="172" bestFit="1" customWidth="1"/>
    <col min="14" max="14" width="3" bestFit="1" customWidth="1"/>
    <col min="15" max="15" width="7.85546875" style="191" customWidth="1"/>
  </cols>
  <sheetData>
    <row r="1" spans="1:15" ht="19.5" thickBot="1" x14ac:dyDescent="0.35">
      <c r="A1" s="660" t="s">
        <v>102</v>
      </c>
      <c r="B1" s="661"/>
      <c r="C1" s="662"/>
      <c r="D1" s="159" t="s">
        <v>103</v>
      </c>
      <c r="E1" s="159" t="s">
        <v>104</v>
      </c>
      <c r="F1" s="159" t="s">
        <v>105</v>
      </c>
      <c r="G1" s="159" t="s">
        <v>106</v>
      </c>
      <c r="H1" s="159" t="s">
        <v>107</v>
      </c>
      <c r="I1" s="159" t="s">
        <v>108</v>
      </c>
      <c r="J1" s="159" t="s">
        <v>109</v>
      </c>
      <c r="K1" s="159" t="s">
        <v>110</v>
      </c>
      <c r="L1" s="161"/>
      <c r="M1" s="200" t="s">
        <v>111</v>
      </c>
      <c r="N1" s="161"/>
      <c r="O1" s="181" t="s">
        <v>112</v>
      </c>
    </row>
    <row r="2" spans="1:15" x14ac:dyDescent="0.25">
      <c r="A2" s="657" t="s">
        <v>113</v>
      </c>
      <c r="B2" s="87" t="s">
        <v>52</v>
      </c>
      <c r="C2" s="160" t="s">
        <v>53</v>
      </c>
      <c r="D2" s="162"/>
      <c r="E2" s="162"/>
      <c r="F2" s="162"/>
      <c r="G2" s="162"/>
      <c r="H2" s="162"/>
      <c r="I2" s="221" t="e">
        <f>+CANCÚN!#REF!</f>
        <v>#REF!</v>
      </c>
      <c r="J2" s="221" t="e">
        <f>+CANCÚN!#REF!</f>
        <v>#REF!</v>
      </c>
      <c r="K2" s="221" t="e">
        <f>+CANCÚN!#REF!</f>
        <v>#REF!</v>
      </c>
      <c r="M2" s="201"/>
      <c r="O2" s="183"/>
    </row>
    <row r="3" spans="1:15" x14ac:dyDescent="0.25">
      <c r="A3" s="658"/>
      <c r="B3" s="3">
        <v>802142</v>
      </c>
      <c r="C3" s="7" t="s">
        <v>114</v>
      </c>
      <c r="D3" s="163">
        <v>0.75</v>
      </c>
      <c r="E3" s="164" t="e">
        <f>+CANCÚN!#REF!</f>
        <v>#REF!</v>
      </c>
      <c r="F3" s="164" t="e">
        <f>+CANCÚN!#REF!</f>
        <v>#REF!</v>
      </c>
      <c r="G3" s="164" t="e">
        <f>+CANCÚN!#REF!</f>
        <v>#REF!</v>
      </c>
      <c r="H3" s="164" t="e">
        <f>+CANCÚN!#REF!</f>
        <v>#REF!</v>
      </c>
      <c r="I3" s="221" t="e">
        <f>+CANCÚN!#REF!</f>
        <v>#REF!</v>
      </c>
      <c r="J3" s="221" t="e">
        <f>+CANCÚN!#REF!</f>
        <v>#REF!</v>
      </c>
      <c r="K3" s="221" t="e">
        <f>+CANCÚN!#REF!</f>
        <v>#REF!</v>
      </c>
      <c r="M3" s="202" t="e">
        <f>+AVERAGE(J3,I3,K3)</f>
        <v>#REF!</v>
      </c>
      <c r="O3" s="184" t="e">
        <f>+M3/$M$24</f>
        <v>#REF!</v>
      </c>
    </row>
    <row r="4" spans="1:15" x14ac:dyDescent="0.25">
      <c r="A4" s="658"/>
      <c r="B4" s="3">
        <v>806686</v>
      </c>
      <c r="C4" s="8" t="s">
        <v>115</v>
      </c>
      <c r="D4" s="163"/>
      <c r="E4" s="164" t="e">
        <f>+CANCÚN!#REF!</f>
        <v>#REF!</v>
      </c>
      <c r="F4" s="164" t="e">
        <f>+CANCÚN!#REF!</f>
        <v>#REF!</v>
      </c>
      <c r="G4" s="164" t="e">
        <f>+CANCÚN!#REF!</f>
        <v>#REF!</v>
      </c>
      <c r="H4" s="164" t="e">
        <f>+CANCÚN!#REF!</f>
        <v>#REF!</v>
      </c>
      <c r="I4" s="221" t="e">
        <f>+CANCÚN!#REF!</f>
        <v>#REF!</v>
      </c>
      <c r="J4" s="221" t="e">
        <f>+CANCÚN!#REF!</f>
        <v>#REF!</v>
      </c>
      <c r="K4" s="221" t="e">
        <f>+CANCÚN!#REF!</f>
        <v>#REF!</v>
      </c>
      <c r="M4" s="202" t="e">
        <f t="shared" ref="M4:M22" si="0">+AVERAGE(J4,I4,K4)</f>
        <v>#REF!</v>
      </c>
      <c r="O4" s="184" t="e">
        <f t="shared" ref="O4:O22" si="1">+M4/$M$24</f>
        <v>#REF!</v>
      </c>
    </row>
    <row r="5" spans="1:15" x14ac:dyDescent="0.25">
      <c r="A5" s="658"/>
      <c r="B5" s="3">
        <v>806980</v>
      </c>
      <c r="C5" s="7" t="s">
        <v>116</v>
      </c>
      <c r="D5" s="163"/>
      <c r="E5" s="164" t="e">
        <f>+CANCÚN!#REF!</f>
        <v>#REF!</v>
      </c>
      <c r="F5" s="164" t="e">
        <f>+CANCÚN!#REF!</f>
        <v>#REF!</v>
      </c>
      <c r="G5" s="164" t="e">
        <f>+CANCÚN!#REF!</f>
        <v>#REF!</v>
      </c>
      <c r="H5" s="164" t="e">
        <f>+CANCÚN!#REF!</f>
        <v>#REF!</v>
      </c>
      <c r="I5" s="221" t="e">
        <f>+CANCÚN!#REF!</f>
        <v>#REF!</v>
      </c>
      <c r="J5" s="221" t="e">
        <f>+CANCÚN!#REF!</f>
        <v>#REF!</v>
      </c>
      <c r="K5" s="221" t="e">
        <f>+CANCÚN!#REF!</f>
        <v>#REF!</v>
      </c>
      <c r="M5" s="202" t="e">
        <f t="shared" si="0"/>
        <v>#REF!</v>
      </c>
      <c r="O5" s="184" t="e">
        <f t="shared" si="1"/>
        <v>#REF!</v>
      </c>
    </row>
    <row r="6" spans="1:15" x14ac:dyDescent="0.25">
      <c r="A6" s="658"/>
      <c r="B6" s="3">
        <v>804104</v>
      </c>
      <c r="C6" s="8" t="s">
        <v>54</v>
      </c>
      <c r="D6" s="163">
        <v>147</v>
      </c>
      <c r="E6" s="164">
        <f>+CANCÚN!J3</f>
        <v>56.25</v>
      </c>
      <c r="F6" s="164" t="e">
        <f>+CANCÚN!#REF!</f>
        <v>#REF!</v>
      </c>
      <c r="G6" s="164" t="e">
        <f>+CANCÚN!#REF!</f>
        <v>#REF!</v>
      </c>
      <c r="H6" s="164" t="e">
        <f>+CANCÚN!#REF!</f>
        <v>#REF!</v>
      </c>
      <c r="I6" s="221" t="e">
        <f>+CANCÚN!#REF!</f>
        <v>#REF!</v>
      </c>
      <c r="J6" s="221" t="e">
        <f>+CANCÚN!#REF!</f>
        <v>#REF!</v>
      </c>
      <c r="K6" s="221" t="e">
        <f>+CANCÚN!#REF!</f>
        <v>#REF!</v>
      </c>
      <c r="M6" s="202" t="e">
        <f t="shared" si="0"/>
        <v>#REF!</v>
      </c>
      <c r="O6" s="184" t="e">
        <f t="shared" si="1"/>
        <v>#REF!</v>
      </c>
    </row>
    <row r="7" spans="1:15" x14ac:dyDescent="0.25">
      <c r="A7" s="658"/>
      <c r="B7" s="3">
        <v>805567</v>
      </c>
      <c r="C7" s="7" t="s">
        <v>55</v>
      </c>
      <c r="D7" s="163">
        <v>1</v>
      </c>
      <c r="E7" s="164">
        <f>+CANCÚN!J4</f>
        <v>0</v>
      </c>
      <c r="F7" s="164" t="e">
        <f>+CANCÚN!#REF!</f>
        <v>#REF!</v>
      </c>
      <c r="G7" s="164" t="e">
        <f>+CANCÚN!#REF!</f>
        <v>#REF!</v>
      </c>
      <c r="H7" s="164" t="e">
        <f>+CANCÚN!#REF!</f>
        <v>#REF!</v>
      </c>
      <c r="I7" s="221" t="e">
        <f>+CANCÚN!#REF!</f>
        <v>#REF!</v>
      </c>
      <c r="J7" s="221" t="e">
        <f>+CANCÚN!#REF!</f>
        <v>#REF!</v>
      </c>
      <c r="K7" s="221" t="e">
        <f>+CANCÚN!#REF!</f>
        <v>#REF!</v>
      </c>
      <c r="M7" s="202" t="e">
        <f t="shared" si="0"/>
        <v>#REF!</v>
      </c>
      <c r="O7" s="184" t="e">
        <f t="shared" si="1"/>
        <v>#REF!</v>
      </c>
    </row>
    <row r="8" spans="1:15" x14ac:dyDescent="0.25">
      <c r="A8" s="658"/>
      <c r="B8" s="3">
        <v>806982</v>
      </c>
      <c r="C8" s="8" t="s">
        <v>117</v>
      </c>
      <c r="D8" s="163">
        <v>20</v>
      </c>
      <c r="E8" s="164" t="e">
        <f>+CANCÚN!#REF!</f>
        <v>#REF!</v>
      </c>
      <c r="F8" s="164" t="e">
        <f>+CANCÚN!#REF!</f>
        <v>#REF!</v>
      </c>
      <c r="G8" s="164" t="e">
        <f>+CANCÚN!#REF!</f>
        <v>#REF!</v>
      </c>
      <c r="H8" s="164" t="e">
        <f>+CANCÚN!#REF!</f>
        <v>#REF!</v>
      </c>
      <c r="I8" s="221" t="e">
        <f>+CANCÚN!#REF!</f>
        <v>#REF!</v>
      </c>
      <c r="J8" s="221" t="e">
        <f>+CANCÚN!#REF!</f>
        <v>#REF!</v>
      </c>
      <c r="K8" s="221" t="e">
        <f>+CANCÚN!#REF!</f>
        <v>#REF!</v>
      </c>
      <c r="M8" s="202" t="e">
        <f t="shared" si="0"/>
        <v>#REF!</v>
      </c>
      <c r="O8" s="184" t="e">
        <f t="shared" si="1"/>
        <v>#REF!</v>
      </c>
    </row>
    <row r="9" spans="1:15" x14ac:dyDescent="0.25">
      <c r="A9" s="658"/>
      <c r="B9" s="3">
        <v>803572</v>
      </c>
      <c r="C9" s="7" t="s">
        <v>118</v>
      </c>
      <c r="D9" s="163"/>
      <c r="E9" s="164" t="e">
        <f>+CANCÚN!#REF!</f>
        <v>#REF!</v>
      </c>
      <c r="F9" s="164" t="e">
        <f>+CANCÚN!#REF!</f>
        <v>#REF!</v>
      </c>
      <c r="G9" s="164" t="e">
        <f>+CANCÚN!#REF!</f>
        <v>#REF!</v>
      </c>
      <c r="H9" s="164" t="e">
        <f>+CANCÚN!#REF!</f>
        <v>#REF!</v>
      </c>
      <c r="I9" s="221" t="e">
        <f>+CANCÚN!#REF!</f>
        <v>#REF!</v>
      </c>
      <c r="J9" s="221" t="e">
        <f>+CANCÚN!#REF!</f>
        <v>#REF!</v>
      </c>
      <c r="K9" s="221" t="e">
        <f>+CANCÚN!#REF!</f>
        <v>#REF!</v>
      </c>
      <c r="M9" s="202" t="e">
        <f t="shared" si="0"/>
        <v>#REF!</v>
      </c>
      <c r="O9" s="184" t="e">
        <f t="shared" si="1"/>
        <v>#REF!</v>
      </c>
    </row>
    <row r="10" spans="1:15" x14ac:dyDescent="0.25">
      <c r="A10" s="658"/>
      <c r="B10" s="3">
        <v>260612</v>
      </c>
      <c r="C10" s="8" t="s">
        <v>119</v>
      </c>
      <c r="D10" s="163">
        <v>2</v>
      </c>
      <c r="E10" s="164" t="e">
        <f>+CANCÚN!#REF!</f>
        <v>#REF!</v>
      </c>
      <c r="F10" s="164" t="e">
        <f>+CANCÚN!#REF!</f>
        <v>#REF!</v>
      </c>
      <c r="G10" s="164" t="e">
        <f>+CANCÚN!#REF!</f>
        <v>#REF!</v>
      </c>
      <c r="H10" s="164" t="e">
        <f>+CANCÚN!#REF!</f>
        <v>#REF!</v>
      </c>
      <c r="I10" s="221" t="e">
        <f>+CANCÚN!#REF!</f>
        <v>#REF!</v>
      </c>
      <c r="J10" s="221" t="e">
        <f>+CANCÚN!#REF!</f>
        <v>#REF!</v>
      </c>
      <c r="K10" s="221" t="e">
        <f>+CANCÚN!#REF!</f>
        <v>#REF!</v>
      </c>
      <c r="M10" s="202" t="e">
        <f t="shared" si="0"/>
        <v>#REF!</v>
      </c>
      <c r="O10" s="184" t="e">
        <f t="shared" si="1"/>
        <v>#REF!</v>
      </c>
    </row>
    <row r="11" spans="1:15" x14ac:dyDescent="0.25">
      <c r="A11" s="658"/>
      <c r="B11" s="3">
        <v>803528</v>
      </c>
      <c r="C11" s="7" t="s">
        <v>56</v>
      </c>
      <c r="D11" s="163"/>
      <c r="E11" s="164">
        <f>+CANCÚN!J5</f>
        <v>0</v>
      </c>
      <c r="F11" s="164" t="e">
        <f>+CANCÚN!#REF!</f>
        <v>#REF!</v>
      </c>
      <c r="G11" s="164" t="e">
        <f>+CANCÚN!#REF!</f>
        <v>#REF!</v>
      </c>
      <c r="H11" s="164" t="e">
        <f>+CANCÚN!#REF!</f>
        <v>#REF!</v>
      </c>
      <c r="I11" s="221" t="e">
        <f>+CANCÚN!#REF!</f>
        <v>#REF!</v>
      </c>
      <c r="J11" s="221" t="e">
        <f>+CANCÚN!#REF!</f>
        <v>#REF!</v>
      </c>
      <c r="K11" s="221" t="e">
        <f>+CANCÚN!#REF!</f>
        <v>#REF!</v>
      </c>
      <c r="M11" s="202" t="e">
        <f t="shared" si="0"/>
        <v>#REF!</v>
      </c>
      <c r="O11" s="184" t="e">
        <f t="shared" si="1"/>
        <v>#REF!</v>
      </c>
    </row>
    <row r="12" spans="1:15" ht="15.75" thickBot="1" x14ac:dyDescent="0.3">
      <c r="A12" s="658"/>
      <c r="B12" s="2">
        <v>806685</v>
      </c>
      <c r="C12" s="53" t="s">
        <v>57</v>
      </c>
      <c r="D12" s="165">
        <v>37</v>
      </c>
      <c r="E12" s="164">
        <f>+CANCÚN!J6</f>
        <v>51</v>
      </c>
      <c r="F12" s="164" t="e">
        <f>+CANCÚN!#REF!</f>
        <v>#REF!</v>
      </c>
      <c r="G12" s="164" t="e">
        <f>+CANCÚN!#REF!</f>
        <v>#REF!</v>
      </c>
      <c r="H12" s="164" t="e">
        <f>+CANCÚN!#REF!</f>
        <v>#REF!</v>
      </c>
      <c r="I12" s="221" t="e">
        <f>+CANCÚN!#REF!</f>
        <v>#REF!</v>
      </c>
      <c r="J12" s="221" t="e">
        <f>+CANCÚN!#REF!</f>
        <v>#REF!</v>
      </c>
      <c r="K12" s="221" t="e">
        <f>+CANCÚN!#REF!</f>
        <v>#REF!</v>
      </c>
      <c r="M12" s="202" t="e">
        <f t="shared" si="0"/>
        <v>#REF!</v>
      </c>
      <c r="O12" s="184" t="e">
        <f t="shared" si="1"/>
        <v>#REF!</v>
      </c>
    </row>
    <row r="13" spans="1:15" ht="15.75" thickBot="1" x14ac:dyDescent="0.3">
      <c r="A13" s="659"/>
      <c r="B13" s="653" t="s">
        <v>120</v>
      </c>
      <c r="C13" s="654"/>
      <c r="D13" s="476">
        <f t="shared" ref="D13" si="2">+SUM(D3:D12)</f>
        <v>207.75</v>
      </c>
      <c r="E13" s="166" t="e">
        <f t="shared" ref="E13:J13" si="3">+SUM(E3:E12)</f>
        <v>#REF!</v>
      </c>
      <c r="F13" s="166" t="e">
        <f t="shared" si="3"/>
        <v>#REF!</v>
      </c>
      <c r="G13" s="166" t="e">
        <f t="shared" si="3"/>
        <v>#REF!</v>
      </c>
      <c r="H13" s="166" t="e">
        <f t="shared" si="3"/>
        <v>#REF!</v>
      </c>
      <c r="I13" s="166" t="e">
        <f t="shared" si="3"/>
        <v>#REF!</v>
      </c>
      <c r="J13" s="166" t="e">
        <f t="shared" si="3"/>
        <v>#REF!</v>
      </c>
      <c r="K13" s="166" t="e">
        <f t="shared" ref="K13" si="4">+SUM(K3:K12)</f>
        <v>#REF!</v>
      </c>
      <c r="M13" s="203" t="e">
        <f>+SUM(M3:M12)</f>
        <v>#REF!</v>
      </c>
      <c r="O13" s="185" t="e">
        <f>SUM(O3:O12)</f>
        <v>#REF!</v>
      </c>
    </row>
    <row r="14" spans="1:15" x14ac:dyDescent="0.25">
      <c r="A14" s="658"/>
      <c r="B14" s="85">
        <v>102013</v>
      </c>
      <c r="C14" s="154" t="s">
        <v>121</v>
      </c>
      <c r="D14" s="162">
        <v>1754.5</v>
      </c>
      <c r="E14" s="162">
        <f>+CANCÚN!J13</f>
        <v>1083.25</v>
      </c>
      <c r="F14" s="162" t="e">
        <f>+CANCÚN!#REF!</f>
        <v>#REF!</v>
      </c>
      <c r="G14" s="162" t="e">
        <f>+CANCÚN!#REF!</f>
        <v>#REF!</v>
      </c>
      <c r="H14" s="162" t="e">
        <f>+CANCÚN!#REF!</f>
        <v>#REF!</v>
      </c>
      <c r="I14" s="162" t="e">
        <f>+CANCÚN!#REF!</f>
        <v>#REF!</v>
      </c>
      <c r="J14" s="221" t="e">
        <f>+CANCÚN!#REF!</f>
        <v>#REF!</v>
      </c>
      <c r="K14" s="221" t="e">
        <f>+CANCÚN!#REF!</f>
        <v>#REF!</v>
      </c>
      <c r="M14" s="202" t="e">
        <f t="shared" si="0"/>
        <v>#REF!</v>
      </c>
      <c r="O14" s="184" t="e">
        <f t="shared" si="1"/>
        <v>#REF!</v>
      </c>
    </row>
    <row r="15" spans="1:15" x14ac:dyDescent="0.25">
      <c r="A15" s="658"/>
      <c r="B15" s="10">
        <v>102211</v>
      </c>
      <c r="C15" s="9" t="s">
        <v>122</v>
      </c>
      <c r="D15" s="163"/>
      <c r="E15" s="162" t="e">
        <f>+CANCÚN!#REF!</f>
        <v>#REF!</v>
      </c>
      <c r="F15" s="162" t="e">
        <f>+CANCÚN!#REF!</f>
        <v>#REF!</v>
      </c>
      <c r="G15" s="162" t="e">
        <f>+CANCÚN!#REF!</f>
        <v>#REF!</v>
      </c>
      <c r="H15" s="162" t="e">
        <f>+CANCÚN!#REF!</f>
        <v>#REF!</v>
      </c>
      <c r="I15" s="162" t="e">
        <f>+CANCÚN!#REF!</f>
        <v>#REF!</v>
      </c>
      <c r="J15" s="221" t="e">
        <f>+CANCÚN!#REF!</f>
        <v>#REF!</v>
      </c>
      <c r="K15" s="221" t="e">
        <f>+CANCÚN!#REF!</f>
        <v>#REF!</v>
      </c>
      <c r="M15" s="202" t="e">
        <f t="shared" si="0"/>
        <v>#REF!</v>
      </c>
      <c r="O15" s="184" t="e">
        <f t="shared" si="1"/>
        <v>#REF!</v>
      </c>
    </row>
    <row r="16" spans="1:15" x14ac:dyDescent="0.25">
      <c r="A16" s="658"/>
      <c r="B16" s="10">
        <v>102341</v>
      </c>
      <c r="C16" s="9" t="s">
        <v>123</v>
      </c>
      <c r="D16" s="163">
        <v>275</v>
      </c>
      <c r="E16" s="162">
        <f>+CANCÚN!J15</f>
        <v>412.25</v>
      </c>
      <c r="F16" s="162" t="e">
        <f>+CANCÚN!#REF!</f>
        <v>#REF!</v>
      </c>
      <c r="G16" s="162" t="e">
        <f>+CANCÚN!#REF!</f>
        <v>#REF!</v>
      </c>
      <c r="H16" s="162" t="e">
        <f>+CANCÚN!#REF!</f>
        <v>#REF!</v>
      </c>
      <c r="I16" s="162" t="e">
        <f>+CANCÚN!#REF!</f>
        <v>#REF!</v>
      </c>
      <c r="J16" s="221" t="e">
        <f>+CANCÚN!#REF!</f>
        <v>#REF!</v>
      </c>
      <c r="K16" s="221" t="e">
        <f>+CANCÚN!#REF!</f>
        <v>#REF!</v>
      </c>
      <c r="M16" s="202" t="e">
        <f t="shared" si="0"/>
        <v>#REF!</v>
      </c>
      <c r="O16" s="184" t="e">
        <f t="shared" si="1"/>
        <v>#REF!</v>
      </c>
    </row>
    <row r="17" spans="1:15" x14ac:dyDescent="0.25">
      <c r="A17" s="658"/>
      <c r="B17" s="10">
        <v>102310</v>
      </c>
      <c r="C17" s="9" t="s">
        <v>124</v>
      </c>
      <c r="D17" s="163"/>
      <c r="E17" s="162">
        <f>+CANCÚN!J16</f>
        <v>25</v>
      </c>
      <c r="F17" s="162" t="e">
        <f>+CANCÚN!#REF!</f>
        <v>#REF!</v>
      </c>
      <c r="G17" s="162" t="e">
        <f>+CANCÚN!#REF!</f>
        <v>#REF!</v>
      </c>
      <c r="H17" s="162" t="e">
        <f>+CANCÚN!#REF!</f>
        <v>#REF!</v>
      </c>
      <c r="I17" s="162" t="e">
        <f>+CANCÚN!#REF!</f>
        <v>#REF!</v>
      </c>
      <c r="J17" s="221" t="e">
        <f>+CANCÚN!#REF!</f>
        <v>#REF!</v>
      </c>
      <c r="K17" s="221" t="e">
        <f>+CANCÚN!#REF!</f>
        <v>#REF!</v>
      </c>
      <c r="M17" s="202" t="e">
        <f t="shared" si="0"/>
        <v>#REF!</v>
      </c>
      <c r="O17" s="184" t="e">
        <f t="shared" si="1"/>
        <v>#REF!</v>
      </c>
    </row>
    <row r="18" spans="1:15" x14ac:dyDescent="0.25">
      <c r="A18" s="658"/>
      <c r="B18" s="10">
        <v>114054</v>
      </c>
      <c r="C18" s="9" t="s">
        <v>125</v>
      </c>
      <c r="D18" s="163">
        <v>35.75</v>
      </c>
      <c r="E18" s="162">
        <f>+CANCÚN!J17</f>
        <v>0</v>
      </c>
      <c r="F18" s="162" t="e">
        <f>+CANCÚN!#REF!</f>
        <v>#REF!</v>
      </c>
      <c r="G18" s="162" t="e">
        <f>+CANCÚN!#REF!</f>
        <v>#REF!</v>
      </c>
      <c r="H18" s="162" t="e">
        <f>+CANCÚN!#REF!</f>
        <v>#REF!</v>
      </c>
      <c r="I18" s="162" t="e">
        <f>+CANCÚN!#REF!</f>
        <v>#REF!</v>
      </c>
      <c r="J18" s="221" t="e">
        <f>+CANCÚN!#REF!</f>
        <v>#REF!</v>
      </c>
      <c r="K18" s="221" t="e">
        <f>+CANCÚN!#REF!</f>
        <v>#REF!</v>
      </c>
      <c r="M18" s="202" t="e">
        <f t="shared" si="0"/>
        <v>#REF!</v>
      </c>
      <c r="O18" s="184" t="e">
        <f t="shared" si="1"/>
        <v>#REF!</v>
      </c>
    </row>
    <row r="19" spans="1:15" x14ac:dyDescent="0.25">
      <c r="A19" s="658"/>
      <c r="B19" s="10">
        <v>111435</v>
      </c>
      <c r="C19" s="9" t="s">
        <v>126</v>
      </c>
      <c r="D19" s="163"/>
      <c r="E19" s="162" t="e">
        <f>+CANCÚN!#REF!</f>
        <v>#REF!</v>
      </c>
      <c r="F19" s="162" t="e">
        <f>+CANCÚN!#REF!</f>
        <v>#REF!</v>
      </c>
      <c r="G19" s="162" t="e">
        <f>+CANCÚN!#REF!</f>
        <v>#REF!</v>
      </c>
      <c r="H19" s="162" t="e">
        <f>+CANCÚN!#REF!</f>
        <v>#REF!</v>
      </c>
      <c r="I19" s="162" t="e">
        <f>+CANCÚN!#REF!</f>
        <v>#REF!</v>
      </c>
      <c r="J19" s="221" t="e">
        <f>+CANCÚN!#REF!</f>
        <v>#REF!</v>
      </c>
      <c r="K19" s="221" t="e">
        <f>+CANCÚN!#REF!</f>
        <v>#REF!</v>
      </c>
      <c r="M19" s="202" t="e">
        <f t="shared" si="0"/>
        <v>#REF!</v>
      </c>
      <c r="O19" s="184" t="e">
        <f t="shared" si="1"/>
        <v>#REF!</v>
      </c>
    </row>
    <row r="20" spans="1:15" x14ac:dyDescent="0.25">
      <c r="A20" s="658"/>
      <c r="B20" s="10">
        <v>118700</v>
      </c>
      <c r="C20" s="9" t="s">
        <v>127</v>
      </c>
      <c r="D20" s="163"/>
      <c r="E20" s="162" t="e">
        <f>+CANCÚN!#REF!</f>
        <v>#REF!</v>
      </c>
      <c r="F20" s="162" t="e">
        <f>+CANCÚN!#REF!</f>
        <v>#REF!</v>
      </c>
      <c r="G20" s="162" t="e">
        <f>+CANCÚN!#REF!</f>
        <v>#REF!</v>
      </c>
      <c r="H20" s="162" t="e">
        <f>+CANCÚN!#REF!</f>
        <v>#REF!</v>
      </c>
      <c r="I20" s="162" t="e">
        <f>+CANCÚN!#REF!</f>
        <v>#REF!</v>
      </c>
      <c r="J20" s="221" t="e">
        <f>+CANCÚN!#REF!</f>
        <v>#REF!</v>
      </c>
      <c r="K20" s="221" t="e">
        <f>+CANCÚN!#REF!</f>
        <v>#REF!</v>
      </c>
      <c r="M20" s="202" t="e">
        <f t="shared" si="0"/>
        <v>#REF!</v>
      </c>
      <c r="O20" s="184" t="e">
        <f t="shared" si="1"/>
        <v>#REF!</v>
      </c>
    </row>
    <row r="21" spans="1:15" x14ac:dyDescent="0.25">
      <c r="A21" s="658"/>
      <c r="B21" s="10">
        <v>102419</v>
      </c>
      <c r="C21" s="9" t="s">
        <v>128</v>
      </c>
      <c r="D21" s="163">
        <v>64</v>
      </c>
      <c r="E21" s="162">
        <f>+CANCÚN!J18</f>
        <v>0</v>
      </c>
      <c r="F21" s="162" t="e">
        <f>+CANCÚN!#REF!</f>
        <v>#REF!</v>
      </c>
      <c r="G21" s="162" t="e">
        <f>+CANCÚN!#REF!</f>
        <v>#REF!</v>
      </c>
      <c r="H21" s="162" t="e">
        <f>+CANCÚN!#REF!</f>
        <v>#REF!</v>
      </c>
      <c r="I21" s="162" t="e">
        <f>+CANCÚN!#REF!</f>
        <v>#REF!</v>
      </c>
      <c r="J21" s="221" t="e">
        <f>+CANCÚN!#REF!</f>
        <v>#REF!</v>
      </c>
      <c r="K21" s="221" t="e">
        <f>+CANCÚN!#REF!</f>
        <v>#REF!</v>
      </c>
      <c r="M21" s="202" t="e">
        <f t="shared" si="0"/>
        <v>#REF!</v>
      </c>
      <c r="O21" s="184" t="e">
        <f t="shared" si="1"/>
        <v>#REF!</v>
      </c>
    </row>
    <row r="22" spans="1:15" ht="15.75" thickBot="1" x14ac:dyDescent="0.3">
      <c r="A22" s="658"/>
      <c r="B22" s="21">
        <v>105632</v>
      </c>
      <c r="C22" s="54" t="s">
        <v>129</v>
      </c>
      <c r="D22" s="165"/>
      <c r="E22" s="162">
        <f>+CANCÚN!J19</f>
        <v>33</v>
      </c>
      <c r="F22" s="162" t="e">
        <f>+CANCÚN!#REF!</f>
        <v>#REF!</v>
      </c>
      <c r="G22" s="162" t="e">
        <f>+CANCÚN!#REF!</f>
        <v>#REF!</v>
      </c>
      <c r="H22" s="162" t="e">
        <f>+CANCÚN!#REF!</f>
        <v>#REF!</v>
      </c>
      <c r="I22" s="162" t="e">
        <f>+CANCÚN!#REF!</f>
        <v>#REF!</v>
      </c>
      <c r="J22" s="221" t="e">
        <f>+CANCÚN!#REF!</f>
        <v>#REF!</v>
      </c>
      <c r="K22" s="221" t="e">
        <f>+CANCÚN!#REF!</f>
        <v>#REF!</v>
      </c>
      <c r="M22" s="202" t="e">
        <f t="shared" si="0"/>
        <v>#REF!</v>
      </c>
      <c r="O22" s="184" t="e">
        <f t="shared" si="1"/>
        <v>#REF!</v>
      </c>
    </row>
    <row r="23" spans="1:15" ht="15.75" thickBot="1" x14ac:dyDescent="0.3">
      <c r="A23" s="659"/>
      <c r="B23" s="655" t="s">
        <v>130</v>
      </c>
      <c r="C23" s="656"/>
      <c r="D23" s="476">
        <f t="shared" ref="D23" si="5">+SUM(D14:D22)</f>
        <v>2129.25</v>
      </c>
      <c r="E23" s="475" t="e">
        <f t="shared" ref="E23:J23" si="6">+SUM(E14:E22)</f>
        <v>#REF!</v>
      </c>
      <c r="F23" s="475" t="e">
        <f t="shared" si="6"/>
        <v>#REF!</v>
      </c>
      <c r="G23" s="475" t="e">
        <f t="shared" si="6"/>
        <v>#REF!</v>
      </c>
      <c r="H23" s="475" t="e">
        <f t="shared" si="6"/>
        <v>#REF!</v>
      </c>
      <c r="I23" s="475" t="e">
        <f t="shared" si="6"/>
        <v>#REF!</v>
      </c>
      <c r="J23" s="475" t="e">
        <f t="shared" si="6"/>
        <v>#REF!</v>
      </c>
      <c r="K23" s="475" t="e">
        <f t="shared" ref="K23" si="7">+SUM(K14:K22)</f>
        <v>#REF!</v>
      </c>
      <c r="M23" s="203" t="e">
        <f>+SUM(M14:M22)</f>
        <v>#REF!</v>
      </c>
      <c r="O23" s="185" t="e">
        <f>SUM(O14:O22)</f>
        <v>#REF!</v>
      </c>
    </row>
    <row r="24" spans="1:15" ht="15.75" thickBot="1" x14ac:dyDescent="0.3">
      <c r="A24" s="659"/>
      <c r="B24" s="663" t="s">
        <v>131</v>
      </c>
      <c r="C24" s="664"/>
      <c r="D24" s="167">
        <f t="shared" ref="D24:M24" si="8">+D23+D13</f>
        <v>2337</v>
      </c>
      <c r="E24" s="167" t="e">
        <f t="shared" si="8"/>
        <v>#REF!</v>
      </c>
      <c r="F24" s="167" t="e">
        <f t="shared" si="8"/>
        <v>#REF!</v>
      </c>
      <c r="G24" s="167" t="e">
        <f t="shared" ref="G24:H24" si="9">+G23+G13</f>
        <v>#REF!</v>
      </c>
      <c r="H24" s="167" t="e">
        <f t="shared" si="9"/>
        <v>#REF!</v>
      </c>
      <c r="I24" s="167" t="e">
        <f t="shared" ref="I24:J24" si="10">+I23+I13</f>
        <v>#REF!</v>
      </c>
      <c r="J24" s="167" t="e">
        <f t="shared" si="10"/>
        <v>#REF!</v>
      </c>
      <c r="K24" s="167" t="e">
        <f t="shared" ref="K24" si="11">+K23+K13</f>
        <v>#REF!</v>
      </c>
      <c r="M24" s="204" t="e">
        <f t="shared" si="8"/>
        <v>#REF!</v>
      </c>
      <c r="O24" s="186" t="e">
        <f>+O23+O13</f>
        <v>#REF!</v>
      </c>
    </row>
    <row r="25" spans="1:15" x14ac:dyDescent="0.25">
      <c r="A25" s="669" t="s">
        <v>132</v>
      </c>
      <c r="B25" s="155" t="s">
        <v>52</v>
      </c>
      <c r="C25" s="156" t="s">
        <v>53</v>
      </c>
      <c r="D25" s="162"/>
      <c r="E25" s="163"/>
      <c r="F25" s="163"/>
      <c r="G25" s="163"/>
      <c r="H25" s="163"/>
      <c r="I25" s="163"/>
      <c r="J25" s="163"/>
      <c r="K25" s="163"/>
      <c r="M25" s="202"/>
      <c r="O25" s="184"/>
    </row>
    <row r="26" spans="1:15" x14ac:dyDescent="0.25">
      <c r="A26" s="669"/>
      <c r="B26" s="3">
        <v>806685</v>
      </c>
      <c r="C26" s="11" t="s">
        <v>57</v>
      </c>
      <c r="D26" s="163">
        <v>1362</v>
      </c>
      <c r="E26" s="86" t="e">
        <f>+'RESUMEN CDMX'!#REF!+#REF!</f>
        <v>#REF!</v>
      </c>
      <c r="F26" s="86" t="e">
        <f>+'RESUMEN CDMX'!#REF!+#REF!</f>
        <v>#REF!</v>
      </c>
      <c r="G26" s="86" t="e">
        <f>+'RESUMEN CDMX'!#REF!+#REF!</f>
        <v>#REF!</v>
      </c>
      <c r="H26" s="86" t="e">
        <f>+'RESUMEN CDMX'!#REF!+#REF!</f>
        <v>#REF!</v>
      </c>
      <c r="I26" s="86" t="e">
        <f>+'RESUMEN CDMX'!#REF!+#REF!</f>
        <v>#REF!</v>
      </c>
      <c r="J26" s="86" t="e">
        <f>+'RESUMEN CDMX'!#REF!+#REF!</f>
        <v>#REF!</v>
      </c>
      <c r="K26" s="86" t="e">
        <f>+'RESUMEN CDMX'!#REF!+#REF!</f>
        <v>#REF!</v>
      </c>
      <c r="M26" s="202" t="e">
        <f t="shared" ref="M26:M42" si="12">+AVERAGE(J26,I26,K26)</f>
        <v>#REF!</v>
      </c>
      <c r="O26" s="184" t="e">
        <f>+M26/$M$44</f>
        <v>#REF!</v>
      </c>
    </row>
    <row r="27" spans="1:15" x14ac:dyDescent="0.25">
      <c r="A27" s="669"/>
      <c r="B27" s="3">
        <v>806939</v>
      </c>
      <c r="C27" s="11" t="s">
        <v>67</v>
      </c>
      <c r="D27" s="163">
        <v>179</v>
      </c>
      <c r="E27" s="86" t="e">
        <f>+'RESUMEN CDMX'!#REF!+#REF!+#REF!</f>
        <v>#REF!</v>
      </c>
      <c r="F27" s="86" t="e">
        <f>+'RESUMEN CDMX'!#REF!+#REF!+#REF!</f>
        <v>#REF!</v>
      </c>
      <c r="G27" s="86" t="e">
        <f>+'RESUMEN CDMX'!#REF!+#REF!+#REF!</f>
        <v>#REF!</v>
      </c>
      <c r="H27" s="86" t="e">
        <f>+'RESUMEN CDMX'!#REF!+#REF!+#REF!</f>
        <v>#REF!</v>
      </c>
      <c r="I27" s="86" t="e">
        <f>+'RESUMEN CDMX'!#REF!+#REF!+#REF!</f>
        <v>#REF!</v>
      </c>
      <c r="J27" s="86" t="e">
        <f>+'RESUMEN CDMX'!#REF!+#REF!+#REF!</f>
        <v>#REF!</v>
      </c>
      <c r="K27" s="86" t="e">
        <f>+'RESUMEN CDMX'!#REF!+#REF!+#REF!</f>
        <v>#REF!</v>
      </c>
      <c r="M27" s="202" t="e">
        <f t="shared" si="12"/>
        <v>#REF!</v>
      </c>
      <c r="O27" s="184" t="e">
        <f t="shared" ref="O27:O42" si="13">+M27/$M$44</f>
        <v>#REF!</v>
      </c>
    </row>
    <row r="28" spans="1:15" x14ac:dyDescent="0.25">
      <c r="A28" s="669"/>
      <c r="B28" s="3">
        <v>806694</v>
      </c>
      <c r="C28" s="11" t="s">
        <v>68</v>
      </c>
      <c r="D28" s="163"/>
      <c r="E28" s="86" t="e">
        <f>+'RESUMEN CDMX'!#REF!+#REF!</f>
        <v>#REF!</v>
      </c>
      <c r="F28" s="86" t="e">
        <f>+'RESUMEN CDMX'!#REF!+#REF!</f>
        <v>#REF!</v>
      </c>
      <c r="G28" s="86" t="e">
        <f>+'RESUMEN CDMX'!#REF!+#REF!</f>
        <v>#REF!</v>
      </c>
      <c r="H28" s="86" t="e">
        <f>+'RESUMEN CDMX'!#REF!+#REF!</f>
        <v>#REF!</v>
      </c>
      <c r="I28" s="86" t="e">
        <f>+'RESUMEN CDMX'!#REF!+#REF!</f>
        <v>#REF!</v>
      </c>
      <c r="J28" s="86" t="e">
        <f>+'RESUMEN CDMX'!#REF!+#REF!</f>
        <v>#REF!</v>
      </c>
      <c r="K28" s="86" t="e">
        <f>+'RESUMEN CDMX'!#REF!+#REF!</f>
        <v>#REF!</v>
      </c>
      <c r="M28" s="202" t="e">
        <f t="shared" si="12"/>
        <v>#REF!</v>
      </c>
      <c r="O28" s="184" t="e">
        <f t="shared" si="13"/>
        <v>#REF!</v>
      </c>
    </row>
    <row r="29" spans="1:15" x14ac:dyDescent="0.25">
      <c r="A29" s="669"/>
      <c r="B29" s="3">
        <v>802142</v>
      </c>
      <c r="C29" s="11" t="s">
        <v>133</v>
      </c>
      <c r="D29" s="163"/>
      <c r="E29" s="86" t="e">
        <f>+'RESUMEN CDMX'!#REF!+#REF!</f>
        <v>#REF!</v>
      </c>
      <c r="F29" s="86" t="e">
        <f>+'RESUMEN CDMX'!#REF!+#REF!</f>
        <v>#REF!</v>
      </c>
      <c r="G29" s="86" t="e">
        <f>+'RESUMEN CDMX'!#REF!+#REF!</f>
        <v>#REF!</v>
      </c>
      <c r="H29" s="86" t="e">
        <f>+'RESUMEN CDMX'!#REF!+#REF!</f>
        <v>#REF!</v>
      </c>
      <c r="I29" s="86" t="e">
        <f>+'RESUMEN CDMX'!#REF!+#REF!</f>
        <v>#REF!</v>
      </c>
      <c r="J29" s="86" t="e">
        <f>+'RESUMEN CDMX'!#REF!+#REF!</f>
        <v>#REF!</v>
      </c>
      <c r="K29" s="86" t="e">
        <f>+'RESUMEN CDMX'!#REF!+#REF!</f>
        <v>#REF!</v>
      </c>
      <c r="M29" s="202" t="e">
        <f t="shared" si="12"/>
        <v>#REF!</v>
      </c>
      <c r="O29" s="184" t="e">
        <f t="shared" si="13"/>
        <v>#REF!</v>
      </c>
    </row>
    <row r="30" spans="1:15" x14ac:dyDescent="0.25">
      <c r="A30" s="669"/>
      <c r="B30" s="3">
        <v>804104</v>
      </c>
      <c r="C30" s="11" t="s">
        <v>134</v>
      </c>
      <c r="D30" s="163"/>
      <c r="E30" s="86" t="e">
        <f>+'RESUMEN CDMX'!#REF!+#REF!</f>
        <v>#REF!</v>
      </c>
      <c r="F30" s="86" t="e">
        <f>+'RESUMEN CDMX'!#REF!+#REF!</f>
        <v>#REF!</v>
      </c>
      <c r="G30" s="86" t="e">
        <f>+'RESUMEN CDMX'!#REF!+#REF!</f>
        <v>#REF!</v>
      </c>
      <c r="H30" s="86" t="e">
        <f>+'RESUMEN CDMX'!#REF!+#REF!</f>
        <v>#REF!</v>
      </c>
      <c r="I30" s="86" t="e">
        <f>+'RESUMEN CDMX'!#REF!+#REF!</f>
        <v>#REF!</v>
      </c>
      <c r="J30" s="86" t="e">
        <f>+'RESUMEN CDMX'!#REF!+#REF!</f>
        <v>#REF!</v>
      </c>
      <c r="K30" s="86" t="e">
        <f>+'RESUMEN CDMX'!#REF!+#REF!</f>
        <v>#REF!</v>
      </c>
      <c r="M30" s="202" t="e">
        <f t="shared" si="12"/>
        <v>#REF!</v>
      </c>
      <c r="O30" s="184" t="e">
        <f t="shared" si="13"/>
        <v>#REF!</v>
      </c>
    </row>
    <row r="31" spans="1:15" x14ac:dyDescent="0.25">
      <c r="A31" s="669"/>
      <c r="B31" s="3">
        <v>801754</v>
      </c>
      <c r="C31" s="11" t="s">
        <v>135</v>
      </c>
      <c r="D31" s="163"/>
      <c r="E31" s="86" t="e">
        <f>+'RESUMEN CDMX'!#REF!+#REF!</f>
        <v>#REF!</v>
      </c>
      <c r="F31" s="86" t="e">
        <f>+'RESUMEN CDMX'!#REF!+#REF!</f>
        <v>#REF!</v>
      </c>
      <c r="G31" s="86" t="e">
        <f>+'RESUMEN CDMX'!#REF!+#REF!</f>
        <v>#REF!</v>
      </c>
      <c r="H31" s="86" t="e">
        <f>+'RESUMEN CDMX'!#REF!+#REF!</f>
        <v>#REF!</v>
      </c>
      <c r="I31" s="86" t="e">
        <f>+'RESUMEN CDMX'!#REF!+#REF!</f>
        <v>#REF!</v>
      </c>
      <c r="J31" s="86" t="e">
        <f>+'RESUMEN CDMX'!#REF!+#REF!</f>
        <v>#REF!</v>
      </c>
      <c r="K31" s="86" t="e">
        <f>+'RESUMEN CDMX'!#REF!+#REF!</f>
        <v>#REF!</v>
      </c>
      <c r="M31" s="202" t="e">
        <f t="shared" si="12"/>
        <v>#REF!</v>
      </c>
      <c r="O31" s="184" t="e">
        <f t="shared" si="13"/>
        <v>#REF!</v>
      </c>
    </row>
    <row r="32" spans="1:15" x14ac:dyDescent="0.25">
      <c r="A32" s="669"/>
      <c r="B32" s="3">
        <v>807057</v>
      </c>
      <c r="C32" s="11" t="s">
        <v>136</v>
      </c>
      <c r="D32" s="163"/>
      <c r="E32" s="86" t="e">
        <f>+'RESUMEN CDMX'!#REF!+#REF!</f>
        <v>#REF!</v>
      </c>
      <c r="F32" s="86" t="e">
        <f>+'RESUMEN CDMX'!#REF!+#REF!</f>
        <v>#REF!</v>
      </c>
      <c r="G32" s="86" t="e">
        <f>+'RESUMEN CDMX'!#REF!+#REF!</f>
        <v>#REF!</v>
      </c>
      <c r="H32" s="86" t="e">
        <f>+'RESUMEN CDMX'!#REF!+#REF!</f>
        <v>#REF!</v>
      </c>
      <c r="I32" s="86" t="e">
        <f>+'RESUMEN CDMX'!#REF!+#REF!</f>
        <v>#REF!</v>
      </c>
      <c r="J32" s="86" t="e">
        <f>+'RESUMEN CDMX'!#REF!+#REF!</f>
        <v>#REF!</v>
      </c>
      <c r="K32" s="86" t="e">
        <f>+'RESUMEN CDMX'!#REF!+#REF!</f>
        <v>#REF!</v>
      </c>
      <c r="M32" s="202" t="e">
        <f t="shared" si="12"/>
        <v>#REF!</v>
      </c>
      <c r="O32" s="184" t="e">
        <f t="shared" si="13"/>
        <v>#REF!</v>
      </c>
    </row>
    <row r="33" spans="1:15" x14ac:dyDescent="0.25">
      <c r="A33" s="669"/>
      <c r="B33" s="3">
        <v>807677</v>
      </c>
      <c r="C33" s="11" t="s">
        <v>137</v>
      </c>
      <c r="D33" s="163"/>
      <c r="E33" s="86" t="e">
        <f>+'RESUMEN CDMX'!#REF!+#REF!</f>
        <v>#REF!</v>
      </c>
      <c r="F33" s="86" t="e">
        <f>+'RESUMEN CDMX'!#REF!+#REF!</f>
        <v>#REF!</v>
      </c>
      <c r="G33" s="86" t="e">
        <f>+'RESUMEN CDMX'!#REF!+#REF!</f>
        <v>#REF!</v>
      </c>
      <c r="H33" s="86" t="e">
        <f>+'RESUMEN CDMX'!#REF!+#REF!</f>
        <v>#REF!</v>
      </c>
      <c r="I33" s="86" t="e">
        <f>+'RESUMEN CDMX'!#REF!+#REF!</f>
        <v>#REF!</v>
      </c>
      <c r="J33" s="86" t="e">
        <f>+'RESUMEN CDMX'!#REF!+#REF!</f>
        <v>#REF!</v>
      </c>
      <c r="K33" s="86" t="e">
        <f>+'RESUMEN CDMX'!#REF!+#REF!</f>
        <v>#REF!</v>
      </c>
      <c r="M33" s="202" t="e">
        <f t="shared" si="12"/>
        <v>#REF!</v>
      </c>
      <c r="O33" s="184" t="e">
        <f t="shared" si="13"/>
        <v>#REF!</v>
      </c>
    </row>
    <row r="34" spans="1:15" x14ac:dyDescent="0.25">
      <c r="A34" s="669"/>
      <c r="B34" s="3">
        <v>806686</v>
      </c>
      <c r="C34" s="11" t="s">
        <v>70</v>
      </c>
      <c r="D34" s="163">
        <v>18</v>
      </c>
      <c r="E34" s="86" t="e">
        <f>+'RESUMEN CDMX'!#REF!+#REF!</f>
        <v>#REF!</v>
      </c>
      <c r="F34" s="86" t="e">
        <f>+'RESUMEN CDMX'!#REF!+#REF!</f>
        <v>#REF!</v>
      </c>
      <c r="G34" s="86" t="e">
        <f>+'RESUMEN CDMX'!#REF!+#REF!</f>
        <v>#REF!</v>
      </c>
      <c r="H34" s="86" t="e">
        <f>+'RESUMEN CDMX'!#REF!+#REF!</f>
        <v>#REF!</v>
      </c>
      <c r="I34" s="86" t="e">
        <f>+'RESUMEN CDMX'!#REF!+#REF!</f>
        <v>#REF!</v>
      </c>
      <c r="J34" s="86" t="e">
        <f>+'RESUMEN CDMX'!#REF!+#REF!</f>
        <v>#REF!</v>
      </c>
      <c r="K34" s="86" t="e">
        <f>+'RESUMEN CDMX'!#REF!+#REF!</f>
        <v>#REF!</v>
      </c>
      <c r="M34" s="202" t="e">
        <f t="shared" si="12"/>
        <v>#REF!</v>
      </c>
      <c r="O34" s="184" t="e">
        <f t="shared" si="13"/>
        <v>#REF!</v>
      </c>
    </row>
    <row r="35" spans="1:15" x14ac:dyDescent="0.25">
      <c r="A35" s="669"/>
      <c r="B35" s="3">
        <v>804109</v>
      </c>
      <c r="C35" s="11" t="s">
        <v>71</v>
      </c>
      <c r="D35" s="163">
        <v>35</v>
      </c>
      <c r="E35" s="86" t="e">
        <f>+'RESUMEN CDMX'!#REF!+#REF!</f>
        <v>#REF!</v>
      </c>
      <c r="F35" s="86" t="e">
        <f>+'RESUMEN CDMX'!#REF!+#REF!</f>
        <v>#REF!</v>
      </c>
      <c r="G35" s="86" t="e">
        <f>+'RESUMEN CDMX'!#REF!+#REF!</f>
        <v>#REF!</v>
      </c>
      <c r="H35" s="86" t="e">
        <f>+'RESUMEN CDMX'!#REF!+#REF!</f>
        <v>#REF!</v>
      </c>
      <c r="I35" s="86" t="e">
        <f>+'RESUMEN CDMX'!#REF!+#REF!</f>
        <v>#REF!</v>
      </c>
      <c r="J35" s="86" t="e">
        <f>+'RESUMEN CDMX'!#REF!+#REF!</f>
        <v>#REF!</v>
      </c>
      <c r="K35" s="86" t="e">
        <f>+'RESUMEN CDMX'!#REF!+#REF!</f>
        <v>#REF!</v>
      </c>
      <c r="M35" s="202" t="e">
        <f t="shared" si="12"/>
        <v>#REF!</v>
      </c>
      <c r="O35" s="184" t="e">
        <f t="shared" si="13"/>
        <v>#REF!</v>
      </c>
    </row>
    <row r="36" spans="1:15" x14ac:dyDescent="0.25">
      <c r="A36" s="669"/>
      <c r="B36" s="3">
        <v>806982</v>
      </c>
      <c r="C36" s="11" t="s">
        <v>94</v>
      </c>
      <c r="D36" s="163"/>
      <c r="E36" s="86" t="e">
        <f>+'RESUMEN CDMX'!#REF!+#REF!</f>
        <v>#REF!</v>
      </c>
      <c r="F36" s="86" t="e">
        <f>+'RESUMEN CDMX'!#REF!+#REF!</f>
        <v>#REF!</v>
      </c>
      <c r="G36" s="86" t="e">
        <f>+'RESUMEN CDMX'!#REF!+#REF!</f>
        <v>#REF!</v>
      </c>
      <c r="H36" s="86" t="e">
        <f>+'RESUMEN CDMX'!#REF!+#REF!</f>
        <v>#REF!</v>
      </c>
      <c r="I36" s="86" t="e">
        <f>+'RESUMEN CDMX'!#REF!+#REF!</f>
        <v>#REF!</v>
      </c>
      <c r="J36" s="86" t="e">
        <f>+'RESUMEN CDMX'!#REF!+#REF!</f>
        <v>#REF!</v>
      </c>
      <c r="K36" s="86" t="e">
        <f>+'RESUMEN CDMX'!#REF!+#REF!</f>
        <v>#REF!</v>
      </c>
      <c r="M36" s="202" t="e">
        <f t="shared" si="12"/>
        <v>#REF!</v>
      </c>
      <c r="O36" s="184" t="e">
        <f t="shared" si="13"/>
        <v>#REF!</v>
      </c>
    </row>
    <row r="37" spans="1:15" x14ac:dyDescent="0.25">
      <c r="A37" s="669"/>
      <c r="B37" s="3">
        <v>806980</v>
      </c>
      <c r="C37" s="11" t="s">
        <v>72</v>
      </c>
      <c r="D37" s="163">
        <v>99</v>
      </c>
      <c r="E37" s="86" t="e">
        <f>+'RESUMEN CDMX'!#REF!+#REF!</f>
        <v>#REF!</v>
      </c>
      <c r="F37" s="86" t="e">
        <f>+'RESUMEN CDMX'!#REF!+#REF!</f>
        <v>#REF!</v>
      </c>
      <c r="G37" s="86" t="e">
        <f>+'RESUMEN CDMX'!#REF!+#REF!</f>
        <v>#REF!</v>
      </c>
      <c r="H37" s="86" t="e">
        <f>+'RESUMEN CDMX'!#REF!+#REF!</f>
        <v>#REF!</v>
      </c>
      <c r="I37" s="86" t="e">
        <f>+'RESUMEN CDMX'!#REF!+#REF!</f>
        <v>#REF!</v>
      </c>
      <c r="J37" s="86" t="e">
        <f>+'RESUMEN CDMX'!#REF!+#REF!</f>
        <v>#REF!</v>
      </c>
      <c r="K37" s="86" t="e">
        <f>+'RESUMEN CDMX'!#REF!+#REF!</f>
        <v>#REF!</v>
      </c>
      <c r="M37" s="202" t="e">
        <f t="shared" si="12"/>
        <v>#REF!</v>
      </c>
      <c r="O37" s="184" t="e">
        <f t="shared" si="13"/>
        <v>#REF!</v>
      </c>
    </row>
    <row r="38" spans="1:15" x14ac:dyDescent="0.25">
      <c r="A38" s="669"/>
      <c r="B38" s="3">
        <v>807366</v>
      </c>
      <c r="C38" s="11" t="s">
        <v>138</v>
      </c>
      <c r="D38" s="163"/>
      <c r="E38" s="86" t="e">
        <f>+'RESUMEN CDMX'!#REF!+#REF!</f>
        <v>#REF!</v>
      </c>
      <c r="F38" s="86" t="e">
        <f>+'RESUMEN CDMX'!#REF!+#REF!</f>
        <v>#REF!</v>
      </c>
      <c r="G38" s="86" t="e">
        <f>+'RESUMEN CDMX'!#REF!+#REF!</f>
        <v>#REF!</v>
      </c>
      <c r="H38" s="86" t="e">
        <f>+'RESUMEN CDMX'!#REF!+#REF!</f>
        <v>#REF!</v>
      </c>
      <c r="I38" s="86" t="e">
        <f>+'RESUMEN CDMX'!#REF!+#REF!</f>
        <v>#REF!</v>
      </c>
      <c r="J38" s="86" t="e">
        <f>+'RESUMEN CDMX'!#REF!+#REF!</f>
        <v>#REF!</v>
      </c>
      <c r="K38" s="86" t="e">
        <f>+'RESUMEN CDMX'!#REF!+#REF!</f>
        <v>#REF!</v>
      </c>
      <c r="M38" s="202" t="e">
        <f t="shared" si="12"/>
        <v>#REF!</v>
      </c>
      <c r="O38" s="184" t="e">
        <f t="shared" si="13"/>
        <v>#REF!</v>
      </c>
    </row>
    <row r="39" spans="1:15" x14ac:dyDescent="0.25">
      <c r="A39" s="669"/>
      <c r="B39" s="3">
        <v>260612</v>
      </c>
      <c r="C39" s="11" t="s">
        <v>74</v>
      </c>
      <c r="D39" s="163">
        <v>755</v>
      </c>
      <c r="E39" s="86" t="e">
        <f>+'RESUMEN CDMX'!#REF!+#REF!</f>
        <v>#REF!</v>
      </c>
      <c r="F39" s="86" t="e">
        <f>+'RESUMEN CDMX'!#REF!+#REF!</f>
        <v>#REF!</v>
      </c>
      <c r="G39" s="86" t="e">
        <f>+'RESUMEN CDMX'!#REF!+#REF!</f>
        <v>#REF!</v>
      </c>
      <c r="H39" s="86" t="e">
        <f>+'RESUMEN CDMX'!#REF!+#REF!</f>
        <v>#REF!</v>
      </c>
      <c r="I39" s="86" t="e">
        <f>+'RESUMEN CDMX'!#REF!+#REF!</f>
        <v>#REF!</v>
      </c>
      <c r="J39" s="86" t="e">
        <f>+'RESUMEN CDMX'!#REF!+#REF!</f>
        <v>#REF!</v>
      </c>
      <c r="K39" s="86" t="e">
        <f>+'RESUMEN CDMX'!#REF!+#REF!</f>
        <v>#REF!</v>
      </c>
      <c r="M39" s="202" t="e">
        <f t="shared" si="12"/>
        <v>#REF!</v>
      </c>
      <c r="O39" s="184" t="e">
        <f t="shared" si="13"/>
        <v>#REF!</v>
      </c>
    </row>
    <row r="40" spans="1:15" x14ac:dyDescent="0.25">
      <c r="A40" s="669"/>
      <c r="B40" s="3">
        <v>804661</v>
      </c>
      <c r="C40" s="11" t="s">
        <v>75</v>
      </c>
      <c r="D40" s="163">
        <v>167</v>
      </c>
      <c r="E40" s="86" t="e">
        <f>+'RESUMEN CDMX'!#REF!+#REF!</f>
        <v>#REF!</v>
      </c>
      <c r="F40" s="86" t="e">
        <f>+'RESUMEN CDMX'!#REF!+#REF!</f>
        <v>#REF!</v>
      </c>
      <c r="G40" s="86" t="e">
        <f>+'RESUMEN CDMX'!#REF!+#REF!</f>
        <v>#REF!</v>
      </c>
      <c r="H40" s="86" t="e">
        <f>+'RESUMEN CDMX'!#REF!+#REF!</f>
        <v>#REF!</v>
      </c>
      <c r="I40" s="86" t="e">
        <f>+'RESUMEN CDMX'!#REF!+#REF!</f>
        <v>#REF!</v>
      </c>
      <c r="J40" s="86" t="e">
        <f>+'RESUMEN CDMX'!#REF!+#REF!</f>
        <v>#REF!</v>
      </c>
      <c r="K40" s="86" t="e">
        <f>+'RESUMEN CDMX'!#REF!+#REF!</f>
        <v>#REF!</v>
      </c>
      <c r="M40" s="202" t="e">
        <f t="shared" si="12"/>
        <v>#REF!</v>
      </c>
      <c r="O40" s="184" t="e">
        <f t="shared" si="13"/>
        <v>#REF!</v>
      </c>
    </row>
    <row r="41" spans="1:15" x14ac:dyDescent="0.25">
      <c r="A41" s="669"/>
      <c r="B41" s="3">
        <v>806702</v>
      </c>
      <c r="C41" s="11" t="s">
        <v>76</v>
      </c>
      <c r="D41" s="163">
        <v>20</v>
      </c>
      <c r="E41" s="86" t="e">
        <f>+'RESUMEN CDMX'!#REF!+#REF!</f>
        <v>#REF!</v>
      </c>
      <c r="F41" s="86" t="e">
        <f>+'RESUMEN CDMX'!#REF!+#REF!</f>
        <v>#REF!</v>
      </c>
      <c r="G41" s="86" t="e">
        <f>+'RESUMEN CDMX'!#REF!+#REF!</f>
        <v>#REF!</v>
      </c>
      <c r="H41" s="86" t="e">
        <f>+'RESUMEN CDMX'!#REF!+#REF!</f>
        <v>#REF!</v>
      </c>
      <c r="I41" s="86" t="e">
        <f>+'RESUMEN CDMX'!#REF!+#REF!</f>
        <v>#REF!</v>
      </c>
      <c r="J41" s="86" t="e">
        <f>+'RESUMEN CDMX'!#REF!+#REF!</f>
        <v>#REF!</v>
      </c>
      <c r="K41" s="86" t="e">
        <f>+'RESUMEN CDMX'!#REF!+#REF!</f>
        <v>#REF!</v>
      </c>
      <c r="M41" s="202" t="e">
        <f t="shared" si="12"/>
        <v>#REF!</v>
      </c>
      <c r="O41" s="184" t="e">
        <f t="shared" si="13"/>
        <v>#REF!</v>
      </c>
    </row>
    <row r="42" spans="1:15" ht="15.75" thickBot="1" x14ac:dyDescent="0.3">
      <c r="A42" s="669"/>
      <c r="B42" s="2">
        <v>805567</v>
      </c>
      <c r="C42" s="12" t="s">
        <v>139</v>
      </c>
      <c r="D42" s="165"/>
      <c r="E42" s="86" t="e">
        <f>+'RESUMEN CDMX'!#REF!+#REF!</f>
        <v>#REF!</v>
      </c>
      <c r="F42" s="86" t="e">
        <f>+'RESUMEN CDMX'!#REF!+#REF!</f>
        <v>#REF!</v>
      </c>
      <c r="G42" s="86" t="e">
        <f>+'RESUMEN CDMX'!#REF!+#REF!</f>
        <v>#REF!</v>
      </c>
      <c r="H42" s="86" t="e">
        <f>+'RESUMEN CDMX'!#REF!+#REF!</f>
        <v>#REF!</v>
      </c>
      <c r="I42" s="86" t="e">
        <f>+'RESUMEN CDMX'!#REF!+#REF!</f>
        <v>#REF!</v>
      </c>
      <c r="J42" s="86" t="e">
        <f>+'RESUMEN CDMX'!#REF!+#REF!</f>
        <v>#REF!</v>
      </c>
      <c r="K42" s="86" t="e">
        <f>+'RESUMEN CDMX'!#REF!+#REF!</f>
        <v>#REF!</v>
      </c>
      <c r="M42" s="202" t="e">
        <f t="shared" si="12"/>
        <v>#REF!</v>
      </c>
      <c r="O42" s="184" t="e">
        <f t="shared" si="13"/>
        <v>#REF!</v>
      </c>
    </row>
    <row r="43" spans="1:15" ht="15.75" thickBot="1" x14ac:dyDescent="0.3">
      <c r="A43" s="670"/>
      <c r="B43" s="653" t="s">
        <v>120</v>
      </c>
      <c r="C43" s="654"/>
      <c r="D43" s="476">
        <f t="shared" ref="D43" si="14">+SUM(D26:D42)</f>
        <v>2635</v>
      </c>
      <c r="E43" s="168" t="e">
        <f t="shared" ref="E43:J43" si="15">+SUM(E26:E42)</f>
        <v>#REF!</v>
      </c>
      <c r="F43" s="168" t="e">
        <f t="shared" si="15"/>
        <v>#REF!</v>
      </c>
      <c r="G43" s="168" t="e">
        <f t="shared" si="15"/>
        <v>#REF!</v>
      </c>
      <c r="H43" s="168" t="e">
        <f t="shared" si="15"/>
        <v>#REF!</v>
      </c>
      <c r="I43" s="168" t="e">
        <f t="shared" si="15"/>
        <v>#REF!</v>
      </c>
      <c r="J43" s="168" t="e">
        <f t="shared" si="15"/>
        <v>#REF!</v>
      </c>
      <c r="K43" s="168" t="e">
        <f t="shared" ref="K43" si="16">+SUM(K26:K42)</f>
        <v>#REF!</v>
      </c>
      <c r="M43" s="203" t="e">
        <f>+SUM(M26:M42)</f>
        <v>#REF!</v>
      </c>
      <c r="O43" s="185"/>
    </row>
    <row r="44" spans="1:15" ht="15.75" thickBot="1" x14ac:dyDescent="0.3">
      <c r="A44" s="670"/>
      <c r="B44" s="667" t="s">
        <v>140</v>
      </c>
      <c r="C44" s="668"/>
      <c r="D44" s="169">
        <f t="shared" ref="D44:M44" si="17">+D43</f>
        <v>2635</v>
      </c>
      <c r="E44" s="169" t="e">
        <f t="shared" si="17"/>
        <v>#REF!</v>
      </c>
      <c r="F44" s="169" t="e">
        <f t="shared" si="17"/>
        <v>#REF!</v>
      </c>
      <c r="G44" s="169" t="e">
        <f t="shared" ref="G44:H44" si="18">+G43</f>
        <v>#REF!</v>
      </c>
      <c r="H44" s="169" t="e">
        <f t="shared" si="18"/>
        <v>#REF!</v>
      </c>
      <c r="I44" s="169" t="e">
        <f t="shared" ref="I44:J44" si="19">+I43</f>
        <v>#REF!</v>
      </c>
      <c r="J44" s="169" t="e">
        <f t="shared" si="19"/>
        <v>#REF!</v>
      </c>
      <c r="K44" s="169" t="e">
        <f t="shared" ref="K44" si="20">+K43</f>
        <v>#REF!</v>
      </c>
      <c r="M44" s="205" t="e">
        <f t="shared" si="17"/>
        <v>#REF!</v>
      </c>
      <c r="O44" s="187" t="e">
        <f>SUM(O26:O43)</f>
        <v>#REF!</v>
      </c>
    </row>
    <row r="45" spans="1:15" ht="15.75" x14ac:dyDescent="0.25">
      <c r="A45" s="673" t="s">
        <v>141</v>
      </c>
      <c r="B45" s="157" t="s">
        <v>52</v>
      </c>
      <c r="C45" s="158" t="s">
        <v>53</v>
      </c>
      <c r="D45" s="162"/>
      <c r="E45" s="163"/>
      <c r="F45" s="163"/>
      <c r="G45" s="163"/>
      <c r="H45" s="163"/>
      <c r="I45" s="163"/>
      <c r="J45" s="163"/>
      <c r="K45" s="163"/>
      <c r="M45" s="202"/>
      <c r="O45" s="184"/>
    </row>
    <row r="46" spans="1:15" x14ac:dyDescent="0.25">
      <c r="A46" s="673"/>
      <c r="B46" s="3">
        <v>807769</v>
      </c>
      <c r="C46" s="11" t="s">
        <v>77</v>
      </c>
      <c r="D46" s="163">
        <v>44</v>
      </c>
      <c r="E46" s="163" t="e">
        <f>+#REF!</f>
        <v>#REF!</v>
      </c>
      <c r="F46" s="163" t="e">
        <f>+#REF!</f>
        <v>#REF!</v>
      </c>
      <c r="G46" s="163" t="e">
        <f>+#REF!</f>
        <v>#REF!</v>
      </c>
      <c r="H46" s="86" t="e">
        <f>+#REF!</f>
        <v>#REF!</v>
      </c>
      <c r="I46" s="86" t="e">
        <f>+#REF!</f>
        <v>#REF!</v>
      </c>
      <c r="J46" s="86" t="e">
        <f>+#REF!</f>
        <v>#REF!</v>
      </c>
      <c r="K46" s="86" t="e">
        <f>+#REF!</f>
        <v>#REF!</v>
      </c>
      <c r="M46" s="202" t="e">
        <f t="shared" ref="M46:M51" si="21">+AVERAGE(J46,I46,K46)</f>
        <v>#REF!</v>
      </c>
      <c r="O46" s="184" t="e">
        <f>+M46/$M$56</f>
        <v>#REF!</v>
      </c>
    </row>
    <row r="47" spans="1:15" x14ac:dyDescent="0.25">
      <c r="A47" s="673"/>
      <c r="B47" s="3">
        <v>807329</v>
      </c>
      <c r="C47" s="11" t="s">
        <v>78</v>
      </c>
      <c r="D47" s="163">
        <v>60</v>
      </c>
      <c r="E47" s="163" t="e">
        <f>+#REF!</f>
        <v>#REF!</v>
      </c>
      <c r="F47" s="163" t="e">
        <f>+#REF!</f>
        <v>#REF!</v>
      </c>
      <c r="G47" s="163" t="e">
        <f>+#REF!</f>
        <v>#REF!</v>
      </c>
      <c r="H47" s="86" t="e">
        <f>+#REF!</f>
        <v>#REF!</v>
      </c>
      <c r="I47" s="86" t="e">
        <f>+#REF!</f>
        <v>#REF!</v>
      </c>
      <c r="J47" s="86" t="e">
        <f>+#REF!</f>
        <v>#REF!</v>
      </c>
      <c r="K47" s="86" t="e">
        <f>+#REF!</f>
        <v>#REF!</v>
      </c>
      <c r="M47" s="202" t="e">
        <f t="shared" si="21"/>
        <v>#REF!</v>
      </c>
      <c r="O47" s="184" t="e">
        <f t="shared" ref="O47:O51" si="22">+M47/$M$56</f>
        <v>#REF!</v>
      </c>
    </row>
    <row r="48" spans="1:15" x14ac:dyDescent="0.25">
      <c r="A48" s="673"/>
      <c r="B48" s="3">
        <v>805411</v>
      </c>
      <c r="C48" s="11" t="s">
        <v>79</v>
      </c>
      <c r="D48" s="163">
        <v>129</v>
      </c>
      <c r="E48" s="163" t="e">
        <f>+#REF!</f>
        <v>#REF!</v>
      </c>
      <c r="F48" s="163" t="e">
        <f>+#REF!</f>
        <v>#REF!</v>
      </c>
      <c r="G48" s="163" t="e">
        <f>+#REF!</f>
        <v>#REF!</v>
      </c>
      <c r="H48" s="86" t="e">
        <f>+#REF!</f>
        <v>#REF!</v>
      </c>
      <c r="I48" s="86" t="e">
        <f>+#REF!</f>
        <v>#REF!</v>
      </c>
      <c r="J48" s="86" t="e">
        <f>+#REF!</f>
        <v>#REF!</v>
      </c>
      <c r="K48" s="86" t="e">
        <f>+#REF!</f>
        <v>#REF!</v>
      </c>
      <c r="M48" s="202" t="e">
        <f t="shared" si="21"/>
        <v>#REF!</v>
      </c>
      <c r="O48" s="184" t="e">
        <f t="shared" si="22"/>
        <v>#REF!</v>
      </c>
    </row>
    <row r="49" spans="1:15" x14ac:dyDescent="0.25">
      <c r="A49" s="673"/>
      <c r="B49" s="3">
        <v>807679</v>
      </c>
      <c r="C49" s="11" t="s">
        <v>80</v>
      </c>
      <c r="D49" s="163">
        <v>101</v>
      </c>
      <c r="E49" s="163" t="e">
        <f>+#REF!</f>
        <v>#REF!</v>
      </c>
      <c r="F49" s="163" t="e">
        <f>+#REF!</f>
        <v>#REF!</v>
      </c>
      <c r="G49" s="163" t="e">
        <f>+#REF!</f>
        <v>#REF!</v>
      </c>
      <c r="H49" s="86" t="e">
        <f>+#REF!</f>
        <v>#REF!</v>
      </c>
      <c r="I49" s="86" t="e">
        <f>+#REF!</f>
        <v>#REF!</v>
      </c>
      <c r="J49" s="86" t="e">
        <f>+#REF!</f>
        <v>#REF!</v>
      </c>
      <c r="K49" s="86" t="e">
        <f>+#REF!</f>
        <v>#REF!</v>
      </c>
      <c r="M49" s="202" t="e">
        <f t="shared" si="21"/>
        <v>#REF!</v>
      </c>
      <c r="O49" s="184" t="e">
        <f t="shared" si="22"/>
        <v>#REF!</v>
      </c>
    </row>
    <row r="50" spans="1:15" x14ac:dyDescent="0.25">
      <c r="A50" s="673"/>
      <c r="B50" s="3">
        <v>805168</v>
      </c>
      <c r="C50" s="11" t="s">
        <v>81</v>
      </c>
      <c r="D50" s="163">
        <v>70</v>
      </c>
      <c r="E50" s="163" t="e">
        <f>+#REF!</f>
        <v>#REF!</v>
      </c>
      <c r="F50" s="163" t="e">
        <f>+#REF!</f>
        <v>#REF!</v>
      </c>
      <c r="G50" s="163" t="e">
        <f>+#REF!</f>
        <v>#REF!</v>
      </c>
      <c r="H50" s="86" t="e">
        <f>+#REF!</f>
        <v>#REF!</v>
      </c>
      <c r="I50" s="86" t="e">
        <f>+#REF!</f>
        <v>#REF!</v>
      </c>
      <c r="J50" s="86" t="e">
        <f>+#REF!</f>
        <v>#REF!</v>
      </c>
      <c r="K50" s="86" t="e">
        <f>+#REF!</f>
        <v>#REF!</v>
      </c>
      <c r="M50" s="202" t="e">
        <f t="shared" si="21"/>
        <v>#REF!</v>
      </c>
      <c r="O50" s="184" t="e">
        <f t="shared" si="22"/>
        <v>#REF!</v>
      </c>
    </row>
    <row r="51" spans="1:15" x14ac:dyDescent="0.25">
      <c r="A51" s="673"/>
      <c r="B51" s="3">
        <v>807363</v>
      </c>
      <c r="C51" s="11" t="s">
        <v>82</v>
      </c>
      <c r="D51" s="163"/>
      <c r="E51" s="163" t="e">
        <f>+#REF!</f>
        <v>#REF!</v>
      </c>
      <c r="F51" s="163" t="e">
        <f>+#REF!</f>
        <v>#REF!</v>
      </c>
      <c r="G51" s="163" t="e">
        <f>+#REF!</f>
        <v>#REF!</v>
      </c>
      <c r="H51" s="86" t="e">
        <f>+#REF!</f>
        <v>#REF!</v>
      </c>
      <c r="I51" s="86" t="e">
        <f>+#REF!</f>
        <v>#REF!</v>
      </c>
      <c r="J51" s="86" t="e">
        <f>+#REF!</f>
        <v>#REF!</v>
      </c>
      <c r="K51" s="86" t="e">
        <f>+#REF!</f>
        <v>#REF!</v>
      </c>
      <c r="M51" s="202" t="e">
        <f t="shared" si="21"/>
        <v>#REF!</v>
      </c>
      <c r="O51" s="184" t="e">
        <f t="shared" si="22"/>
        <v>#REF!</v>
      </c>
    </row>
    <row r="52" spans="1:15" x14ac:dyDescent="0.25">
      <c r="A52" s="673"/>
      <c r="B52" s="3">
        <v>809529</v>
      </c>
      <c r="C52" s="11" t="s">
        <v>83</v>
      </c>
      <c r="D52" s="163"/>
      <c r="E52" s="163"/>
      <c r="F52" s="163"/>
      <c r="G52" s="163"/>
      <c r="H52" s="163"/>
      <c r="I52" s="163"/>
      <c r="J52" s="163"/>
      <c r="K52" s="163"/>
      <c r="M52" s="202"/>
      <c r="O52" s="184"/>
    </row>
    <row r="53" spans="1:15" x14ac:dyDescent="0.25">
      <c r="A53" s="673"/>
      <c r="B53" s="3">
        <v>806698</v>
      </c>
      <c r="C53" s="11" t="s">
        <v>142</v>
      </c>
      <c r="D53" s="163"/>
      <c r="E53" s="163"/>
      <c r="F53" s="163"/>
      <c r="G53" s="163"/>
      <c r="H53" s="163"/>
      <c r="I53" s="163"/>
      <c r="J53" s="163"/>
      <c r="K53" s="163"/>
      <c r="M53" s="202"/>
      <c r="O53" s="184"/>
    </row>
    <row r="54" spans="1:15" ht="15.75" thickBot="1" x14ac:dyDescent="0.3">
      <c r="A54" s="673"/>
      <c r="B54" s="2">
        <v>803566</v>
      </c>
      <c r="C54" s="12" t="s">
        <v>143</v>
      </c>
      <c r="D54" s="165"/>
      <c r="E54" s="163"/>
      <c r="F54" s="163"/>
      <c r="G54" s="163"/>
      <c r="H54" s="163"/>
      <c r="I54" s="163"/>
      <c r="J54" s="163"/>
      <c r="K54" s="163"/>
      <c r="M54" s="202"/>
      <c r="O54" s="184"/>
    </row>
    <row r="55" spans="1:15" ht="15.75" thickBot="1" x14ac:dyDescent="0.3">
      <c r="A55" s="674"/>
      <c r="B55" s="653" t="s">
        <v>120</v>
      </c>
      <c r="C55" s="654"/>
      <c r="D55" s="476">
        <f t="shared" ref="D55" si="23">+SUM(D46:D54)</f>
        <v>404</v>
      </c>
      <c r="E55" s="475" t="e">
        <f t="shared" ref="E55:J55" si="24">+SUM(E46:E54)</f>
        <v>#REF!</v>
      </c>
      <c r="F55" s="475" t="e">
        <f t="shared" si="24"/>
        <v>#REF!</v>
      </c>
      <c r="G55" s="475" t="e">
        <f t="shared" si="24"/>
        <v>#REF!</v>
      </c>
      <c r="H55" s="475" t="e">
        <f t="shared" si="24"/>
        <v>#REF!</v>
      </c>
      <c r="I55" s="475" t="e">
        <f t="shared" si="24"/>
        <v>#REF!</v>
      </c>
      <c r="J55" s="475" t="e">
        <f t="shared" si="24"/>
        <v>#REF!</v>
      </c>
      <c r="K55" s="475" t="e">
        <f t="shared" ref="K55" si="25">+SUM(K46:K54)</f>
        <v>#REF!</v>
      </c>
      <c r="M55" s="203" t="e">
        <f>+SUM(M46:M54)</f>
        <v>#REF!</v>
      </c>
      <c r="O55" s="185"/>
    </row>
    <row r="56" spans="1:15" ht="15.75" thickBot="1" x14ac:dyDescent="0.3">
      <c r="A56" s="674"/>
      <c r="B56" s="671" t="s">
        <v>144</v>
      </c>
      <c r="C56" s="672"/>
      <c r="D56" s="170">
        <f t="shared" ref="D56:F56" si="26">+D55</f>
        <v>404</v>
      </c>
      <c r="E56" s="170" t="e">
        <f t="shared" si="26"/>
        <v>#REF!</v>
      </c>
      <c r="F56" s="170" t="e">
        <f t="shared" si="26"/>
        <v>#REF!</v>
      </c>
      <c r="G56" s="170" t="e">
        <f t="shared" ref="G56:H56" si="27">+G55</f>
        <v>#REF!</v>
      </c>
      <c r="H56" s="170" t="e">
        <f t="shared" si="27"/>
        <v>#REF!</v>
      </c>
      <c r="I56" s="170" t="e">
        <f t="shared" ref="I56:J56" si="28">+I55</f>
        <v>#REF!</v>
      </c>
      <c r="J56" s="170" t="e">
        <f t="shared" si="28"/>
        <v>#REF!</v>
      </c>
      <c r="K56" s="170" t="e">
        <f t="shared" ref="K56" si="29">+K55</f>
        <v>#REF!</v>
      </c>
      <c r="M56" s="206" t="e">
        <f t="shared" ref="M56" si="30">+M55</f>
        <v>#REF!</v>
      </c>
      <c r="O56" s="188" t="e">
        <f>SUM(O46:O55)</f>
        <v>#REF!</v>
      </c>
    </row>
    <row r="57" spans="1:15" x14ac:dyDescent="0.25">
      <c r="A57" s="665" t="s">
        <v>145</v>
      </c>
      <c r="B57" s="155" t="s">
        <v>52</v>
      </c>
      <c r="C57" s="156" t="s">
        <v>53</v>
      </c>
      <c r="D57" s="162"/>
      <c r="E57" s="163"/>
      <c r="F57" s="163"/>
      <c r="G57" s="163"/>
      <c r="H57" s="163"/>
      <c r="I57" s="163"/>
      <c r="J57" s="163"/>
      <c r="K57" s="163"/>
      <c r="M57" s="202"/>
      <c r="O57" s="184"/>
    </row>
    <row r="58" spans="1:15" x14ac:dyDescent="0.25">
      <c r="A58" s="665"/>
      <c r="B58" s="10">
        <v>102013</v>
      </c>
      <c r="C58" s="19" t="s">
        <v>146</v>
      </c>
      <c r="D58" s="163">
        <v>144</v>
      </c>
      <c r="E58" s="86" t="e">
        <f>+FRIJALISCO!#REF!</f>
        <v>#REF!</v>
      </c>
      <c r="F58" s="86" t="e">
        <f>+FRIJALISCO!#REF!</f>
        <v>#REF!</v>
      </c>
      <c r="G58" s="86" t="e">
        <f>+FRIJALISCO!#REF!</f>
        <v>#REF!</v>
      </c>
      <c r="H58" s="86" t="e">
        <f>+FRIJALISCO!#REF!</f>
        <v>#REF!</v>
      </c>
      <c r="I58" s="86" t="e">
        <f>+FRIJALISCO!#REF!</f>
        <v>#REF!</v>
      </c>
      <c r="J58" s="86" t="e">
        <f>+FRIJALISCO!#REF!</f>
        <v>#REF!</v>
      </c>
      <c r="K58" s="86" t="e">
        <f>+FRIJALISCO!#REF!</f>
        <v>#REF!</v>
      </c>
      <c r="M58" s="202" t="e">
        <f t="shared" ref="M58:M65" si="31">+AVERAGE(J58,I58,K58)</f>
        <v>#REF!</v>
      </c>
      <c r="O58" s="184" t="e">
        <f>+M58/$M$73</f>
        <v>#REF!</v>
      </c>
    </row>
    <row r="59" spans="1:15" x14ac:dyDescent="0.25">
      <c r="A59" s="665"/>
      <c r="B59" s="10">
        <v>102341</v>
      </c>
      <c r="C59" s="19" t="s">
        <v>147</v>
      </c>
      <c r="D59" s="163">
        <v>73</v>
      </c>
      <c r="E59" s="86" t="e">
        <f>+FRIJALISCO!#REF!</f>
        <v>#REF!</v>
      </c>
      <c r="F59" s="86" t="e">
        <f>+FRIJALISCO!#REF!</f>
        <v>#REF!</v>
      </c>
      <c r="G59" s="86" t="e">
        <f>+FRIJALISCO!#REF!</f>
        <v>#REF!</v>
      </c>
      <c r="H59" s="86" t="e">
        <f>+FRIJALISCO!#REF!</f>
        <v>#REF!</v>
      </c>
      <c r="I59" s="86" t="e">
        <f>+FRIJALISCO!#REF!</f>
        <v>#REF!</v>
      </c>
      <c r="J59" s="86" t="e">
        <f>+FRIJALISCO!#REF!</f>
        <v>#REF!</v>
      </c>
      <c r="K59" s="86" t="e">
        <f>+FRIJALISCO!#REF!</f>
        <v>#REF!</v>
      </c>
      <c r="M59" s="202" t="e">
        <f t="shared" si="31"/>
        <v>#REF!</v>
      </c>
      <c r="O59" s="184" t="e">
        <f t="shared" ref="O59:O65" si="32">+M59/$M$73</f>
        <v>#REF!</v>
      </c>
    </row>
    <row r="60" spans="1:15" x14ac:dyDescent="0.25">
      <c r="A60" s="665"/>
      <c r="B60" s="10">
        <v>102310</v>
      </c>
      <c r="C60" s="19" t="s">
        <v>148</v>
      </c>
      <c r="D60" s="163">
        <v>94</v>
      </c>
      <c r="E60" s="86" t="e">
        <f>+FRIJALISCO!#REF!</f>
        <v>#REF!</v>
      </c>
      <c r="F60" s="86" t="e">
        <f>+FRIJALISCO!#REF!</f>
        <v>#REF!</v>
      </c>
      <c r="G60" s="86" t="e">
        <f>+FRIJALISCO!#REF!</f>
        <v>#REF!</v>
      </c>
      <c r="H60" s="86" t="e">
        <f>+FRIJALISCO!#REF!</f>
        <v>#REF!</v>
      </c>
      <c r="I60" s="86" t="e">
        <f>+FRIJALISCO!#REF!</f>
        <v>#REF!</v>
      </c>
      <c r="J60" s="86" t="e">
        <f>+FRIJALISCO!#REF!</f>
        <v>#REF!</v>
      </c>
      <c r="K60" s="86" t="e">
        <f>+FRIJALISCO!#REF!</f>
        <v>#REF!</v>
      </c>
      <c r="M60" s="202" t="e">
        <f t="shared" si="31"/>
        <v>#REF!</v>
      </c>
      <c r="O60" s="184" t="e">
        <f t="shared" si="32"/>
        <v>#REF!</v>
      </c>
    </row>
    <row r="61" spans="1:15" x14ac:dyDescent="0.25">
      <c r="A61" s="665"/>
      <c r="B61" s="10">
        <v>102211</v>
      </c>
      <c r="C61" s="19" t="s">
        <v>149</v>
      </c>
      <c r="D61" s="163">
        <v>182</v>
      </c>
      <c r="E61" s="86" t="e">
        <f>+FRIJALISCO!#REF!</f>
        <v>#REF!</v>
      </c>
      <c r="F61" s="86" t="e">
        <f>+FRIJALISCO!#REF!</f>
        <v>#REF!</v>
      </c>
      <c r="G61" s="86" t="e">
        <f>+FRIJALISCO!#REF!</f>
        <v>#REF!</v>
      </c>
      <c r="H61" s="86" t="e">
        <f>+FRIJALISCO!#REF!</f>
        <v>#REF!</v>
      </c>
      <c r="I61" s="86" t="e">
        <f>+FRIJALISCO!#REF!</f>
        <v>#REF!</v>
      </c>
      <c r="J61" s="86" t="e">
        <f>+FRIJALISCO!#REF!</f>
        <v>#REF!</v>
      </c>
      <c r="K61" s="86" t="e">
        <f>+FRIJALISCO!#REF!</f>
        <v>#REF!</v>
      </c>
      <c r="M61" s="202" t="e">
        <f t="shared" si="31"/>
        <v>#REF!</v>
      </c>
      <c r="O61" s="184" t="e">
        <f t="shared" si="32"/>
        <v>#REF!</v>
      </c>
    </row>
    <row r="62" spans="1:15" x14ac:dyDescent="0.25">
      <c r="A62" s="665"/>
      <c r="B62" s="10">
        <v>104215</v>
      </c>
      <c r="C62" s="19" t="s">
        <v>150</v>
      </c>
      <c r="D62" s="163">
        <v>145</v>
      </c>
      <c r="E62" s="86" t="e">
        <f>+FRIJALISCO!#REF!</f>
        <v>#REF!</v>
      </c>
      <c r="F62" s="86" t="e">
        <f>+FRIJALISCO!#REF!</f>
        <v>#REF!</v>
      </c>
      <c r="G62" s="86" t="e">
        <f>+FRIJALISCO!#REF!</f>
        <v>#REF!</v>
      </c>
      <c r="H62" s="86" t="e">
        <f>+FRIJALISCO!#REF!</f>
        <v>#REF!</v>
      </c>
      <c r="I62" s="86" t="e">
        <f>+FRIJALISCO!#REF!</f>
        <v>#REF!</v>
      </c>
      <c r="J62" s="86" t="e">
        <f>+FRIJALISCO!#REF!</f>
        <v>#REF!</v>
      </c>
      <c r="K62" s="86" t="e">
        <f>+FRIJALISCO!#REF!</f>
        <v>#REF!</v>
      </c>
      <c r="M62" s="202" t="e">
        <f t="shared" si="31"/>
        <v>#REF!</v>
      </c>
      <c r="O62" s="184" t="e">
        <f t="shared" si="32"/>
        <v>#REF!</v>
      </c>
    </row>
    <row r="63" spans="1:15" x14ac:dyDescent="0.25">
      <c r="A63" s="665"/>
      <c r="B63" s="10">
        <v>114054</v>
      </c>
      <c r="C63" s="19" t="s">
        <v>151</v>
      </c>
      <c r="D63" s="163">
        <v>231</v>
      </c>
      <c r="E63" s="86" t="e">
        <f>+FRIJALISCO!#REF!</f>
        <v>#REF!</v>
      </c>
      <c r="F63" s="86" t="e">
        <f>+FRIJALISCO!#REF!</f>
        <v>#REF!</v>
      </c>
      <c r="G63" s="86" t="e">
        <f>+FRIJALISCO!#REF!</f>
        <v>#REF!</v>
      </c>
      <c r="H63" s="86" t="e">
        <f>+FRIJALISCO!#REF!</f>
        <v>#REF!</v>
      </c>
      <c r="I63" s="86" t="e">
        <f>+FRIJALISCO!#REF!</f>
        <v>#REF!</v>
      </c>
      <c r="J63" s="86" t="e">
        <f>+FRIJALISCO!#REF!</f>
        <v>#REF!</v>
      </c>
      <c r="K63" s="86" t="e">
        <f>+FRIJALISCO!#REF!</f>
        <v>#REF!</v>
      </c>
      <c r="M63" s="202" t="e">
        <f t="shared" si="31"/>
        <v>#REF!</v>
      </c>
      <c r="O63" s="184" t="e">
        <f t="shared" si="32"/>
        <v>#REF!</v>
      </c>
    </row>
    <row r="64" spans="1:15" x14ac:dyDescent="0.25">
      <c r="A64" s="665"/>
      <c r="B64" s="10">
        <v>102419</v>
      </c>
      <c r="C64" s="19" t="s">
        <v>152</v>
      </c>
      <c r="D64" s="165">
        <v>30</v>
      </c>
      <c r="E64" s="86" t="e">
        <f>+FRIJALISCO!#REF!</f>
        <v>#REF!</v>
      </c>
      <c r="F64" s="86" t="e">
        <f>+FRIJALISCO!#REF!</f>
        <v>#REF!</v>
      </c>
      <c r="G64" s="86" t="e">
        <f>+FRIJALISCO!#REF!</f>
        <v>#REF!</v>
      </c>
      <c r="H64" s="86" t="e">
        <f>+FRIJALISCO!#REF!</f>
        <v>#REF!</v>
      </c>
      <c r="I64" s="86" t="e">
        <f>+FRIJALISCO!#REF!</f>
        <v>#REF!</v>
      </c>
      <c r="J64" s="86" t="e">
        <f>+FRIJALISCO!#REF!</f>
        <v>#REF!</v>
      </c>
      <c r="K64" s="86" t="e">
        <f>+FRIJALISCO!#REF!</f>
        <v>#REF!</v>
      </c>
      <c r="M64" s="202" t="e">
        <f t="shared" si="31"/>
        <v>#REF!</v>
      </c>
      <c r="O64" s="184" t="e">
        <f t="shared" si="32"/>
        <v>#REF!</v>
      </c>
    </row>
    <row r="65" spans="1:15" ht="15.75" thickBot="1" x14ac:dyDescent="0.3">
      <c r="A65" s="665"/>
      <c r="B65" s="21">
        <v>105632</v>
      </c>
      <c r="C65" s="45" t="s">
        <v>153</v>
      </c>
      <c r="D65" s="165"/>
      <c r="E65" s="86" t="e">
        <f>+FRIJALISCO!#REF!</f>
        <v>#REF!</v>
      </c>
      <c r="F65" s="86" t="e">
        <f>+FRIJALISCO!#REF!</f>
        <v>#REF!</v>
      </c>
      <c r="G65" s="86" t="e">
        <f>+FRIJALISCO!#REF!</f>
        <v>#REF!</v>
      </c>
      <c r="H65" s="86" t="e">
        <f>+FRIJALISCO!#REF!</f>
        <v>#REF!</v>
      </c>
      <c r="I65" s="86" t="e">
        <f>+FRIJALISCO!#REF!</f>
        <v>#REF!</v>
      </c>
      <c r="J65" s="86" t="e">
        <f>+FRIJALISCO!#REF!</f>
        <v>#REF!</v>
      </c>
      <c r="K65" s="86" t="e">
        <f>+FRIJALISCO!#REF!</f>
        <v>#REF!</v>
      </c>
      <c r="M65" s="202" t="e">
        <f t="shared" si="31"/>
        <v>#REF!</v>
      </c>
      <c r="O65" s="184" t="e">
        <f t="shared" si="32"/>
        <v>#REF!</v>
      </c>
    </row>
    <row r="66" spans="1:15" ht="15.75" thickBot="1" x14ac:dyDescent="0.3">
      <c r="A66" s="666"/>
      <c r="B66" s="655" t="s">
        <v>130</v>
      </c>
      <c r="C66" s="656"/>
      <c r="D66" s="476">
        <f t="shared" ref="D66" si="33">+SUM(D58:D65)</f>
        <v>899</v>
      </c>
      <c r="E66" s="168" t="e">
        <f t="shared" ref="E66:J66" si="34">+SUM(E58:E65)</f>
        <v>#REF!</v>
      </c>
      <c r="F66" s="168" t="e">
        <f t="shared" si="34"/>
        <v>#REF!</v>
      </c>
      <c r="G66" s="168" t="e">
        <f t="shared" si="34"/>
        <v>#REF!</v>
      </c>
      <c r="H66" s="168" t="e">
        <f t="shared" si="34"/>
        <v>#REF!</v>
      </c>
      <c r="I66" s="168" t="e">
        <f t="shared" si="34"/>
        <v>#REF!</v>
      </c>
      <c r="J66" s="168" t="e">
        <f t="shared" si="34"/>
        <v>#REF!</v>
      </c>
      <c r="K66" s="168" t="e">
        <f t="shared" ref="K66" si="35">+SUM(K58:K65)</f>
        <v>#REF!</v>
      </c>
      <c r="M66" s="203" t="e">
        <f>+SUM(M58:M65)</f>
        <v>#REF!</v>
      </c>
      <c r="O66" s="185" t="e">
        <f>SUM(O58:O65)</f>
        <v>#REF!</v>
      </c>
    </row>
    <row r="67" spans="1:15" x14ac:dyDescent="0.25">
      <c r="A67" s="665"/>
      <c r="B67" s="155" t="s">
        <v>52</v>
      </c>
      <c r="C67" s="156" t="s">
        <v>53</v>
      </c>
      <c r="D67" s="162"/>
      <c r="E67" s="163"/>
      <c r="F67" s="163"/>
      <c r="G67" s="163"/>
      <c r="H67" s="163"/>
      <c r="I67" s="163"/>
      <c r="J67" s="163"/>
      <c r="K67" s="163"/>
      <c r="M67" s="202"/>
      <c r="O67" s="184"/>
    </row>
    <row r="68" spans="1:15" x14ac:dyDescent="0.25">
      <c r="A68" s="665"/>
      <c r="B68" s="3">
        <v>260612</v>
      </c>
      <c r="C68" s="11" t="s">
        <v>101</v>
      </c>
      <c r="D68" s="163">
        <v>1501</v>
      </c>
      <c r="E68" s="86" t="e">
        <f>+FRIJALISCO!#REF!</f>
        <v>#REF!</v>
      </c>
      <c r="F68" s="86" t="e">
        <f>+FRIJALISCO!#REF!</f>
        <v>#REF!</v>
      </c>
      <c r="G68" s="86" t="e">
        <f>+FRIJALISCO!#REF!</f>
        <v>#REF!</v>
      </c>
      <c r="H68" s="86" t="e">
        <f>+FRIJALISCO!#REF!</f>
        <v>#REF!</v>
      </c>
      <c r="I68" s="86" t="e">
        <f>+FRIJALISCO!#REF!</f>
        <v>#REF!</v>
      </c>
      <c r="J68" s="86" t="e">
        <f>+FRIJALISCO!#REF!</f>
        <v>#REF!</v>
      </c>
      <c r="K68" s="86" t="e">
        <f>+FRIJALISCO!#REF!</f>
        <v>#REF!</v>
      </c>
      <c r="M68" s="202" t="e">
        <f t="shared" ref="M68:M71" si="36">+AVERAGE(J68,I68,K68)</f>
        <v>#REF!</v>
      </c>
      <c r="O68" s="184" t="e">
        <f t="shared" ref="O68:O71" si="37">+M68/$M$73</f>
        <v>#REF!</v>
      </c>
    </row>
    <row r="69" spans="1:15" x14ac:dyDescent="0.25">
      <c r="A69" s="665"/>
      <c r="B69" s="3">
        <v>803528</v>
      </c>
      <c r="C69" s="11" t="s">
        <v>154</v>
      </c>
      <c r="D69" s="163"/>
      <c r="E69" s="86" t="e">
        <f>+FRIJALISCO!#REF!</f>
        <v>#REF!</v>
      </c>
      <c r="F69" s="86" t="e">
        <f>+FRIJALISCO!#REF!</f>
        <v>#REF!</v>
      </c>
      <c r="G69" s="86"/>
      <c r="H69" s="86" t="e">
        <f>+FRIJALISCO!#REF!</f>
        <v>#REF!</v>
      </c>
      <c r="I69" s="86" t="e">
        <f>+FRIJALISCO!#REF!</f>
        <v>#REF!</v>
      </c>
      <c r="J69" s="86" t="e">
        <f>+FRIJALISCO!#REF!</f>
        <v>#REF!</v>
      </c>
      <c r="K69" s="86" t="e">
        <f>+FRIJALISCO!#REF!</f>
        <v>#REF!</v>
      </c>
      <c r="M69" s="202" t="e">
        <f t="shared" si="36"/>
        <v>#REF!</v>
      </c>
      <c r="O69" s="184" t="e">
        <f t="shared" si="37"/>
        <v>#REF!</v>
      </c>
    </row>
    <row r="70" spans="1:15" x14ac:dyDescent="0.25">
      <c r="A70" s="665"/>
      <c r="B70" s="3">
        <v>806980</v>
      </c>
      <c r="C70" s="11" t="s">
        <v>72</v>
      </c>
      <c r="D70" s="163">
        <v>146</v>
      </c>
      <c r="E70" s="86" t="e">
        <f>+FRIJALISCO!#REF!</f>
        <v>#REF!</v>
      </c>
      <c r="F70" s="86" t="e">
        <f>+FRIJALISCO!#REF!</f>
        <v>#REF!</v>
      </c>
      <c r="G70" s="86"/>
      <c r="H70" s="86" t="e">
        <f>+FRIJALISCO!#REF!</f>
        <v>#REF!</v>
      </c>
      <c r="I70" s="86" t="e">
        <f>+FRIJALISCO!#REF!</f>
        <v>#REF!</v>
      </c>
      <c r="J70" s="86" t="e">
        <f>+FRIJALISCO!#REF!</f>
        <v>#REF!</v>
      </c>
      <c r="K70" s="86" t="e">
        <f>+FRIJALISCO!#REF!</f>
        <v>#REF!</v>
      </c>
      <c r="M70" s="202" t="e">
        <f t="shared" si="36"/>
        <v>#REF!</v>
      </c>
      <c r="O70" s="184" t="e">
        <f t="shared" si="37"/>
        <v>#REF!</v>
      </c>
    </row>
    <row r="71" spans="1:15" ht="15.75" thickBot="1" x14ac:dyDescent="0.3">
      <c r="A71" s="665"/>
      <c r="B71" s="2">
        <v>806918</v>
      </c>
      <c r="C71" s="12" t="s">
        <v>155</v>
      </c>
      <c r="D71" s="165"/>
      <c r="E71" s="86" t="e">
        <f>+FRIJALISCO!#REF!</f>
        <v>#REF!</v>
      </c>
      <c r="F71" s="86" t="e">
        <f>+FRIJALISCO!#REF!</f>
        <v>#REF!</v>
      </c>
      <c r="G71" s="86"/>
      <c r="H71" s="86" t="e">
        <f>+FRIJALISCO!#REF!</f>
        <v>#REF!</v>
      </c>
      <c r="I71" s="86" t="e">
        <f>+FRIJALISCO!#REF!</f>
        <v>#REF!</v>
      </c>
      <c r="J71" s="86" t="e">
        <f>+FRIJALISCO!#REF!</f>
        <v>#REF!</v>
      </c>
      <c r="K71" s="86" t="e">
        <f>+FRIJALISCO!#REF!</f>
        <v>#REF!</v>
      </c>
      <c r="M71" s="202" t="e">
        <f t="shared" si="36"/>
        <v>#REF!</v>
      </c>
      <c r="O71" s="184" t="e">
        <f t="shared" si="37"/>
        <v>#REF!</v>
      </c>
    </row>
    <row r="72" spans="1:15" ht="15.75" thickBot="1" x14ac:dyDescent="0.3">
      <c r="A72" s="666"/>
      <c r="B72" s="653" t="s">
        <v>120</v>
      </c>
      <c r="C72" s="654"/>
      <c r="D72" s="476">
        <f t="array" ref="D72">+SUM(D68:D71)</f>
        <v>1647</v>
      </c>
      <c r="E72" s="476" t="e">
        <f t="array" ref="E72">+SUM(E68:E71)</f>
        <v>#REF!</v>
      </c>
      <c r="F72" s="476" t="e">
        <f t="array" ref="F72">+SUM(F68:F71)</f>
        <v>#REF!</v>
      </c>
      <c r="G72" s="476" t="e">
        <f t="array" ref="G72">+SUM(G68:G71)</f>
        <v>#REF!</v>
      </c>
      <c r="H72" s="476" t="e">
        <f t="array" ref="H72">+SUM(H68:H71)</f>
        <v>#REF!</v>
      </c>
      <c r="I72" s="476" t="e">
        <f t="array" ref="I72">+SUM(I68:I71)</f>
        <v>#REF!</v>
      </c>
      <c r="J72" s="476" t="e">
        <f t="array" ref="J72">+SUM(J68:J71)</f>
        <v>#REF!</v>
      </c>
      <c r="K72" s="476" t="e">
        <f t="array" ref="K72">+SUM(K68:K71)</f>
        <v>#REF!</v>
      </c>
      <c r="M72" s="207" t="e">
        <f t="array" ref="M72">+SUM(M68:M71)</f>
        <v>#REF!</v>
      </c>
      <c r="O72" s="189" t="e">
        <f>SUM(O68:O71)</f>
        <v>#REF!</v>
      </c>
    </row>
    <row r="73" spans="1:15" ht="15.75" thickBot="1" x14ac:dyDescent="0.3">
      <c r="A73" s="666"/>
      <c r="B73" s="681" t="s">
        <v>156</v>
      </c>
      <c r="C73" s="682"/>
      <c r="D73" s="171">
        <f t="shared" ref="D73:F73" si="38">+D72+D66</f>
        <v>2546</v>
      </c>
      <c r="E73" s="171" t="e">
        <f t="shared" si="38"/>
        <v>#REF!</v>
      </c>
      <c r="F73" s="171" t="e">
        <f t="shared" si="38"/>
        <v>#REF!</v>
      </c>
      <c r="G73" s="171" t="e">
        <f t="shared" ref="G73:H73" si="39">+G72+G66</f>
        <v>#REF!</v>
      </c>
      <c r="H73" s="171" t="e">
        <f t="shared" si="39"/>
        <v>#REF!</v>
      </c>
      <c r="I73" s="171" t="e">
        <f t="shared" ref="I73:J73" si="40">+I72+I66</f>
        <v>#REF!</v>
      </c>
      <c r="J73" s="171" t="e">
        <f t="shared" si="40"/>
        <v>#REF!</v>
      </c>
      <c r="K73" s="171" t="e">
        <f t="shared" ref="K73" si="41">+K72+K66</f>
        <v>#REF!</v>
      </c>
      <c r="M73" s="208" t="e">
        <f t="shared" ref="M73" si="42">+M72+M66</f>
        <v>#REF!</v>
      </c>
      <c r="O73" s="190" t="e">
        <f>+O72+O66</f>
        <v>#REF!</v>
      </c>
    </row>
    <row r="74" spans="1:15" x14ac:dyDescent="0.25">
      <c r="A74" s="675" t="s">
        <v>157</v>
      </c>
      <c r="B74" s="155" t="s">
        <v>52</v>
      </c>
      <c r="C74" s="156" t="s">
        <v>53</v>
      </c>
      <c r="D74" s="162"/>
      <c r="E74" s="163"/>
      <c r="F74" s="163"/>
      <c r="G74" s="163"/>
      <c r="H74" s="163"/>
      <c r="I74" s="163"/>
      <c r="J74" s="163"/>
      <c r="K74" s="163"/>
      <c r="M74" s="202"/>
      <c r="O74" s="184"/>
    </row>
    <row r="75" spans="1:15" x14ac:dyDescent="0.25">
      <c r="A75" s="675"/>
      <c r="B75" s="3">
        <v>807329</v>
      </c>
      <c r="C75" s="11" t="s">
        <v>158</v>
      </c>
      <c r="D75" s="163">
        <v>390</v>
      </c>
      <c r="E75" s="86" t="e">
        <f>+'VULPES PAPAS'!#REF!</f>
        <v>#REF!</v>
      </c>
      <c r="F75" s="86" t="e">
        <f>+'VULPES PAPAS'!#REF!</f>
        <v>#REF!</v>
      </c>
      <c r="G75" s="86" t="e">
        <f>+'VULPES PAPAS'!#REF!</f>
        <v>#REF!</v>
      </c>
      <c r="H75" s="86" t="e">
        <f>+'VULPES PAPAS'!#REF!</f>
        <v>#REF!</v>
      </c>
      <c r="I75" s="86" t="e">
        <f>+'VULPES PAPAS'!#REF!</f>
        <v>#REF!</v>
      </c>
      <c r="J75" s="86" t="e">
        <f>+'VULPES PAPAS'!#REF!</f>
        <v>#REF!</v>
      </c>
      <c r="K75" s="86" t="e">
        <f>+'VULPES PAPAS'!#REF!</f>
        <v>#REF!</v>
      </c>
      <c r="M75" s="202" t="e">
        <f t="shared" ref="M75:M89" si="43">+AVERAGE(J75,I75,K75)</f>
        <v>#REF!</v>
      </c>
      <c r="O75" s="184" t="e">
        <f>+M75/$M$105</f>
        <v>#REF!</v>
      </c>
    </row>
    <row r="76" spans="1:15" x14ac:dyDescent="0.25">
      <c r="A76" s="675"/>
      <c r="B76" s="3">
        <v>807679</v>
      </c>
      <c r="C76" s="11" t="s">
        <v>159</v>
      </c>
      <c r="D76" s="163">
        <v>101</v>
      </c>
      <c r="E76" s="86" t="e">
        <f>+'VULPES PAPAS'!#REF!</f>
        <v>#REF!</v>
      </c>
      <c r="F76" s="86" t="e">
        <f>+'VULPES PAPAS'!#REF!</f>
        <v>#REF!</v>
      </c>
      <c r="G76" s="86" t="e">
        <f>+'VULPES PAPAS'!#REF!</f>
        <v>#REF!</v>
      </c>
      <c r="H76" s="86" t="e">
        <f>+'VULPES PAPAS'!#REF!</f>
        <v>#REF!</v>
      </c>
      <c r="I76" s="86" t="e">
        <f>+'VULPES PAPAS'!#REF!</f>
        <v>#REF!</v>
      </c>
      <c r="J76" s="86" t="e">
        <f>+'VULPES PAPAS'!#REF!</f>
        <v>#REF!</v>
      </c>
      <c r="K76" s="86" t="e">
        <f>+'VULPES PAPAS'!#REF!</f>
        <v>#REF!</v>
      </c>
      <c r="M76" s="202" t="e">
        <f t="shared" si="43"/>
        <v>#REF!</v>
      </c>
      <c r="O76" s="184" t="e">
        <f t="shared" ref="O76:O90" si="44">+M76/$M$105</f>
        <v>#REF!</v>
      </c>
    </row>
    <row r="77" spans="1:15" x14ac:dyDescent="0.25">
      <c r="A77" s="675"/>
      <c r="B77" s="3">
        <v>807769</v>
      </c>
      <c r="C77" s="11" t="s">
        <v>160</v>
      </c>
      <c r="D77" s="163">
        <v>1213</v>
      </c>
      <c r="E77" s="86" t="e">
        <f>+'VULPES PAPAS'!#REF!</f>
        <v>#REF!</v>
      </c>
      <c r="F77" s="86" t="e">
        <f>+'VULPES PAPAS'!#REF!</f>
        <v>#REF!</v>
      </c>
      <c r="G77" s="86" t="e">
        <f>+'VULPES PAPAS'!#REF!</f>
        <v>#REF!</v>
      </c>
      <c r="H77" s="86" t="e">
        <f>+'VULPES PAPAS'!#REF!</f>
        <v>#REF!</v>
      </c>
      <c r="I77" s="86" t="e">
        <f>+'VULPES PAPAS'!#REF!</f>
        <v>#REF!</v>
      </c>
      <c r="J77" s="86" t="e">
        <f>+'VULPES PAPAS'!#REF!</f>
        <v>#REF!</v>
      </c>
      <c r="K77" s="86" t="e">
        <f>+'VULPES PAPAS'!#REF!</f>
        <v>#REF!</v>
      </c>
      <c r="M77" s="202" t="e">
        <f t="shared" si="43"/>
        <v>#REF!</v>
      </c>
      <c r="O77" s="184" t="e">
        <f t="shared" si="44"/>
        <v>#REF!</v>
      </c>
    </row>
    <row r="78" spans="1:15" x14ac:dyDescent="0.25">
      <c r="A78" s="675"/>
      <c r="B78" s="3">
        <v>805411</v>
      </c>
      <c r="C78" s="11" t="s">
        <v>79</v>
      </c>
      <c r="D78" s="163">
        <v>180</v>
      </c>
      <c r="E78" s="86" t="e">
        <f>+'VULPES PAPAS'!#REF!</f>
        <v>#REF!</v>
      </c>
      <c r="F78" s="86" t="e">
        <f>+'VULPES PAPAS'!#REF!</f>
        <v>#REF!</v>
      </c>
      <c r="G78" s="86" t="e">
        <f>+'VULPES PAPAS'!#REF!</f>
        <v>#REF!</v>
      </c>
      <c r="H78" s="86" t="e">
        <f>+'VULPES PAPAS'!#REF!</f>
        <v>#REF!</v>
      </c>
      <c r="I78" s="86" t="e">
        <f>+'VULPES PAPAS'!#REF!</f>
        <v>#REF!</v>
      </c>
      <c r="J78" s="86" t="e">
        <f>+'VULPES PAPAS'!#REF!</f>
        <v>#REF!</v>
      </c>
      <c r="K78" s="86" t="e">
        <f>+'VULPES PAPAS'!#REF!</f>
        <v>#REF!</v>
      </c>
      <c r="M78" s="202" t="e">
        <f t="shared" si="43"/>
        <v>#REF!</v>
      </c>
      <c r="O78" s="184" t="e">
        <f t="shared" si="44"/>
        <v>#REF!</v>
      </c>
    </row>
    <row r="79" spans="1:15" x14ac:dyDescent="0.25">
      <c r="A79" s="675"/>
      <c r="B79" s="3">
        <v>806957</v>
      </c>
      <c r="C79" s="11" t="s">
        <v>161</v>
      </c>
      <c r="D79" s="163"/>
      <c r="E79" s="86" t="e">
        <f>+'VULPES PAPAS'!#REF!</f>
        <v>#REF!</v>
      </c>
      <c r="F79" s="86" t="e">
        <f>+'VULPES PAPAS'!#REF!</f>
        <v>#REF!</v>
      </c>
      <c r="G79" s="86" t="e">
        <f>+'VULPES PAPAS'!#REF!</f>
        <v>#REF!</v>
      </c>
      <c r="H79" s="86" t="e">
        <f>+'VULPES PAPAS'!#REF!</f>
        <v>#REF!</v>
      </c>
      <c r="I79" s="86" t="e">
        <f>+'VULPES PAPAS'!#REF!</f>
        <v>#REF!</v>
      </c>
      <c r="J79" s="86" t="e">
        <f>+'VULPES PAPAS'!#REF!</f>
        <v>#REF!</v>
      </c>
      <c r="K79" s="86" t="e">
        <f>+'VULPES PAPAS'!#REF!</f>
        <v>#REF!</v>
      </c>
      <c r="M79" s="202" t="e">
        <f t="shared" si="43"/>
        <v>#REF!</v>
      </c>
      <c r="O79" s="184" t="e">
        <f t="shared" si="44"/>
        <v>#REF!</v>
      </c>
    </row>
    <row r="80" spans="1:15" x14ac:dyDescent="0.25">
      <c r="A80" s="675"/>
      <c r="B80" s="3">
        <v>802142</v>
      </c>
      <c r="C80" s="11" t="s">
        <v>92</v>
      </c>
      <c r="D80" s="163">
        <v>5</v>
      </c>
      <c r="E80" s="86" t="e">
        <f>+'VULPES PAPAS'!#REF!</f>
        <v>#REF!</v>
      </c>
      <c r="F80" s="86" t="e">
        <f>+'VULPES PAPAS'!#REF!</f>
        <v>#REF!</v>
      </c>
      <c r="G80" s="86" t="e">
        <f>+'VULPES PAPAS'!#REF!</f>
        <v>#REF!</v>
      </c>
      <c r="H80" s="86" t="e">
        <f>+'VULPES PAPAS'!#REF!</f>
        <v>#REF!</v>
      </c>
      <c r="I80" s="86" t="e">
        <f>+'VULPES PAPAS'!#REF!</f>
        <v>#REF!</v>
      </c>
      <c r="J80" s="86" t="e">
        <f>+'VULPES PAPAS'!#REF!</f>
        <v>#REF!</v>
      </c>
      <c r="K80" s="86" t="e">
        <f>+'VULPES PAPAS'!#REF!</f>
        <v>#REF!</v>
      </c>
      <c r="M80" s="202" t="e">
        <f t="shared" si="43"/>
        <v>#REF!</v>
      </c>
      <c r="O80" s="184" t="e">
        <f t="shared" si="44"/>
        <v>#REF!</v>
      </c>
    </row>
    <row r="81" spans="1:15" x14ac:dyDescent="0.25">
      <c r="A81" s="675"/>
      <c r="B81" s="3">
        <v>806982</v>
      </c>
      <c r="C81" s="11" t="s">
        <v>94</v>
      </c>
      <c r="D81" s="163">
        <v>59</v>
      </c>
      <c r="E81" s="86" t="e">
        <f>+'VULPES PAPAS'!#REF!</f>
        <v>#REF!</v>
      </c>
      <c r="F81" s="86" t="e">
        <f>+'VULPES PAPAS'!#REF!</f>
        <v>#REF!</v>
      </c>
      <c r="G81" s="86" t="e">
        <f>+'VULPES PAPAS'!#REF!</f>
        <v>#REF!</v>
      </c>
      <c r="H81" s="86" t="e">
        <f>+'VULPES PAPAS'!#REF!</f>
        <v>#REF!</v>
      </c>
      <c r="I81" s="86" t="e">
        <f>+'VULPES PAPAS'!#REF!</f>
        <v>#REF!</v>
      </c>
      <c r="J81" s="86" t="e">
        <f>+'VULPES PAPAS'!#REF!</f>
        <v>#REF!</v>
      </c>
      <c r="K81" s="86" t="e">
        <f>+'VULPES PAPAS'!#REF!</f>
        <v>#REF!</v>
      </c>
      <c r="M81" s="202" t="e">
        <f t="shared" si="43"/>
        <v>#REF!</v>
      </c>
      <c r="O81" s="184" t="e">
        <f t="shared" si="44"/>
        <v>#REF!</v>
      </c>
    </row>
    <row r="82" spans="1:15" x14ac:dyDescent="0.25">
      <c r="A82" s="675"/>
      <c r="B82" s="3">
        <v>260612</v>
      </c>
      <c r="C82" s="11" t="s">
        <v>101</v>
      </c>
      <c r="D82" s="163">
        <v>322.5</v>
      </c>
      <c r="E82" s="86" t="e">
        <f>+'VULPES PAPAS'!#REF!</f>
        <v>#REF!</v>
      </c>
      <c r="F82" s="86" t="e">
        <f>+'VULPES PAPAS'!#REF!</f>
        <v>#REF!</v>
      </c>
      <c r="G82" s="86" t="e">
        <f>+'VULPES PAPAS'!#REF!</f>
        <v>#REF!</v>
      </c>
      <c r="H82" s="86" t="e">
        <f>+'VULPES PAPAS'!#REF!</f>
        <v>#REF!</v>
      </c>
      <c r="I82" s="86" t="e">
        <f>+'VULPES PAPAS'!#REF!</f>
        <v>#REF!</v>
      </c>
      <c r="J82" s="86" t="e">
        <f>+'VULPES PAPAS'!#REF!</f>
        <v>#REF!</v>
      </c>
      <c r="K82" s="86" t="e">
        <f>+'VULPES PAPAS'!#REF!</f>
        <v>#REF!</v>
      </c>
      <c r="M82" s="202" t="e">
        <f t="shared" si="43"/>
        <v>#REF!</v>
      </c>
      <c r="O82" s="184" t="e">
        <f t="shared" si="44"/>
        <v>#REF!</v>
      </c>
    </row>
    <row r="83" spans="1:15" x14ac:dyDescent="0.25">
      <c r="A83" s="675"/>
      <c r="B83" s="3">
        <v>803528</v>
      </c>
      <c r="C83" s="11" t="s">
        <v>154</v>
      </c>
      <c r="D83" s="163"/>
      <c r="E83" s="86" t="e">
        <f>+'VULPES PAPAS'!#REF!</f>
        <v>#REF!</v>
      </c>
      <c r="F83" s="86" t="e">
        <f>+'VULPES PAPAS'!#REF!</f>
        <v>#REF!</v>
      </c>
      <c r="G83" s="86" t="e">
        <f>+'VULPES PAPAS'!#REF!</f>
        <v>#REF!</v>
      </c>
      <c r="H83" s="86" t="e">
        <f>+'VULPES PAPAS'!#REF!</f>
        <v>#REF!</v>
      </c>
      <c r="I83" s="86" t="e">
        <f>+'VULPES PAPAS'!#REF!</f>
        <v>#REF!</v>
      </c>
      <c r="J83" s="86" t="e">
        <f>+'VULPES PAPAS'!#REF!</f>
        <v>#REF!</v>
      </c>
      <c r="K83" s="86" t="e">
        <f>+'VULPES PAPAS'!#REF!</f>
        <v>#REF!</v>
      </c>
      <c r="M83" s="202" t="e">
        <f t="shared" si="43"/>
        <v>#REF!</v>
      </c>
      <c r="O83" s="184" t="e">
        <f t="shared" si="44"/>
        <v>#REF!</v>
      </c>
    </row>
    <row r="84" spans="1:15" x14ac:dyDescent="0.25">
      <c r="A84" s="675"/>
      <c r="B84" s="3">
        <v>804104</v>
      </c>
      <c r="C84" s="11" t="s">
        <v>162</v>
      </c>
      <c r="D84" s="163"/>
      <c r="E84" s="86" t="e">
        <f>+'VULPES PAPAS'!#REF!</f>
        <v>#REF!</v>
      </c>
      <c r="F84" s="86" t="e">
        <f>+'VULPES PAPAS'!#REF!</f>
        <v>#REF!</v>
      </c>
      <c r="G84" s="86" t="e">
        <f>+'VULPES PAPAS'!#REF!</f>
        <v>#REF!</v>
      </c>
      <c r="H84" s="86" t="e">
        <f>+'VULPES PAPAS'!#REF!</f>
        <v>#REF!</v>
      </c>
      <c r="I84" s="86" t="e">
        <f>+'VULPES PAPAS'!#REF!</f>
        <v>#REF!</v>
      </c>
      <c r="J84" s="86" t="e">
        <f>+'VULPES PAPAS'!#REF!</f>
        <v>#REF!</v>
      </c>
      <c r="K84" s="86" t="e">
        <f>+'VULPES PAPAS'!#REF!</f>
        <v>#REF!</v>
      </c>
      <c r="M84" s="202" t="e">
        <f t="shared" si="43"/>
        <v>#REF!</v>
      </c>
      <c r="O84" s="184" t="e">
        <f t="shared" si="44"/>
        <v>#REF!</v>
      </c>
    </row>
    <row r="85" spans="1:15" x14ac:dyDescent="0.25">
      <c r="A85" s="675"/>
      <c r="B85" s="3">
        <v>809025</v>
      </c>
      <c r="C85" s="11" t="s">
        <v>163</v>
      </c>
      <c r="D85" s="163"/>
      <c r="E85" s="86" t="e">
        <f>+'VULPES PAPAS'!#REF!</f>
        <v>#REF!</v>
      </c>
      <c r="F85" s="86" t="e">
        <f>+'VULPES PAPAS'!#REF!</f>
        <v>#REF!</v>
      </c>
      <c r="G85" s="86" t="e">
        <f>+'VULPES PAPAS'!#REF!</f>
        <v>#REF!</v>
      </c>
      <c r="H85" s="86" t="e">
        <f>+'VULPES PAPAS'!#REF!</f>
        <v>#REF!</v>
      </c>
      <c r="I85" s="86" t="e">
        <f>+'VULPES PAPAS'!#REF!</f>
        <v>#REF!</v>
      </c>
      <c r="J85" s="86" t="e">
        <f>+'VULPES PAPAS'!#REF!</f>
        <v>#REF!</v>
      </c>
      <c r="K85" s="86" t="e">
        <f>+'VULPES PAPAS'!#REF!</f>
        <v>#REF!</v>
      </c>
      <c r="M85" s="202" t="e">
        <f t="shared" si="43"/>
        <v>#REF!</v>
      </c>
      <c r="O85" s="184" t="e">
        <f t="shared" si="44"/>
        <v>#REF!</v>
      </c>
    </row>
    <row r="86" spans="1:15" x14ac:dyDescent="0.25">
      <c r="A86" s="675"/>
      <c r="B86" s="3">
        <v>806686</v>
      </c>
      <c r="C86" s="11" t="s">
        <v>70</v>
      </c>
      <c r="D86" s="163"/>
      <c r="E86" s="86" t="e">
        <f>+'VULPES PAPAS'!#REF!</f>
        <v>#REF!</v>
      </c>
      <c r="F86" s="86" t="e">
        <f>+'VULPES PAPAS'!#REF!</f>
        <v>#REF!</v>
      </c>
      <c r="G86" s="86" t="e">
        <f>+'VULPES PAPAS'!#REF!</f>
        <v>#REF!</v>
      </c>
      <c r="H86" s="86" t="e">
        <f>+'VULPES PAPAS'!#REF!</f>
        <v>#REF!</v>
      </c>
      <c r="I86" s="86" t="e">
        <f>+'VULPES PAPAS'!#REF!</f>
        <v>#REF!</v>
      </c>
      <c r="J86" s="86" t="e">
        <f>+'VULPES PAPAS'!#REF!</f>
        <v>#REF!</v>
      </c>
      <c r="K86" s="86" t="e">
        <f>+'VULPES PAPAS'!#REF!</f>
        <v>#REF!</v>
      </c>
      <c r="M86" s="202" t="e">
        <f t="shared" si="43"/>
        <v>#REF!</v>
      </c>
      <c r="O86" s="184" t="e">
        <f t="shared" si="44"/>
        <v>#REF!</v>
      </c>
    </row>
    <row r="87" spans="1:15" x14ac:dyDescent="0.25">
      <c r="A87" s="675"/>
      <c r="B87" s="3">
        <v>804109</v>
      </c>
      <c r="C87" s="11" t="s">
        <v>71</v>
      </c>
      <c r="D87" s="163"/>
      <c r="E87" s="86" t="e">
        <f>+'VULPES PAPAS'!#REF!</f>
        <v>#REF!</v>
      </c>
      <c r="F87" s="86" t="e">
        <f>+'VULPES PAPAS'!#REF!</f>
        <v>#REF!</v>
      </c>
      <c r="G87" s="86" t="e">
        <f>+'VULPES PAPAS'!#REF!</f>
        <v>#REF!</v>
      </c>
      <c r="H87" s="86" t="e">
        <f>+'VULPES PAPAS'!#REF!</f>
        <v>#REF!</v>
      </c>
      <c r="I87" s="86" t="e">
        <f>+'VULPES PAPAS'!#REF!</f>
        <v>#REF!</v>
      </c>
      <c r="J87" s="86" t="e">
        <f>+'VULPES PAPAS'!#REF!</f>
        <v>#REF!</v>
      </c>
      <c r="K87" s="86" t="e">
        <f>+'VULPES PAPAS'!#REF!</f>
        <v>#REF!</v>
      </c>
      <c r="M87" s="202" t="e">
        <f t="shared" si="43"/>
        <v>#REF!</v>
      </c>
      <c r="O87" s="184" t="e">
        <f t="shared" si="44"/>
        <v>#REF!</v>
      </c>
    </row>
    <row r="88" spans="1:15" x14ac:dyDescent="0.25">
      <c r="A88" s="675"/>
      <c r="B88" s="3">
        <v>806918</v>
      </c>
      <c r="C88" s="11" t="s">
        <v>155</v>
      </c>
      <c r="D88" s="163"/>
      <c r="E88" s="86" t="e">
        <f>+'VULPES PAPAS'!#REF!</f>
        <v>#REF!</v>
      </c>
      <c r="F88" s="86" t="e">
        <f>+'VULPES PAPAS'!#REF!</f>
        <v>#REF!</v>
      </c>
      <c r="G88" s="86" t="e">
        <f>+'VULPES PAPAS'!#REF!</f>
        <v>#REF!</v>
      </c>
      <c r="H88" s="86" t="e">
        <f>+'VULPES PAPAS'!#REF!</f>
        <v>#REF!</v>
      </c>
      <c r="I88" s="86" t="e">
        <f>+'VULPES PAPAS'!#REF!</f>
        <v>#REF!</v>
      </c>
      <c r="J88" s="86" t="e">
        <f>+'VULPES PAPAS'!#REF!</f>
        <v>#REF!</v>
      </c>
      <c r="K88" s="86" t="e">
        <f>+'VULPES PAPAS'!#REF!</f>
        <v>#REF!</v>
      </c>
      <c r="M88" s="202" t="e">
        <f t="shared" si="43"/>
        <v>#REF!</v>
      </c>
      <c r="O88" s="184" t="e">
        <f t="shared" si="44"/>
        <v>#REF!</v>
      </c>
    </row>
    <row r="89" spans="1:15" ht="15.75" thickBot="1" x14ac:dyDescent="0.3">
      <c r="A89" s="675"/>
      <c r="B89" s="3">
        <v>809013</v>
      </c>
      <c r="C89" s="11" t="s">
        <v>164</v>
      </c>
      <c r="D89" s="163"/>
      <c r="E89" s="86" t="e">
        <f>+'VULPES PAPAS'!#REF!</f>
        <v>#REF!</v>
      </c>
      <c r="F89" s="86" t="e">
        <f>+'VULPES PAPAS'!#REF!</f>
        <v>#REF!</v>
      </c>
      <c r="G89" s="86" t="e">
        <f>+'VULPES PAPAS'!#REF!</f>
        <v>#REF!</v>
      </c>
      <c r="H89" s="86" t="e">
        <f>+'VULPES PAPAS'!#REF!</f>
        <v>#REF!</v>
      </c>
      <c r="I89" s="86" t="e">
        <f>+'VULPES PAPAS'!#REF!</f>
        <v>#REF!</v>
      </c>
      <c r="J89" s="86" t="e">
        <f>+'VULPES PAPAS'!#REF!</f>
        <v>#REF!</v>
      </c>
      <c r="K89" s="86" t="e">
        <f>+'VULPES PAPAS'!#REF!</f>
        <v>#REF!</v>
      </c>
      <c r="M89" s="202" t="e">
        <f t="shared" si="43"/>
        <v>#REF!</v>
      </c>
      <c r="O89" s="184" t="e">
        <f t="shared" si="44"/>
        <v>#REF!</v>
      </c>
    </row>
    <row r="90" spans="1:15" ht="15.75" thickBot="1" x14ac:dyDescent="0.3">
      <c r="A90" s="675"/>
      <c r="B90" s="147" t="s">
        <v>165</v>
      </c>
      <c r="C90" s="148" t="s">
        <v>166</v>
      </c>
      <c r="D90" s="165"/>
      <c r="E90" s="86" t="e">
        <f>+'VULPES PAPAS'!#REF!</f>
        <v>#REF!</v>
      </c>
      <c r="F90" s="86" t="e">
        <f>+'VULPES PAPAS'!#REF!</f>
        <v>#REF!</v>
      </c>
      <c r="G90" s="86"/>
      <c r="H90" s="86"/>
      <c r="I90" s="86"/>
      <c r="J90" s="86"/>
      <c r="K90" s="86"/>
      <c r="M90" s="202"/>
      <c r="O90" s="184" t="e">
        <f t="shared" si="44"/>
        <v>#REF!</v>
      </c>
    </row>
    <row r="91" spans="1:15" ht="15.75" thickBot="1" x14ac:dyDescent="0.3">
      <c r="A91" s="676"/>
      <c r="B91" s="653" t="s">
        <v>120</v>
      </c>
      <c r="C91" s="654"/>
      <c r="D91" s="476">
        <f t="shared" ref="D91" si="45">+SUM(D75:D90)</f>
        <v>2270.5</v>
      </c>
      <c r="E91" s="174" t="e">
        <f t="shared" ref="E91:J91" si="46">+SUM(E75:E89)</f>
        <v>#REF!</v>
      </c>
      <c r="F91" s="174" t="e">
        <f t="shared" si="46"/>
        <v>#REF!</v>
      </c>
      <c r="G91" s="174" t="e">
        <f t="shared" si="46"/>
        <v>#REF!</v>
      </c>
      <c r="H91" s="174" t="e">
        <f t="shared" si="46"/>
        <v>#REF!</v>
      </c>
      <c r="I91" s="174" t="e">
        <f t="shared" si="46"/>
        <v>#REF!</v>
      </c>
      <c r="J91" s="174" t="e">
        <f t="shared" si="46"/>
        <v>#REF!</v>
      </c>
      <c r="K91" s="174" t="e">
        <f t="shared" ref="K91" si="47">+SUM(K75:K89)</f>
        <v>#REF!</v>
      </c>
      <c r="M91" s="207" t="e">
        <f>+SUM(M75:M90)</f>
        <v>#REF!</v>
      </c>
      <c r="O91" s="189" t="e">
        <f>SUM(O75:O90)</f>
        <v>#REF!</v>
      </c>
    </row>
    <row r="92" spans="1:15" x14ac:dyDescent="0.25">
      <c r="A92" s="675"/>
      <c r="B92" s="155" t="s">
        <v>52</v>
      </c>
      <c r="C92" s="156" t="s">
        <v>53</v>
      </c>
      <c r="D92" s="162"/>
      <c r="E92" s="163"/>
      <c r="F92" s="163"/>
      <c r="G92" s="163"/>
      <c r="H92" s="163"/>
      <c r="I92" s="163"/>
      <c r="J92" s="163"/>
      <c r="K92" s="163"/>
      <c r="M92" s="202"/>
      <c r="O92" s="184"/>
    </row>
    <row r="93" spans="1:15" x14ac:dyDescent="0.25">
      <c r="A93" s="675"/>
      <c r="B93" s="10">
        <v>102341</v>
      </c>
      <c r="C93" s="19" t="s">
        <v>147</v>
      </c>
      <c r="D93" s="163">
        <v>330</v>
      </c>
      <c r="E93" s="86" t="e">
        <f>+'VULPES PAPAS'!#REF!</f>
        <v>#REF!</v>
      </c>
      <c r="F93" s="86" t="e">
        <f>+'VULPES PAPAS'!#REF!</f>
        <v>#REF!</v>
      </c>
      <c r="G93" s="86" t="e">
        <f>+'VULPES PAPAS'!#REF!</f>
        <v>#REF!</v>
      </c>
      <c r="H93" s="86" t="e">
        <f>+'VULPES PAPAS'!#REF!</f>
        <v>#REF!</v>
      </c>
      <c r="I93" s="86" t="e">
        <f>+'VULPES PAPAS'!#REF!</f>
        <v>#REF!</v>
      </c>
      <c r="J93" s="86" t="e">
        <f>+'VULPES PAPAS'!#REF!</f>
        <v>#REF!</v>
      </c>
      <c r="K93" s="86" t="e">
        <f>+'VULPES PAPAS'!#REF!</f>
        <v>#REF!</v>
      </c>
      <c r="M93" s="202" t="e">
        <f t="shared" ref="M93:M103" si="48">+AVERAGE(J93,I93,K93)</f>
        <v>#REF!</v>
      </c>
      <c r="O93" s="184" t="e">
        <f t="shared" ref="O93:O103" si="49">+M93/$M$105</f>
        <v>#REF!</v>
      </c>
    </row>
    <row r="94" spans="1:15" x14ac:dyDescent="0.25">
      <c r="A94" s="675"/>
      <c r="B94" s="10">
        <v>102013</v>
      </c>
      <c r="C94" s="19" t="s">
        <v>167</v>
      </c>
      <c r="D94" s="163">
        <v>439.5</v>
      </c>
      <c r="E94" s="86" t="e">
        <f>+'VULPES PAPAS'!#REF!</f>
        <v>#REF!</v>
      </c>
      <c r="F94" s="86" t="e">
        <f>+'VULPES PAPAS'!#REF!</f>
        <v>#REF!</v>
      </c>
      <c r="G94" s="86" t="e">
        <f>+'VULPES PAPAS'!#REF!</f>
        <v>#REF!</v>
      </c>
      <c r="H94" s="86" t="e">
        <f>+'VULPES PAPAS'!#REF!</f>
        <v>#REF!</v>
      </c>
      <c r="I94" s="86" t="e">
        <f>+'VULPES PAPAS'!#REF!</f>
        <v>#REF!</v>
      </c>
      <c r="J94" s="86" t="e">
        <f>+'VULPES PAPAS'!#REF!</f>
        <v>#REF!</v>
      </c>
      <c r="K94" s="86" t="e">
        <f>+'VULPES PAPAS'!#REF!</f>
        <v>#REF!</v>
      </c>
      <c r="M94" s="202" t="e">
        <f t="shared" si="48"/>
        <v>#REF!</v>
      </c>
      <c r="O94" s="184" t="e">
        <f t="shared" si="49"/>
        <v>#REF!</v>
      </c>
    </row>
    <row r="95" spans="1:15" x14ac:dyDescent="0.25">
      <c r="A95" s="675"/>
      <c r="B95" s="10">
        <v>102419</v>
      </c>
      <c r="C95" s="19" t="s">
        <v>152</v>
      </c>
      <c r="D95" s="163">
        <v>124</v>
      </c>
      <c r="E95" s="86" t="e">
        <f>+'VULPES PAPAS'!#REF!</f>
        <v>#REF!</v>
      </c>
      <c r="F95" s="86" t="e">
        <f>+'VULPES PAPAS'!#REF!</f>
        <v>#REF!</v>
      </c>
      <c r="G95" s="86" t="e">
        <f>+'VULPES PAPAS'!#REF!</f>
        <v>#REF!</v>
      </c>
      <c r="H95" s="86" t="e">
        <f>+'VULPES PAPAS'!#REF!</f>
        <v>#REF!</v>
      </c>
      <c r="I95" s="86" t="e">
        <f>+'VULPES PAPAS'!#REF!</f>
        <v>#REF!</v>
      </c>
      <c r="J95" s="86" t="e">
        <f>+'VULPES PAPAS'!#REF!</f>
        <v>#REF!</v>
      </c>
      <c r="K95" s="86" t="e">
        <f>+'VULPES PAPAS'!#REF!</f>
        <v>#REF!</v>
      </c>
      <c r="M95" s="202" t="e">
        <f t="shared" si="48"/>
        <v>#REF!</v>
      </c>
      <c r="O95" s="184" t="e">
        <f t="shared" si="49"/>
        <v>#REF!</v>
      </c>
    </row>
    <row r="96" spans="1:15" x14ac:dyDescent="0.25">
      <c r="A96" s="675"/>
      <c r="B96" s="10">
        <v>114054</v>
      </c>
      <c r="C96" s="19" t="s">
        <v>168</v>
      </c>
      <c r="D96" s="163">
        <v>68.5</v>
      </c>
      <c r="E96" s="86" t="e">
        <f>+'VULPES PAPAS'!#REF!</f>
        <v>#REF!</v>
      </c>
      <c r="F96" s="86" t="e">
        <f>+'VULPES PAPAS'!#REF!</f>
        <v>#REF!</v>
      </c>
      <c r="G96" s="86" t="e">
        <f>+'VULPES PAPAS'!#REF!</f>
        <v>#REF!</v>
      </c>
      <c r="H96" s="86" t="e">
        <f>+'VULPES PAPAS'!#REF!</f>
        <v>#REF!</v>
      </c>
      <c r="I96" s="86" t="e">
        <f>+'VULPES PAPAS'!#REF!</f>
        <v>#REF!</v>
      </c>
      <c r="J96" s="86" t="e">
        <f>+'VULPES PAPAS'!#REF!</f>
        <v>#REF!</v>
      </c>
      <c r="K96" s="86" t="e">
        <f>+'VULPES PAPAS'!#REF!</f>
        <v>#REF!</v>
      </c>
      <c r="M96" s="202" t="e">
        <f t="shared" si="48"/>
        <v>#REF!</v>
      </c>
      <c r="O96" s="184" t="e">
        <f t="shared" si="49"/>
        <v>#REF!</v>
      </c>
    </row>
    <row r="97" spans="1:15" x14ac:dyDescent="0.25">
      <c r="A97" s="675"/>
      <c r="B97" s="10">
        <v>102310</v>
      </c>
      <c r="C97" s="19" t="s">
        <v>148</v>
      </c>
      <c r="D97" s="163">
        <v>20</v>
      </c>
      <c r="E97" s="86" t="e">
        <f>+'VULPES PAPAS'!#REF!</f>
        <v>#REF!</v>
      </c>
      <c r="F97" s="86" t="e">
        <f>+'VULPES PAPAS'!#REF!</f>
        <v>#REF!</v>
      </c>
      <c r="G97" s="86" t="e">
        <f>+'VULPES PAPAS'!#REF!</f>
        <v>#REF!</v>
      </c>
      <c r="H97" s="86" t="e">
        <f>+'VULPES PAPAS'!#REF!</f>
        <v>#REF!</v>
      </c>
      <c r="I97" s="86" t="e">
        <f>+'VULPES PAPAS'!#REF!</f>
        <v>#REF!</v>
      </c>
      <c r="J97" s="86" t="e">
        <f>+'VULPES PAPAS'!#REF!</f>
        <v>#REF!</v>
      </c>
      <c r="K97" s="86" t="e">
        <f>+'VULPES PAPAS'!#REF!</f>
        <v>#REF!</v>
      </c>
      <c r="M97" s="202" t="e">
        <f t="shared" si="48"/>
        <v>#REF!</v>
      </c>
      <c r="O97" s="184" t="e">
        <f t="shared" si="49"/>
        <v>#REF!</v>
      </c>
    </row>
    <row r="98" spans="1:15" x14ac:dyDescent="0.25">
      <c r="A98" s="675"/>
      <c r="B98" s="10">
        <v>102211</v>
      </c>
      <c r="C98" s="19" t="s">
        <v>149</v>
      </c>
      <c r="D98" s="163">
        <v>155.25</v>
      </c>
      <c r="E98" s="86" t="e">
        <f>+'VULPES PAPAS'!#REF!</f>
        <v>#REF!</v>
      </c>
      <c r="F98" s="86" t="e">
        <f>+'VULPES PAPAS'!#REF!</f>
        <v>#REF!</v>
      </c>
      <c r="G98" s="86" t="e">
        <f>+'VULPES PAPAS'!#REF!</f>
        <v>#REF!</v>
      </c>
      <c r="H98" s="86" t="e">
        <f>+'VULPES PAPAS'!#REF!</f>
        <v>#REF!</v>
      </c>
      <c r="I98" s="86" t="e">
        <f>+'VULPES PAPAS'!#REF!</f>
        <v>#REF!</v>
      </c>
      <c r="J98" s="86" t="e">
        <f>+'VULPES PAPAS'!#REF!</f>
        <v>#REF!</v>
      </c>
      <c r="K98" s="86" t="e">
        <f>+'VULPES PAPAS'!#REF!</f>
        <v>#REF!</v>
      </c>
      <c r="M98" s="202" t="e">
        <f t="shared" si="48"/>
        <v>#REF!</v>
      </c>
      <c r="O98" s="184" t="e">
        <f t="shared" si="49"/>
        <v>#REF!</v>
      </c>
    </row>
    <row r="99" spans="1:15" x14ac:dyDescent="0.25">
      <c r="A99" s="675"/>
      <c r="B99" s="10">
        <v>104215</v>
      </c>
      <c r="C99" s="19" t="s">
        <v>150</v>
      </c>
      <c r="D99" s="163">
        <v>113</v>
      </c>
      <c r="E99" s="86" t="e">
        <f>+'VULPES PAPAS'!#REF!</f>
        <v>#REF!</v>
      </c>
      <c r="F99" s="86" t="e">
        <f>+'VULPES PAPAS'!#REF!</f>
        <v>#REF!</v>
      </c>
      <c r="G99" s="86" t="e">
        <f>+'VULPES PAPAS'!#REF!</f>
        <v>#REF!</v>
      </c>
      <c r="H99" s="86" t="e">
        <f>+'VULPES PAPAS'!#REF!</f>
        <v>#REF!</v>
      </c>
      <c r="I99" s="86" t="e">
        <f>+'VULPES PAPAS'!#REF!</f>
        <v>#REF!</v>
      </c>
      <c r="J99" s="86" t="e">
        <f>+'VULPES PAPAS'!#REF!</f>
        <v>#REF!</v>
      </c>
      <c r="K99" s="86" t="e">
        <f>+'VULPES PAPAS'!#REF!</f>
        <v>#REF!</v>
      </c>
      <c r="M99" s="202" t="e">
        <f t="shared" si="48"/>
        <v>#REF!</v>
      </c>
      <c r="O99" s="184" t="e">
        <f t="shared" si="49"/>
        <v>#REF!</v>
      </c>
    </row>
    <row r="100" spans="1:15" x14ac:dyDescent="0.25">
      <c r="A100" s="675"/>
      <c r="B100" s="10">
        <v>111435</v>
      </c>
      <c r="C100" s="19" t="s">
        <v>169</v>
      </c>
      <c r="D100" s="163"/>
      <c r="E100" s="86" t="e">
        <f>+'VULPES PAPAS'!#REF!</f>
        <v>#REF!</v>
      </c>
      <c r="F100" s="86" t="e">
        <f>+'VULPES PAPAS'!#REF!</f>
        <v>#REF!</v>
      </c>
      <c r="G100" s="86" t="e">
        <f>+'VULPES PAPAS'!#REF!</f>
        <v>#REF!</v>
      </c>
      <c r="H100" s="86" t="e">
        <f>+'VULPES PAPAS'!#REF!</f>
        <v>#REF!</v>
      </c>
      <c r="I100" s="86" t="e">
        <f>+'VULPES PAPAS'!#REF!</f>
        <v>#REF!</v>
      </c>
      <c r="J100" s="86" t="e">
        <f>+'VULPES PAPAS'!#REF!</f>
        <v>#REF!</v>
      </c>
      <c r="K100" s="86" t="e">
        <f>+'VULPES PAPAS'!#REF!</f>
        <v>#REF!</v>
      </c>
      <c r="M100" s="202" t="e">
        <f t="shared" si="48"/>
        <v>#REF!</v>
      </c>
      <c r="O100" s="184" t="e">
        <f t="shared" si="49"/>
        <v>#REF!</v>
      </c>
    </row>
    <row r="101" spans="1:15" x14ac:dyDescent="0.25">
      <c r="A101" s="675"/>
      <c r="B101" s="10">
        <v>105595</v>
      </c>
      <c r="C101" s="19" t="s">
        <v>170</v>
      </c>
      <c r="D101" s="163"/>
      <c r="E101" s="86" t="e">
        <f>+'VULPES PAPAS'!#REF!</f>
        <v>#REF!</v>
      </c>
      <c r="F101" s="86" t="e">
        <f>+'VULPES PAPAS'!#REF!</f>
        <v>#REF!</v>
      </c>
      <c r="G101" s="86" t="e">
        <f>+'VULPES PAPAS'!#REF!</f>
        <v>#REF!</v>
      </c>
      <c r="H101" s="86" t="e">
        <f>+'VULPES PAPAS'!#REF!</f>
        <v>#REF!</v>
      </c>
      <c r="I101" s="86" t="e">
        <f>+'VULPES PAPAS'!#REF!</f>
        <v>#REF!</v>
      </c>
      <c r="J101" s="86" t="e">
        <f>+'VULPES PAPAS'!#REF!</f>
        <v>#REF!</v>
      </c>
      <c r="K101" s="86" t="e">
        <f>+'VULPES PAPAS'!#REF!</f>
        <v>#REF!</v>
      </c>
      <c r="M101" s="202" t="e">
        <f t="shared" si="48"/>
        <v>#REF!</v>
      </c>
      <c r="O101" s="184" t="e">
        <f t="shared" si="49"/>
        <v>#REF!</v>
      </c>
    </row>
    <row r="102" spans="1:15" x14ac:dyDescent="0.25">
      <c r="A102" s="675"/>
      <c r="B102" s="10">
        <v>114405</v>
      </c>
      <c r="C102" s="19" t="s">
        <v>171</v>
      </c>
      <c r="D102" s="165">
        <v>3</v>
      </c>
      <c r="E102" s="86" t="e">
        <f>+'VULPES PAPAS'!#REF!</f>
        <v>#REF!</v>
      </c>
      <c r="F102" s="86" t="e">
        <f>+'VULPES PAPAS'!#REF!</f>
        <v>#REF!</v>
      </c>
      <c r="G102" s="86" t="e">
        <f>+'VULPES PAPAS'!#REF!</f>
        <v>#REF!</v>
      </c>
      <c r="H102" s="86" t="e">
        <f>+'VULPES PAPAS'!#REF!</f>
        <v>#REF!</v>
      </c>
      <c r="I102" s="86" t="e">
        <f>+'VULPES PAPAS'!#REF!</f>
        <v>#REF!</v>
      </c>
      <c r="J102" s="86" t="e">
        <f>+'VULPES PAPAS'!#REF!</f>
        <v>#REF!</v>
      </c>
      <c r="K102" s="86" t="e">
        <f>+'VULPES PAPAS'!#REF!</f>
        <v>#REF!</v>
      </c>
      <c r="M102" s="202" t="e">
        <f t="shared" si="48"/>
        <v>#REF!</v>
      </c>
      <c r="O102" s="184" t="e">
        <f t="shared" si="49"/>
        <v>#REF!</v>
      </c>
    </row>
    <row r="103" spans="1:15" ht="15.75" thickBot="1" x14ac:dyDescent="0.3">
      <c r="A103" s="675"/>
      <c r="B103" s="21">
        <v>105632</v>
      </c>
      <c r="C103" s="45" t="s">
        <v>172</v>
      </c>
      <c r="D103" s="165"/>
      <c r="E103" s="86" t="e">
        <f>+'VULPES PAPAS'!#REF!</f>
        <v>#REF!</v>
      </c>
      <c r="F103" s="86" t="e">
        <f>+'VULPES PAPAS'!#REF!</f>
        <v>#REF!</v>
      </c>
      <c r="G103" s="86" t="e">
        <f>+'VULPES PAPAS'!#REF!</f>
        <v>#REF!</v>
      </c>
      <c r="H103" s="86" t="e">
        <f>+'VULPES PAPAS'!#REF!</f>
        <v>#REF!</v>
      </c>
      <c r="I103" s="86" t="e">
        <f>+'VULPES PAPAS'!#REF!</f>
        <v>#REF!</v>
      </c>
      <c r="J103" s="86" t="e">
        <f>+'VULPES PAPAS'!#REF!</f>
        <v>#REF!</v>
      </c>
      <c r="K103" s="86" t="e">
        <f>+'VULPES PAPAS'!#REF!</f>
        <v>#REF!</v>
      </c>
      <c r="M103" s="202" t="e">
        <f t="shared" si="48"/>
        <v>#REF!</v>
      </c>
      <c r="O103" s="184" t="e">
        <f t="shared" si="49"/>
        <v>#REF!</v>
      </c>
    </row>
    <row r="104" spans="1:15" ht="15.75" thickBot="1" x14ac:dyDescent="0.3">
      <c r="A104" s="676"/>
      <c r="B104" s="655" t="s">
        <v>130</v>
      </c>
      <c r="C104" s="656"/>
      <c r="D104" s="476">
        <f t="shared" ref="D104" si="50">+SUM(D93:D103)</f>
        <v>1253.25</v>
      </c>
      <c r="E104" s="168" t="e">
        <f t="shared" ref="E104:J104" si="51">+SUM(E93:E103)</f>
        <v>#REF!</v>
      </c>
      <c r="F104" s="168" t="e">
        <f t="shared" si="51"/>
        <v>#REF!</v>
      </c>
      <c r="G104" s="168" t="e">
        <f t="shared" si="51"/>
        <v>#REF!</v>
      </c>
      <c r="H104" s="168" t="e">
        <f t="shared" si="51"/>
        <v>#REF!</v>
      </c>
      <c r="I104" s="168" t="e">
        <f t="shared" si="51"/>
        <v>#REF!</v>
      </c>
      <c r="J104" s="168" t="e">
        <f t="shared" si="51"/>
        <v>#REF!</v>
      </c>
      <c r="K104" s="168" t="e">
        <f t="shared" ref="K104" si="52">+SUM(K93:K103)</f>
        <v>#REF!</v>
      </c>
      <c r="M104" s="203" t="e">
        <f>+SUM(M93:M103)</f>
        <v>#REF!</v>
      </c>
      <c r="O104" s="185" t="e">
        <f>SUM(O93:O103)</f>
        <v>#REF!</v>
      </c>
    </row>
    <row r="105" spans="1:15" ht="15.75" thickBot="1" x14ac:dyDescent="0.3">
      <c r="A105" s="676"/>
      <c r="B105" s="683" t="s">
        <v>173</v>
      </c>
      <c r="C105" s="684"/>
      <c r="D105" s="173">
        <f t="shared" ref="D105" si="53">+D104+D91</f>
        <v>3523.75</v>
      </c>
      <c r="E105" s="173" t="e">
        <f t="shared" ref="E105:J105" si="54">+E104+E91</f>
        <v>#REF!</v>
      </c>
      <c r="F105" s="173" t="e">
        <f t="shared" si="54"/>
        <v>#REF!</v>
      </c>
      <c r="G105" s="173" t="e">
        <f t="shared" si="54"/>
        <v>#REF!</v>
      </c>
      <c r="H105" s="173" t="e">
        <f t="shared" si="54"/>
        <v>#REF!</v>
      </c>
      <c r="I105" s="173" t="e">
        <f t="shared" si="54"/>
        <v>#REF!</v>
      </c>
      <c r="J105" s="173" t="e">
        <f t="shared" si="54"/>
        <v>#REF!</v>
      </c>
      <c r="K105" s="173" t="e">
        <f t="shared" ref="K105" si="55">+K104+K91</f>
        <v>#REF!</v>
      </c>
      <c r="M105" s="173" t="e">
        <f>+M104+M91</f>
        <v>#REF!</v>
      </c>
      <c r="O105" s="182" t="e">
        <f>SUM(O91+O104)</f>
        <v>#REF!</v>
      </c>
    </row>
    <row r="108" spans="1:15" ht="15.75" x14ac:dyDescent="0.25">
      <c r="B108" s="685" t="s">
        <v>174</v>
      </c>
      <c r="C108" s="685"/>
      <c r="D108" s="86">
        <f t="shared" ref="D108" si="56">+D91+D72+D55+D43+D13</f>
        <v>7164.25</v>
      </c>
      <c r="E108" s="86" t="e">
        <f t="shared" ref="E108:F108" si="57">+E91+E72+E55+E43+E13</f>
        <v>#REF!</v>
      </c>
      <c r="F108" s="86" t="e">
        <f t="shared" si="57"/>
        <v>#REF!</v>
      </c>
      <c r="G108" s="86" t="e">
        <f t="shared" ref="G108:H108" si="58">+G91+G72+G55+G43+G13</f>
        <v>#REF!</v>
      </c>
      <c r="H108" s="86" t="e">
        <f t="shared" si="58"/>
        <v>#REF!</v>
      </c>
      <c r="I108" s="86" t="e">
        <f t="shared" ref="I108:J108" si="59">+I91+I72+I55+I43+I13</f>
        <v>#REF!</v>
      </c>
      <c r="J108" s="86" t="e">
        <f t="shared" si="59"/>
        <v>#REF!</v>
      </c>
      <c r="K108" s="86" t="e">
        <f t="shared" ref="K108" si="60">+K91+K72+K55+K43+K13</f>
        <v>#REF!</v>
      </c>
      <c r="L108" s="678" t="e">
        <f>+SUM(I108:K108)/SUM($I$110:$K$110)</f>
        <v>#REF!</v>
      </c>
      <c r="M108" s="678"/>
    </row>
    <row r="109" spans="1:15" ht="16.5" thickBot="1" x14ac:dyDescent="0.3">
      <c r="B109" s="686" t="s">
        <v>175</v>
      </c>
      <c r="C109" s="686"/>
      <c r="D109" s="177">
        <f t="shared" ref="D109" si="61">+D104+D66+D23</f>
        <v>4281.5</v>
      </c>
      <c r="E109" s="177" t="e">
        <f t="shared" ref="E109:F109" si="62">+E104+E66+E23</f>
        <v>#REF!</v>
      </c>
      <c r="F109" s="177" t="e">
        <f t="shared" si="62"/>
        <v>#REF!</v>
      </c>
      <c r="G109" s="177" t="e">
        <f t="shared" ref="G109:H109" si="63">+G104+G66+G23</f>
        <v>#REF!</v>
      </c>
      <c r="H109" s="177" t="e">
        <f t="shared" si="63"/>
        <v>#REF!</v>
      </c>
      <c r="I109" s="177" t="e">
        <f t="shared" ref="I109:J109" si="64">+I104+I66+I23</f>
        <v>#REF!</v>
      </c>
      <c r="J109" s="177" t="e">
        <f t="shared" si="64"/>
        <v>#REF!</v>
      </c>
      <c r="K109" s="177" t="e">
        <f t="shared" ref="K109" si="65">+K104+K66+K23</f>
        <v>#REF!</v>
      </c>
      <c r="L109" s="678" t="e">
        <f>+SUM(H109:J109)/SUM($H$110:$J$110)</f>
        <v>#REF!</v>
      </c>
      <c r="M109" s="678"/>
    </row>
    <row r="110" spans="1:15" ht="16.5" thickBot="1" x14ac:dyDescent="0.3">
      <c r="B110" s="687" t="s">
        <v>176</v>
      </c>
      <c r="C110" s="688"/>
      <c r="D110" s="178">
        <f t="shared" ref="D110:F110" si="66">+D109+D108</f>
        <v>11445.75</v>
      </c>
      <c r="E110" s="175" t="e">
        <f t="shared" si="66"/>
        <v>#REF!</v>
      </c>
      <c r="F110" s="176" t="e">
        <f t="shared" si="66"/>
        <v>#REF!</v>
      </c>
      <c r="G110" s="176" t="e">
        <f t="shared" ref="G110:H110" si="67">+G109+G108</f>
        <v>#REF!</v>
      </c>
      <c r="H110" s="176" t="e">
        <f t="shared" si="67"/>
        <v>#REF!</v>
      </c>
      <c r="I110" s="176" t="e">
        <f t="shared" ref="I110:J110" si="68">+I109+I108</f>
        <v>#REF!</v>
      </c>
      <c r="J110" s="176" t="e">
        <f t="shared" si="68"/>
        <v>#REF!</v>
      </c>
      <c r="K110" s="176" t="e">
        <f t="shared" ref="K110" si="69">+K109+K108</f>
        <v>#REF!</v>
      </c>
      <c r="L110" s="679" t="e">
        <f>+L109+L108</f>
        <v>#REF!</v>
      </c>
      <c r="M110" s="680"/>
    </row>
    <row r="112" spans="1:15" x14ac:dyDescent="0.25">
      <c r="B112" s="677" t="s">
        <v>177</v>
      </c>
      <c r="C112" s="677"/>
      <c r="D112" s="677"/>
      <c r="E112" s="677"/>
      <c r="F112" s="677"/>
      <c r="G112" s="677"/>
      <c r="H112" s="677"/>
      <c r="I112" s="677"/>
      <c r="J112" s="677"/>
      <c r="K112" s="677"/>
      <c r="L112" s="677"/>
      <c r="M112" s="677"/>
    </row>
    <row r="113" spans="2:13" x14ac:dyDescent="0.25">
      <c r="B113" s="144">
        <v>806685</v>
      </c>
      <c r="C113" s="145" t="s">
        <v>57</v>
      </c>
      <c r="D113" s="162">
        <f t="shared" ref="D113" si="70">+D26+D12</f>
        <v>1399</v>
      </c>
      <c r="E113" s="162" t="e">
        <f t="shared" ref="E113:F113" si="71">+E26+E12</f>
        <v>#REF!</v>
      </c>
      <c r="F113" s="162" t="e">
        <f t="shared" si="71"/>
        <v>#REF!</v>
      </c>
      <c r="G113" s="162" t="e">
        <f t="shared" ref="G113:H113" si="72">+G26+G12</f>
        <v>#REF!</v>
      </c>
      <c r="H113" s="162" t="e">
        <f t="shared" si="72"/>
        <v>#REF!</v>
      </c>
      <c r="I113" s="162" t="e">
        <f t="shared" ref="I113:J113" si="73">+I26+I12</f>
        <v>#REF!</v>
      </c>
      <c r="J113" s="162" t="e">
        <f t="shared" si="73"/>
        <v>#REF!</v>
      </c>
      <c r="K113" s="162" t="e">
        <f t="shared" ref="K113" si="74">+K26+K12</f>
        <v>#REF!</v>
      </c>
      <c r="M113" s="209" t="e">
        <f>+SUM(K113)/SUM($K$110)</f>
        <v>#REF!</v>
      </c>
    </row>
    <row r="114" spans="2:13" x14ac:dyDescent="0.25">
      <c r="B114" s="3">
        <v>806939</v>
      </c>
      <c r="C114" s="11" t="s">
        <v>67</v>
      </c>
      <c r="D114" s="163">
        <f t="shared" ref="D114" si="75">+D27</f>
        <v>179</v>
      </c>
      <c r="E114" s="163" t="e">
        <f t="shared" ref="E114:F114" si="76">+E27</f>
        <v>#REF!</v>
      </c>
      <c r="F114" s="163" t="e">
        <f t="shared" si="76"/>
        <v>#REF!</v>
      </c>
      <c r="G114" s="163" t="e">
        <f t="shared" ref="G114:H114" si="77">+G27</f>
        <v>#REF!</v>
      </c>
      <c r="H114" s="163" t="e">
        <f t="shared" si="77"/>
        <v>#REF!</v>
      </c>
      <c r="I114" s="163" t="e">
        <f t="shared" ref="I114:J114" si="78">+I27</f>
        <v>#REF!</v>
      </c>
      <c r="J114" s="163" t="e">
        <f t="shared" si="78"/>
        <v>#REF!</v>
      </c>
      <c r="K114" s="163" t="e">
        <f t="shared" ref="K114" si="79">+K27</f>
        <v>#REF!</v>
      </c>
      <c r="M114" s="209" t="e">
        <f t="shared" ref="M114:M142" si="80">+SUM(K114)/SUM($K$110)</f>
        <v>#REF!</v>
      </c>
    </row>
    <row r="115" spans="2:13" x14ac:dyDescent="0.25">
      <c r="B115" s="3">
        <v>806694</v>
      </c>
      <c r="C115" s="11" t="s">
        <v>68</v>
      </c>
      <c r="D115" s="163">
        <f t="shared" ref="D115" si="81">+D28</f>
        <v>0</v>
      </c>
      <c r="E115" s="163" t="e">
        <f t="shared" ref="E115:F115" si="82">+E28</f>
        <v>#REF!</v>
      </c>
      <c r="F115" s="163" t="e">
        <f t="shared" si="82"/>
        <v>#REF!</v>
      </c>
      <c r="G115" s="163" t="e">
        <f t="shared" ref="G115:H115" si="83">+G28</f>
        <v>#REF!</v>
      </c>
      <c r="H115" s="163" t="e">
        <f t="shared" si="83"/>
        <v>#REF!</v>
      </c>
      <c r="I115" s="163" t="e">
        <f t="shared" ref="I115:J115" si="84">+I28</f>
        <v>#REF!</v>
      </c>
      <c r="J115" s="163" t="e">
        <f t="shared" si="84"/>
        <v>#REF!</v>
      </c>
      <c r="K115" s="163" t="e">
        <f t="shared" ref="K115" si="85">+K28</f>
        <v>#REF!</v>
      </c>
      <c r="M115" s="209" t="e">
        <f t="shared" si="80"/>
        <v>#REF!</v>
      </c>
    </row>
    <row r="116" spans="2:13" x14ac:dyDescent="0.25">
      <c r="B116" s="3">
        <v>802142</v>
      </c>
      <c r="C116" s="11" t="s">
        <v>133</v>
      </c>
      <c r="D116" s="163">
        <f t="shared" ref="D116" si="86">+D80+D29+D3</f>
        <v>5.75</v>
      </c>
      <c r="E116" s="163" t="e">
        <f t="shared" ref="E116:F116" si="87">+E80+E29+E3</f>
        <v>#REF!</v>
      </c>
      <c r="F116" s="163" t="e">
        <f t="shared" si="87"/>
        <v>#REF!</v>
      </c>
      <c r="G116" s="163" t="e">
        <f t="shared" ref="G116:H116" si="88">+G80+G29+G3</f>
        <v>#REF!</v>
      </c>
      <c r="H116" s="163" t="e">
        <f t="shared" si="88"/>
        <v>#REF!</v>
      </c>
      <c r="I116" s="163" t="e">
        <f t="shared" ref="I116:J116" si="89">+I80+I29+I3</f>
        <v>#REF!</v>
      </c>
      <c r="J116" s="163" t="e">
        <f t="shared" si="89"/>
        <v>#REF!</v>
      </c>
      <c r="K116" s="163" t="e">
        <f t="shared" ref="K116" si="90">+K80+K29+K3</f>
        <v>#REF!</v>
      </c>
      <c r="M116" s="209" t="e">
        <f t="shared" si="80"/>
        <v>#REF!</v>
      </c>
    </row>
    <row r="117" spans="2:13" x14ac:dyDescent="0.25">
      <c r="B117" s="3">
        <v>804104</v>
      </c>
      <c r="C117" s="11" t="s">
        <v>134</v>
      </c>
      <c r="D117" s="163">
        <f t="shared" ref="D117" si="91">+D84+D30+D6</f>
        <v>147</v>
      </c>
      <c r="E117" s="163" t="e">
        <f t="shared" ref="E117:F117" si="92">+E84+E30+E6</f>
        <v>#REF!</v>
      </c>
      <c r="F117" s="163" t="e">
        <f t="shared" si="92"/>
        <v>#REF!</v>
      </c>
      <c r="G117" s="163" t="e">
        <f t="shared" ref="G117:H117" si="93">+G84+G30+G6</f>
        <v>#REF!</v>
      </c>
      <c r="H117" s="163" t="e">
        <f t="shared" si="93"/>
        <v>#REF!</v>
      </c>
      <c r="I117" s="163" t="e">
        <f t="shared" ref="I117:J117" si="94">+I84+I30+I6</f>
        <v>#REF!</v>
      </c>
      <c r="J117" s="163" t="e">
        <f t="shared" si="94"/>
        <v>#REF!</v>
      </c>
      <c r="K117" s="163" t="e">
        <f t="shared" ref="K117" si="95">+K84+K30+K6</f>
        <v>#REF!</v>
      </c>
      <c r="M117" s="209" t="e">
        <f t="shared" si="80"/>
        <v>#REF!</v>
      </c>
    </row>
    <row r="118" spans="2:13" x14ac:dyDescent="0.25">
      <c r="B118" s="3">
        <v>806686</v>
      </c>
      <c r="C118" s="11" t="s">
        <v>70</v>
      </c>
      <c r="D118" s="163">
        <f t="shared" ref="D118" si="96">+D86+D34+D4</f>
        <v>18</v>
      </c>
      <c r="E118" s="163" t="e">
        <f t="shared" ref="E118:F118" si="97">+E86+E34+E4</f>
        <v>#REF!</v>
      </c>
      <c r="F118" s="163" t="e">
        <f t="shared" si="97"/>
        <v>#REF!</v>
      </c>
      <c r="G118" s="163" t="e">
        <f t="shared" ref="G118:H118" si="98">+G86+G34+G4</f>
        <v>#REF!</v>
      </c>
      <c r="H118" s="163" t="e">
        <f t="shared" si="98"/>
        <v>#REF!</v>
      </c>
      <c r="I118" s="163" t="e">
        <f t="shared" ref="I118:J118" si="99">+I86+I34+I4</f>
        <v>#REF!</v>
      </c>
      <c r="J118" s="163" t="e">
        <f t="shared" si="99"/>
        <v>#REF!</v>
      </c>
      <c r="K118" s="163" t="e">
        <f t="shared" ref="K118" si="100">+K86+K34+K4</f>
        <v>#REF!</v>
      </c>
      <c r="M118" s="209" t="e">
        <f t="shared" si="80"/>
        <v>#REF!</v>
      </c>
    </row>
    <row r="119" spans="2:13" x14ac:dyDescent="0.25">
      <c r="B119" s="3">
        <v>804109</v>
      </c>
      <c r="C119" s="11" t="s">
        <v>71</v>
      </c>
      <c r="D119" s="163">
        <f t="shared" ref="D119" si="101">+D87+D35</f>
        <v>35</v>
      </c>
      <c r="E119" s="163" t="e">
        <f t="shared" ref="E119:F119" si="102">+E87+E35</f>
        <v>#REF!</v>
      </c>
      <c r="F119" s="163" t="e">
        <f t="shared" si="102"/>
        <v>#REF!</v>
      </c>
      <c r="G119" s="163" t="e">
        <f t="shared" ref="G119:H119" si="103">+G87+G35</f>
        <v>#REF!</v>
      </c>
      <c r="H119" s="163" t="e">
        <f t="shared" si="103"/>
        <v>#REF!</v>
      </c>
      <c r="I119" s="163" t="e">
        <f t="shared" ref="I119:J119" si="104">+I87+I35</f>
        <v>#REF!</v>
      </c>
      <c r="J119" s="163" t="e">
        <f t="shared" si="104"/>
        <v>#REF!</v>
      </c>
      <c r="K119" s="163" t="e">
        <f t="shared" ref="K119" si="105">+K87+K35</f>
        <v>#REF!</v>
      </c>
      <c r="M119" s="209" t="e">
        <f t="shared" si="80"/>
        <v>#REF!</v>
      </c>
    </row>
    <row r="120" spans="2:13" x14ac:dyDescent="0.25">
      <c r="B120" s="3">
        <v>806982</v>
      </c>
      <c r="C120" s="11" t="s">
        <v>94</v>
      </c>
      <c r="D120" s="163">
        <f t="shared" ref="D120" si="106">+D81+D36+D8</f>
        <v>79</v>
      </c>
      <c r="E120" s="163" t="e">
        <f t="shared" ref="E120:F120" si="107">+E81+E36+E8</f>
        <v>#REF!</v>
      </c>
      <c r="F120" s="163" t="e">
        <f t="shared" si="107"/>
        <v>#REF!</v>
      </c>
      <c r="G120" s="163" t="e">
        <f t="shared" ref="G120:H120" si="108">+G81+G36+G8</f>
        <v>#REF!</v>
      </c>
      <c r="H120" s="163" t="e">
        <f t="shared" si="108"/>
        <v>#REF!</v>
      </c>
      <c r="I120" s="163" t="e">
        <f t="shared" ref="I120:J120" si="109">+I81+I36+I8</f>
        <v>#REF!</v>
      </c>
      <c r="J120" s="163" t="e">
        <f t="shared" si="109"/>
        <v>#REF!</v>
      </c>
      <c r="K120" s="163" t="e">
        <f t="shared" ref="K120" si="110">+K81+K36+K8</f>
        <v>#REF!</v>
      </c>
      <c r="M120" s="209" t="e">
        <f t="shared" si="80"/>
        <v>#REF!</v>
      </c>
    </row>
    <row r="121" spans="2:13" x14ac:dyDescent="0.25">
      <c r="B121" s="3">
        <v>806980</v>
      </c>
      <c r="C121" s="11" t="s">
        <v>72</v>
      </c>
      <c r="D121" s="163">
        <f t="shared" ref="D121" si="111">+D70+D37+D5</f>
        <v>245</v>
      </c>
      <c r="E121" s="163" t="e">
        <f t="shared" ref="E121:F121" si="112">+E70+E37+E5</f>
        <v>#REF!</v>
      </c>
      <c r="F121" s="163" t="e">
        <f t="shared" si="112"/>
        <v>#REF!</v>
      </c>
      <c r="G121" s="163" t="e">
        <f t="shared" ref="G121:H121" si="113">+G70+G37+G5</f>
        <v>#REF!</v>
      </c>
      <c r="H121" s="163" t="e">
        <f t="shared" si="113"/>
        <v>#REF!</v>
      </c>
      <c r="I121" s="163" t="e">
        <f t="shared" ref="I121:J121" si="114">+I70+I37+I5</f>
        <v>#REF!</v>
      </c>
      <c r="J121" s="163" t="e">
        <f t="shared" si="114"/>
        <v>#REF!</v>
      </c>
      <c r="K121" s="163" t="e">
        <f t="shared" ref="K121" si="115">+K70+K37+K5</f>
        <v>#REF!</v>
      </c>
      <c r="M121" s="209" t="e">
        <f t="shared" si="80"/>
        <v>#REF!</v>
      </c>
    </row>
    <row r="122" spans="2:13" x14ac:dyDescent="0.25">
      <c r="B122" s="3">
        <v>260612</v>
      </c>
      <c r="C122" s="11" t="s">
        <v>74</v>
      </c>
      <c r="D122" s="163">
        <f t="shared" ref="D122" si="116">+D82+D68+D39+D10</f>
        <v>2580.5</v>
      </c>
      <c r="E122" s="163" t="e">
        <f t="shared" ref="E122:F122" si="117">+E82+E68+E39+E10</f>
        <v>#REF!</v>
      </c>
      <c r="F122" s="163" t="e">
        <f t="shared" si="117"/>
        <v>#REF!</v>
      </c>
      <c r="G122" s="163" t="e">
        <f t="shared" ref="G122:H122" si="118">+G82+G68+G39+G10</f>
        <v>#REF!</v>
      </c>
      <c r="H122" s="163" t="e">
        <f t="shared" si="118"/>
        <v>#REF!</v>
      </c>
      <c r="I122" s="163" t="e">
        <f t="shared" ref="I122:J122" si="119">+I82+I68+I39+I10</f>
        <v>#REF!</v>
      </c>
      <c r="J122" s="163" t="e">
        <f t="shared" si="119"/>
        <v>#REF!</v>
      </c>
      <c r="K122" s="163" t="e">
        <f t="shared" ref="K122" si="120">+K82+K68+K39+K10</f>
        <v>#REF!</v>
      </c>
      <c r="M122" s="209" t="e">
        <f t="shared" si="80"/>
        <v>#REF!</v>
      </c>
    </row>
    <row r="123" spans="2:13" x14ac:dyDescent="0.25">
      <c r="B123" s="3">
        <v>804661</v>
      </c>
      <c r="C123" s="11" t="s">
        <v>75</v>
      </c>
      <c r="D123" s="163">
        <f t="shared" ref="D123" si="121">+D40</f>
        <v>167</v>
      </c>
      <c r="E123" s="163" t="e">
        <f t="shared" ref="E123:F123" si="122">+E40</f>
        <v>#REF!</v>
      </c>
      <c r="F123" s="163" t="e">
        <f t="shared" si="122"/>
        <v>#REF!</v>
      </c>
      <c r="G123" s="163" t="e">
        <f t="shared" ref="G123:H123" si="123">+G40</f>
        <v>#REF!</v>
      </c>
      <c r="H123" s="163" t="e">
        <f t="shared" si="123"/>
        <v>#REF!</v>
      </c>
      <c r="I123" s="163" t="e">
        <f t="shared" ref="I123:J123" si="124">+I40</f>
        <v>#REF!</v>
      </c>
      <c r="J123" s="163" t="e">
        <f t="shared" si="124"/>
        <v>#REF!</v>
      </c>
      <c r="K123" s="163" t="e">
        <f t="shared" ref="K123" si="125">+K40</f>
        <v>#REF!</v>
      </c>
      <c r="M123" s="209" t="e">
        <f t="shared" si="80"/>
        <v>#REF!</v>
      </c>
    </row>
    <row r="124" spans="2:13" x14ac:dyDescent="0.25">
      <c r="B124" s="3">
        <v>806702</v>
      </c>
      <c r="C124" s="11" t="s">
        <v>76</v>
      </c>
      <c r="D124" s="163">
        <f t="shared" ref="D124" si="126">+D41</f>
        <v>20</v>
      </c>
      <c r="E124" s="163" t="e">
        <f t="shared" ref="E124:F124" si="127">+E41</f>
        <v>#REF!</v>
      </c>
      <c r="F124" s="163" t="e">
        <f t="shared" si="127"/>
        <v>#REF!</v>
      </c>
      <c r="G124" s="163" t="e">
        <f t="shared" ref="G124:H124" si="128">+G41</f>
        <v>#REF!</v>
      </c>
      <c r="H124" s="163" t="e">
        <f t="shared" si="128"/>
        <v>#REF!</v>
      </c>
      <c r="I124" s="163" t="e">
        <f t="shared" ref="I124:J124" si="129">+I41</f>
        <v>#REF!</v>
      </c>
      <c r="J124" s="163" t="e">
        <f t="shared" si="129"/>
        <v>#REF!</v>
      </c>
      <c r="K124" s="163" t="e">
        <f t="shared" ref="K124" si="130">+K41</f>
        <v>#REF!</v>
      </c>
      <c r="M124" s="209" t="e">
        <f t="shared" si="80"/>
        <v>#REF!</v>
      </c>
    </row>
    <row r="125" spans="2:13" x14ac:dyDescent="0.25">
      <c r="B125" s="3">
        <v>805567</v>
      </c>
      <c r="C125" s="11" t="s">
        <v>139</v>
      </c>
      <c r="D125" s="163">
        <f t="shared" ref="D125" si="131">+D42+D7</f>
        <v>1</v>
      </c>
      <c r="E125" s="163" t="e">
        <f t="shared" ref="E125:F125" si="132">+E42+E7</f>
        <v>#REF!</v>
      </c>
      <c r="F125" s="163" t="e">
        <f t="shared" si="132"/>
        <v>#REF!</v>
      </c>
      <c r="G125" s="163" t="e">
        <f t="shared" ref="G125:H125" si="133">+G42+G7</f>
        <v>#REF!</v>
      </c>
      <c r="H125" s="163" t="e">
        <f t="shared" si="133"/>
        <v>#REF!</v>
      </c>
      <c r="I125" s="163" t="e">
        <f t="shared" ref="I125:J125" si="134">+I42+I7</f>
        <v>#REF!</v>
      </c>
      <c r="J125" s="163" t="e">
        <f t="shared" si="134"/>
        <v>#REF!</v>
      </c>
      <c r="K125" s="163" t="e">
        <f t="shared" ref="K125" si="135">+K42+K7</f>
        <v>#REF!</v>
      </c>
      <c r="M125" s="209" t="e">
        <f t="shared" si="80"/>
        <v>#REF!</v>
      </c>
    </row>
    <row r="126" spans="2:13" x14ac:dyDescent="0.25">
      <c r="B126" s="3">
        <v>807769</v>
      </c>
      <c r="C126" s="11" t="s">
        <v>77</v>
      </c>
      <c r="D126" s="163">
        <f t="shared" ref="D126" si="136">+D77+D46</f>
        <v>1257</v>
      </c>
      <c r="E126" s="163" t="e">
        <f t="shared" ref="E126:F126" si="137">+E77+E46</f>
        <v>#REF!</v>
      </c>
      <c r="F126" s="163" t="e">
        <f t="shared" si="137"/>
        <v>#REF!</v>
      </c>
      <c r="G126" s="163" t="e">
        <f t="shared" ref="G126:H126" si="138">+G77+G46</f>
        <v>#REF!</v>
      </c>
      <c r="H126" s="163" t="e">
        <f t="shared" si="138"/>
        <v>#REF!</v>
      </c>
      <c r="I126" s="163" t="e">
        <f t="shared" ref="I126:J126" si="139">+I77+I46</f>
        <v>#REF!</v>
      </c>
      <c r="J126" s="163" t="e">
        <f t="shared" si="139"/>
        <v>#REF!</v>
      </c>
      <c r="K126" s="163" t="e">
        <f t="shared" ref="K126" si="140">+K77+K46</f>
        <v>#REF!</v>
      </c>
      <c r="M126" s="209" t="e">
        <f t="shared" si="80"/>
        <v>#REF!</v>
      </c>
    </row>
    <row r="127" spans="2:13" x14ac:dyDescent="0.25">
      <c r="B127" s="3">
        <v>807329</v>
      </c>
      <c r="C127" s="11" t="s">
        <v>78</v>
      </c>
      <c r="D127" s="163">
        <f t="shared" ref="D127" si="141">+D75+D47</f>
        <v>450</v>
      </c>
      <c r="E127" s="163" t="e">
        <f t="shared" ref="E127:F127" si="142">+E75+E47</f>
        <v>#REF!</v>
      </c>
      <c r="F127" s="163" t="e">
        <f t="shared" si="142"/>
        <v>#REF!</v>
      </c>
      <c r="G127" s="163" t="e">
        <f t="shared" ref="G127:H127" si="143">+G75+G47</f>
        <v>#REF!</v>
      </c>
      <c r="H127" s="163" t="e">
        <f t="shared" si="143"/>
        <v>#REF!</v>
      </c>
      <c r="I127" s="163" t="e">
        <f t="shared" ref="I127:J127" si="144">+I75+I47</f>
        <v>#REF!</v>
      </c>
      <c r="J127" s="163" t="e">
        <f t="shared" si="144"/>
        <v>#REF!</v>
      </c>
      <c r="K127" s="163" t="e">
        <f t="shared" ref="K127" si="145">+K75+K47</f>
        <v>#REF!</v>
      </c>
      <c r="M127" s="209" t="e">
        <f t="shared" si="80"/>
        <v>#REF!</v>
      </c>
    </row>
    <row r="128" spans="2:13" x14ac:dyDescent="0.25">
      <c r="B128" s="3">
        <v>805411</v>
      </c>
      <c r="C128" s="11" t="s">
        <v>79</v>
      </c>
      <c r="D128" s="163">
        <f t="shared" ref="D128" si="146">+D78+D48</f>
        <v>309</v>
      </c>
      <c r="E128" s="163" t="e">
        <f t="shared" ref="E128:F128" si="147">+E78+E48</f>
        <v>#REF!</v>
      </c>
      <c r="F128" s="163" t="e">
        <f t="shared" si="147"/>
        <v>#REF!</v>
      </c>
      <c r="G128" s="163" t="e">
        <f t="shared" ref="G128:H128" si="148">+G78+G48</f>
        <v>#REF!</v>
      </c>
      <c r="H128" s="163" t="e">
        <f t="shared" si="148"/>
        <v>#REF!</v>
      </c>
      <c r="I128" s="163" t="e">
        <f t="shared" ref="I128:J128" si="149">+I78+I48</f>
        <v>#REF!</v>
      </c>
      <c r="J128" s="163" t="e">
        <f t="shared" si="149"/>
        <v>#REF!</v>
      </c>
      <c r="K128" s="163" t="e">
        <f t="shared" ref="K128" si="150">+K78+K48</f>
        <v>#REF!</v>
      </c>
      <c r="M128" s="209" t="e">
        <f t="shared" si="80"/>
        <v>#REF!</v>
      </c>
    </row>
    <row r="129" spans="2:13" x14ac:dyDescent="0.25">
      <c r="B129" s="3">
        <v>807679</v>
      </c>
      <c r="C129" s="11" t="s">
        <v>80</v>
      </c>
      <c r="D129" s="163">
        <f t="shared" ref="D129" si="151">+D76+D49</f>
        <v>202</v>
      </c>
      <c r="E129" s="163" t="e">
        <f t="shared" ref="E129:F129" si="152">+E76+E49</f>
        <v>#REF!</v>
      </c>
      <c r="F129" s="163" t="e">
        <f t="shared" si="152"/>
        <v>#REF!</v>
      </c>
      <c r="G129" s="163" t="e">
        <f t="shared" ref="G129:H129" si="153">+G76+G49</f>
        <v>#REF!</v>
      </c>
      <c r="H129" s="163" t="e">
        <f t="shared" si="153"/>
        <v>#REF!</v>
      </c>
      <c r="I129" s="163" t="e">
        <f t="shared" ref="I129:J129" si="154">+I76+I49</f>
        <v>#REF!</v>
      </c>
      <c r="J129" s="163" t="e">
        <f t="shared" si="154"/>
        <v>#REF!</v>
      </c>
      <c r="K129" s="163" t="e">
        <f t="shared" ref="K129" si="155">+K76+K49</f>
        <v>#REF!</v>
      </c>
      <c r="M129" s="209" t="e">
        <f t="shared" si="80"/>
        <v>#REF!</v>
      </c>
    </row>
    <row r="130" spans="2:13" x14ac:dyDescent="0.25">
      <c r="B130" s="3">
        <v>805168</v>
      </c>
      <c r="C130" s="11" t="s">
        <v>81</v>
      </c>
      <c r="D130" s="163">
        <f t="shared" ref="D130" si="156">+D50</f>
        <v>70</v>
      </c>
      <c r="E130" s="163" t="e">
        <f t="shared" ref="E130:F130" si="157">+E50</f>
        <v>#REF!</v>
      </c>
      <c r="F130" s="163" t="e">
        <f t="shared" si="157"/>
        <v>#REF!</v>
      </c>
      <c r="G130" s="163" t="e">
        <f t="shared" ref="G130:H130" si="158">+G50</f>
        <v>#REF!</v>
      </c>
      <c r="H130" s="163" t="e">
        <f t="shared" si="158"/>
        <v>#REF!</v>
      </c>
      <c r="I130" s="163" t="e">
        <f t="shared" ref="I130:J130" si="159">+I50</f>
        <v>#REF!</v>
      </c>
      <c r="J130" s="163" t="e">
        <f t="shared" si="159"/>
        <v>#REF!</v>
      </c>
      <c r="K130" s="163" t="e">
        <f t="shared" ref="K130" si="160">+K50</f>
        <v>#REF!</v>
      </c>
      <c r="M130" s="209" t="e">
        <f t="shared" si="80"/>
        <v>#REF!</v>
      </c>
    </row>
    <row r="131" spans="2:13" x14ac:dyDescent="0.25">
      <c r="B131" s="3">
        <v>807363</v>
      </c>
      <c r="C131" s="11" t="s">
        <v>82</v>
      </c>
      <c r="D131" s="163">
        <f t="shared" ref="D131" si="161">+D51</f>
        <v>0</v>
      </c>
      <c r="E131" s="163" t="e">
        <f t="shared" ref="E131:F131" si="162">+E51</f>
        <v>#REF!</v>
      </c>
      <c r="F131" s="163" t="e">
        <f t="shared" si="162"/>
        <v>#REF!</v>
      </c>
      <c r="G131" s="163" t="e">
        <f t="shared" ref="G131:H131" si="163">+G51</f>
        <v>#REF!</v>
      </c>
      <c r="H131" s="163" t="e">
        <f t="shared" si="163"/>
        <v>#REF!</v>
      </c>
      <c r="I131" s="163" t="e">
        <f t="shared" ref="I131:J131" si="164">+I51</f>
        <v>#REF!</v>
      </c>
      <c r="J131" s="163" t="e">
        <f t="shared" si="164"/>
        <v>#REF!</v>
      </c>
      <c r="K131" s="163" t="e">
        <f t="shared" ref="K131" si="165">+K51</f>
        <v>#REF!</v>
      </c>
      <c r="M131" s="209" t="e">
        <f t="shared" si="80"/>
        <v>#REF!</v>
      </c>
    </row>
    <row r="132" spans="2:13" x14ac:dyDescent="0.25">
      <c r="B132" s="3">
        <v>809529</v>
      </c>
      <c r="C132" s="11" t="s">
        <v>83</v>
      </c>
      <c r="D132" s="163">
        <f t="shared" ref="D132" si="166">+D52</f>
        <v>0</v>
      </c>
      <c r="E132" s="163">
        <f t="shared" ref="E132:F132" si="167">+E52</f>
        <v>0</v>
      </c>
      <c r="F132" s="163">
        <f t="shared" si="167"/>
        <v>0</v>
      </c>
      <c r="G132" s="163">
        <f t="shared" ref="G132:H132" si="168">+G52</f>
        <v>0</v>
      </c>
      <c r="H132" s="163">
        <f t="shared" si="168"/>
        <v>0</v>
      </c>
      <c r="I132" s="163">
        <f t="shared" ref="I132:J132" si="169">+I52</f>
        <v>0</v>
      </c>
      <c r="J132" s="163">
        <f t="shared" si="169"/>
        <v>0</v>
      </c>
      <c r="K132" s="163">
        <f t="shared" ref="K132" si="170">+K52</f>
        <v>0</v>
      </c>
      <c r="M132" s="209" t="e">
        <f t="shared" si="80"/>
        <v>#REF!</v>
      </c>
    </row>
    <row r="133" spans="2:13" x14ac:dyDescent="0.25">
      <c r="B133" s="10">
        <v>102013</v>
      </c>
      <c r="C133" s="9" t="s">
        <v>121</v>
      </c>
      <c r="D133" s="163">
        <f t="shared" ref="D133" si="171">+D94+D58+D14</f>
        <v>2338</v>
      </c>
      <c r="E133" s="163" t="e">
        <f t="shared" ref="E133:F133" si="172">+E94+E58+E14</f>
        <v>#REF!</v>
      </c>
      <c r="F133" s="163" t="e">
        <f t="shared" si="172"/>
        <v>#REF!</v>
      </c>
      <c r="G133" s="163" t="e">
        <f t="shared" ref="G133:H133" si="173">+G94+G58+G14</f>
        <v>#REF!</v>
      </c>
      <c r="H133" s="163" t="e">
        <f t="shared" si="173"/>
        <v>#REF!</v>
      </c>
      <c r="I133" s="163" t="e">
        <f t="shared" ref="I133:J133" si="174">+I94+I58+I14</f>
        <v>#REF!</v>
      </c>
      <c r="J133" s="163" t="e">
        <f t="shared" si="174"/>
        <v>#REF!</v>
      </c>
      <c r="K133" s="163" t="e">
        <f t="shared" ref="K133" si="175">+K94+K58+K14</f>
        <v>#REF!</v>
      </c>
      <c r="M133" s="209" t="e">
        <f t="shared" si="80"/>
        <v>#REF!</v>
      </c>
    </row>
    <row r="134" spans="2:13" x14ac:dyDescent="0.25">
      <c r="B134" s="10">
        <v>102211</v>
      </c>
      <c r="C134" s="9" t="s">
        <v>122</v>
      </c>
      <c r="D134" s="163">
        <f t="shared" ref="D134" si="176">+D98+D61+D15</f>
        <v>337.25</v>
      </c>
      <c r="E134" s="163" t="e">
        <f t="shared" ref="E134:F134" si="177">+E98+E61+E15</f>
        <v>#REF!</v>
      </c>
      <c r="F134" s="163" t="e">
        <f t="shared" si="177"/>
        <v>#REF!</v>
      </c>
      <c r="G134" s="163" t="e">
        <f t="shared" ref="G134:H134" si="178">+G98+G61+G15</f>
        <v>#REF!</v>
      </c>
      <c r="H134" s="163" t="e">
        <f t="shared" si="178"/>
        <v>#REF!</v>
      </c>
      <c r="I134" s="163" t="e">
        <f t="shared" ref="I134:J134" si="179">+I98+I61+I15</f>
        <v>#REF!</v>
      </c>
      <c r="J134" s="163" t="e">
        <f t="shared" si="179"/>
        <v>#REF!</v>
      </c>
      <c r="K134" s="163" t="e">
        <f t="shared" ref="K134" si="180">+K98+K61+K15</f>
        <v>#REF!</v>
      </c>
      <c r="M134" s="209" t="e">
        <f t="shared" si="80"/>
        <v>#REF!</v>
      </c>
    </row>
    <row r="135" spans="2:13" x14ac:dyDescent="0.25">
      <c r="B135" s="10">
        <v>102341</v>
      </c>
      <c r="C135" s="9" t="s">
        <v>123</v>
      </c>
      <c r="D135" s="163">
        <f t="shared" ref="D135" si="181">+D93+D59+D16</f>
        <v>678</v>
      </c>
      <c r="E135" s="163" t="e">
        <f t="shared" ref="E135:F135" si="182">+E93+E59+E16</f>
        <v>#REF!</v>
      </c>
      <c r="F135" s="163" t="e">
        <f t="shared" si="182"/>
        <v>#REF!</v>
      </c>
      <c r="G135" s="163" t="e">
        <f t="shared" ref="G135:H135" si="183">+G93+G59+G16</f>
        <v>#REF!</v>
      </c>
      <c r="H135" s="163" t="e">
        <f t="shared" si="183"/>
        <v>#REF!</v>
      </c>
      <c r="I135" s="163" t="e">
        <f t="shared" ref="I135:J135" si="184">+I93+I59+I16</f>
        <v>#REF!</v>
      </c>
      <c r="J135" s="163" t="e">
        <f t="shared" si="184"/>
        <v>#REF!</v>
      </c>
      <c r="K135" s="163" t="e">
        <f t="shared" ref="K135" si="185">+K93+K59+K16</f>
        <v>#REF!</v>
      </c>
      <c r="M135" s="209" t="e">
        <f t="shared" si="80"/>
        <v>#REF!</v>
      </c>
    </row>
    <row r="136" spans="2:13" x14ac:dyDescent="0.25">
      <c r="B136" s="10">
        <v>102310</v>
      </c>
      <c r="C136" s="9" t="s">
        <v>124</v>
      </c>
      <c r="D136" s="163">
        <f t="shared" ref="D136" si="186">+D97+D60+D17</f>
        <v>114</v>
      </c>
      <c r="E136" s="163" t="e">
        <f t="shared" ref="E136:F136" si="187">+E97+E60+E17</f>
        <v>#REF!</v>
      </c>
      <c r="F136" s="163" t="e">
        <f t="shared" si="187"/>
        <v>#REF!</v>
      </c>
      <c r="G136" s="163" t="e">
        <f t="shared" ref="G136:H136" si="188">+G97+G60+G17</f>
        <v>#REF!</v>
      </c>
      <c r="H136" s="163" t="e">
        <f t="shared" si="188"/>
        <v>#REF!</v>
      </c>
      <c r="I136" s="163" t="e">
        <f t="shared" ref="I136:J136" si="189">+I97+I60+I17</f>
        <v>#REF!</v>
      </c>
      <c r="J136" s="163" t="e">
        <f t="shared" si="189"/>
        <v>#REF!</v>
      </c>
      <c r="K136" s="163" t="e">
        <f t="shared" ref="K136" si="190">+K97+K60+K17</f>
        <v>#REF!</v>
      </c>
      <c r="M136" s="209" t="e">
        <f t="shared" si="80"/>
        <v>#REF!</v>
      </c>
    </row>
    <row r="137" spans="2:13" x14ac:dyDescent="0.25">
      <c r="B137" s="10">
        <v>114054</v>
      </c>
      <c r="C137" s="9" t="s">
        <v>125</v>
      </c>
      <c r="D137" s="163">
        <f t="shared" ref="D137" si="191">+D96+D63+D18</f>
        <v>335.25</v>
      </c>
      <c r="E137" s="163" t="e">
        <f t="shared" ref="E137:F137" si="192">+E96+E63+E18</f>
        <v>#REF!</v>
      </c>
      <c r="F137" s="163" t="e">
        <f t="shared" si="192"/>
        <v>#REF!</v>
      </c>
      <c r="G137" s="163" t="e">
        <f t="shared" ref="G137:H137" si="193">+G96+G63+G18</f>
        <v>#REF!</v>
      </c>
      <c r="H137" s="163" t="e">
        <f t="shared" si="193"/>
        <v>#REF!</v>
      </c>
      <c r="I137" s="163" t="e">
        <f t="shared" ref="I137:J137" si="194">+I96+I63+I18</f>
        <v>#REF!</v>
      </c>
      <c r="J137" s="163" t="e">
        <f t="shared" si="194"/>
        <v>#REF!</v>
      </c>
      <c r="K137" s="163" t="e">
        <f t="shared" ref="K137" si="195">+K96+K63+K18</f>
        <v>#REF!</v>
      </c>
      <c r="M137" s="209" t="e">
        <f t="shared" si="80"/>
        <v>#REF!</v>
      </c>
    </row>
    <row r="138" spans="2:13" x14ac:dyDescent="0.25">
      <c r="B138" s="10">
        <v>111435</v>
      </c>
      <c r="C138" s="9" t="s">
        <v>126</v>
      </c>
      <c r="D138" s="163">
        <f t="shared" ref="D138" si="196">+D100+D19</f>
        <v>0</v>
      </c>
      <c r="E138" s="163" t="e">
        <f t="shared" ref="E138:F138" si="197">+E100+E19</f>
        <v>#REF!</v>
      </c>
      <c r="F138" s="163" t="e">
        <f t="shared" si="197"/>
        <v>#REF!</v>
      </c>
      <c r="G138" s="163" t="e">
        <f t="shared" ref="G138:H138" si="198">+G100+G19</f>
        <v>#REF!</v>
      </c>
      <c r="H138" s="163" t="e">
        <f t="shared" si="198"/>
        <v>#REF!</v>
      </c>
      <c r="I138" s="163" t="e">
        <f t="shared" ref="I138:J138" si="199">+I100+I19</f>
        <v>#REF!</v>
      </c>
      <c r="J138" s="163" t="e">
        <f t="shared" si="199"/>
        <v>#REF!</v>
      </c>
      <c r="K138" s="163" t="e">
        <f t="shared" ref="K138" si="200">+K100+K19</f>
        <v>#REF!</v>
      </c>
      <c r="M138" s="209" t="e">
        <f t="shared" si="80"/>
        <v>#REF!</v>
      </c>
    </row>
    <row r="139" spans="2:13" x14ac:dyDescent="0.25">
      <c r="B139" s="10">
        <v>102419</v>
      </c>
      <c r="C139" s="9" t="s">
        <v>128</v>
      </c>
      <c r="D139" s="163">
        <f t="shared" ref="D139" si="201">+D95+D64+D21</f>
        <v>218</v>
      </c>
      <c r="E139" s="163" t="e">
        <f t="shared" ref="E139:F139" si="202">+E95+E64+E21</f>
        <v>#REF!</v>
      </c>
      <c r="F139" s="163" t="e">
        <f t="shared" si="202"/>
        <v>#REF!</v>
      </c>
      <c r="G139" s="163" t="e">
        <f t="shared" ref="G139:H139" si="203">+G95+G64+G21</f>
        <v>#REF!</v>
      </c>
      <c r="H139" s="163" t="e">
        <f t="shared" si="203"/>
        <v>#REF!</v>
      </c>
      <c r="I139" s="163" t="e">
        <f t="shared" ref="I139:J139" si="204">+I95+I64+I21</f>
        <v>#REF!</v>
      </c>
      <c r="J139" s="163" t="e">
        <f t="shared" si="204"/>
        <v>#REF!</v>
      </c>
      <c r="K139" s="163" t="e">
        <f t="shared" ref="K139" si="205">+K95+K64+K21</f>
        <v>#REF!</v>
      </c>
      <c r="M139" s="209" t="e">
        <f t="shared" si="80"/>
        <v>#REF!</v>
      </c>
    </row>
    <row r="140" spans="2:13" x14ac:dyDescent="0.25">
      <c r="B140" s="10">
        <v>105595</v>
      </c>
      <c r="C140" s="19" t="s">
        <v>170</v>
      </c>
      <c r="D140" s="163">
        <f t="shared" ref="D140" si="206">+D101</f>
        <v>0</v>
      </c>
      <c r="E140" s="163" t="e">
        <f t="shared" ref="E140:F140" si="207">+E101</f>
        <v>#REF!</v>
      </c>
      <c r="F140" s="163" t="e">
        <f t="shared" si="207"/>
        <v>#REF!</v>
      </c>
      <c r="G140" s="163" t="e">
        <f t="shared" ref="G140:H140" si="208">+G101</f>
        <v>#REF!</v>
      </c>
      <c r="H140" s="163" t="e">
        <f t="shared" si="208"/>
        <v>#REF!</v>
      </c>
      <c r="I140" s="163" t="e">
        <f t="shared" ref="I140:J140" si="209">+I101</f>
        <v>#REF!</v>
      </c>
      <c r="J140" s="163" t="e">
        <f t="shared" si="209"/>
        <v>#REF!</v>
      </c>
      <c r="K140" s="163" t="e">
        <f t="shared" ref="K140" si="210">+K101</f>
        <v>#REF!</v>
      </c>
      <c r="M140" s="209" t="e">
        <f t="shared" si="80"/>
        <v>#REF!</v>
      </c>
    </row>
    <row r="141" spans="2:13" x14ac:dyDescent="0.25">
      <c r="B141" s="10">
        <v>114405</v>
      </c>
      <c r="C141" s="19" t="s">
        <v>171</v>
      </c>
      <c r="D141" s="163">
        <f t="shared" ref="D141" si="211">+D102</f>
        <v>3</v>
      </c>
      <c r="E141" s="163" t="e">
        <f t="shared" ref="E141:F141" si="212">+E102</f>
        <v>#REF!</v>
      </c>
      <c r="F141" s="163" t="e">
        <f t="shared" si="212"/>
        <v>#REF!</v>
      </c>
      <c r="G141" s="163" t="e">
        <f t="shared" ref="G141:H141" si="213">+G102</f>
        <v>#REF!</v>
      </c>
      <c r="H141" s="163" t="e">
        <f t="shared" si="213"/>
        <v>#REF!</v>
      </c>
      <c r="I141" s="163" t="e">
        <f t="shared" ref="I141:J141" si="214">+I102</f>
        <v>#REF!</v>
      </c>
      <c r="J141" s="163" t="e">
        <f t="shared" si="214"/>
        <v>#REF!</v>
      </c>
      <c r="K141" s="163" t="e">
        <f t="shared" ref="K141" si="215">+K102</f>
        <v>#REF!</v>
      </c>
      <c r="M141" s="209" t="e">
        <f t="shared" si="80"/>
        <v>#REF!</v>
      </c>
    </row>
    <row r="142" spans="2:13" x14ac:dyDescent="0.25">
      <c r="B142" s="10">
        <v>105632</v>
      </c>
      <c r="C142" s="19" t="s">
        <v>172</v>
      </c>
      <c r="D142" s="163">
        <f t="shared" ref="D142" si="216">+D103+D65+D22</f>
        <v>0</v>
      </c>
      <c r="E142" s="163" t="e">
        <f t="shared" ref="E142:F142" si="217">+E103+E65+E22</f>
        <v>#REF!</v>
      </c>
      <c r="F142" s="163" t="e">
        <f t="shared" si="217"/>
        <v>#REF!</v>
      </c>
      <c r="G142" s="163" t="e">
        <f t="shared" ref="G142:H142" si="218">+G103+G65+G22</f>
        <v>#REF!</v>
      </c>
      <c r="H142" s="163" t="e">
        <f t="shared" si="218"/>
        <v>#REF!</v>
      </c>
      <c r="I142" s="163" t="e">
        <f t="shared" ref="I142:J142" si="219">+I103+I65+I22</f>
        <v>#REF!</v>
      </c>
      <c r="J142" s="163" t="e">
        <f t="shared" si="219"/>
        <v>#REF!</v>
      </c>
      <c r="K142" s="163" t="e">
        <f t="shared" ref="K142" si="220">+K103+K65+K22</f>
        <v>#REF!</v>
      </c>
      <c r="M142" s="209" t="e">
        <f t="shared" si="80"/>
        <v>#REF!</v>
      </c>
    </row>
  </sheetData>
  <mergeCells count="26">
    <mergeCell ref="B112:M112"/>
    <mergeCell ref="L108:M108"/>
    <mergeCell ref="L109:M109"/>
    <mergeCell ref="L110:M110"/>
    <mergeCell ref="B66:C66"/>
    <mergeCell ref="B72:C72"/>
    <mergeCell ref="B73:C73"/>
    <mergeCell ref="B105:C105"/>
    <mergeCell ref="B108:C108"/>
    <mergeCell ref="B109:C109"/>
    <mergeCell ref="B110:C110"/>
    <mergeCell ref="A57:A73"/>
    <mergeCell ref="B91:C91"/>
    <mergeCell ref="B104:C104"/>
    <mergeCell ref="B43:C43"/>
    <mergeCell ref="B44:C44"/>
    <mergeCell ref="A25:A44"/>
    <mergeCell ref="B55:C55"/>
    <mergeCell ref="B56:C56"/>
    <mergeCell ref="A45:A56"/>
    <mergeCell ref="A74:A105"/>
    <mergeCell ref="B13:C13"/>
    <mergeCell ref="B23:C23"/>
    <mergeCell ref="A2:A24"/>
    <mergeCell ref="A1:C1"/>
    <mergeCell ref="B24:C24"/>
  </mergeCells>
  <conditionalFormatting sqref="M113:M14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12 O14:O22 O26:O42 O46:O51 O58:O65 O68:O71 O75:O90 O93:O103">
    <cfRule type="cellIs" dxfId="10" priority="1" operator="greaterThan">
      <formula>0.01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37EBB-7584-4CC8-8F5C-FADF644DA1C7}">
  <dimension ref="A1:I20"/>
  <sheetViews>
    <sheetView zoomScale="130" zoomScaleNormal="130" workbookViewId="0">
      <selection activeCell="F20" sqref="F20"/>
    </sheetView>
  </sheetViews>
  <sheetFormatPr baseColWidth="10" defaultColWidth="11.42578125" defaultRowHeight="15" x14ac:dyDescent="0.25"/>
  <cols>
    <col min="1" max="4" width="13.7109375" style="153" customWidth="1"/>
  </cols>
  <sheetData>
    <row r="1" spans="1:9" ht="42.75" customHeight="1" x14ac:dyDescent="0.25">
      <c r="A1" s="214" t="s">
        <v>178</v>
      </c>
      <c r="B1" s="214" t="s">
        <v>179</v>
      </c>
      <c r="C1" s="214" t="s">
        <v>180</v>
      </c>
      <c r="D1" s="214" t="s">
        <v>181</v>
      </c>
      <c r="E1" s="214" t="s">
        <v>182</v>
      </c>
      <c r="F1" s="218" t="s">
        <v>183</v>
      </c>
      <c r="G1" s="218" t="s">
        <v>184</v>
      </c>
      <c r="H1" s="218" t="s">
        <v>185</v>
      </c>
    </row>
    <row r="2" spans="1:9" x14ac:dyDescent="0.25">
      <c r="A2" s="212">
        <v>45748</v>
      </c>
      <c r="B2" s="213">
        <v>20.437999999999999</v>
      </c>
      <c r="C2" s="213">
        <v>21.9864</v>
      </c>
      <c r="D2" s="213">
        <v>21.951699999999999</v>
      </c>
      <c r="E2" s="215">
        <v>0.54166666666666663</v>
      </c>
    </row>
    <row r="3" spans="1:9" x14ac:dyDescent="0.25">
      <c r="A3" s="212">
        <v>45749</v>
      </c>
      <c r="B3" s="213">
        <v>20.358699999999999</v>
      </c>
      <c r="C3" s="213">
        <v>22.082100000000001</v>
      </c>
      <c r="D3" s="213">
        <v>22.043299999999999</v>
      </c>
      <c r="E3" s="215">
        <v>0.58333333333333337</v>
      </c>
    </row>
    <row r="4" spans="1:9" x14ac:dyDescent="0.25">
      <c r="A4" s="212">
        <v>45750</v>
      </c>
      <c r="B4" s="213">
        <v>20.456800000000001</v>
      </c>
      <c r="C4" s="213">
        <v>22.070699999999999</v>
      </c>
      <c r="D4" s="213">
        <v>22.060300000000002</v>
      </c>
      <c r="E4" s="215">
        <v>0.625</v>
      </c>
    </row>
    <row r="5" spans="1:9" x14ac:dyDescent="0.25">
      <c r="A5" s="212">
        <v>45751</v>
      </c>
      <c r="B5" s="213">
        <v>19.970800000000001</v>
      </c>
      <c r="C5" s="213">
        <v>22.610600000000002</v>
      </c>
      <c r="D5" s="213">
        <v>22.388400000000001</v>
      </c>
      <c r="E5" s="215">
        <v>0.45833333333333331</v>
      </c>
    </row>
    <row r="6" spans="1:9" x14ac:dyDescent="0.25">
      <c r="A6" s="212">
        <v>45754</v>
      </c>
      <c r="B6" s="213">
        <v>20.501000000000001</v>
      </c>
      <c r="C6" s="213">
        <v>22.680399999999999</v>
      </c>
      <c r="D6" s="213">
        <v>22.5624</v>
      </c>
      <c r="E6" s="215">
        <v>0.58333333333333337</v>
      </c>
    </row>
    <row r="7" spans="1:9" x14ac:dyDescent="0.25">
      <c r="A7" s="212">
        <v>45755</v>
      </c>
      <c r="B7" s="213">
        <v>20.694700000000001</v>
      </c>
      <c r="C7" s="213">
        <v>22.607500000000002</v>
      </c>
      <c r="D7" s="213">
        <v>22.9315</v>
      </c>
      <c r="E7" s="215">
        <v>0.625</v>
      </c>
    </row>
    <row r="8" spans="1:9" x14ac:dyDescent="0.25">
      <c r="A8" s="212">
        <v>45756</v>
      </c>
      <c r="B8" s="213">
        <v>20.686699999999998</v>
      </c>
      <c r="C8" s="213">
        <v>22.9072</v>
      </c>
      <c r="D8" s="213">
        <v>22.275400000000001</v>
      </c>
      <c r="E8" s="215">
        <v>0.66666666666666663</v>
      </c>
    </row>
    <row r="9" spans="1:9" x14ac:dyDescent="0.25">
      <c r="A9" s="212">
        <v>45757</v>
      </c>
      <c r="B9" s="213">
        <v>20.7653</v>
      </c>
      <c r="C9" s="213">
        <v>22.7041</v>
      </c>
      <c r="D9" s="213">
        <v>23.304500000000001</v>
      </c>
      <c r="E9" s="215">
        <v>0.70833333333333337</v>
      </c>
    </row>
    <row r="10" spans="1:9" x14ac:dyDescent="0.25">
      <c r="A10" s="212">
        <v>45758</v>
      </c>
      <c r="B10" s="213">
        <v>20.492000000000001</v>
      </c>
      <c r="C10" s="213">
        <v>23.042000000000002</v>
      </c>
      <c r="D10" s="213">
        <v>23.07</v>
      </c>
      <c r="E10" s="215">
        <v>0.62847222222222221</v>
      </c>
    </row>
    <row r="11" spans="1:9" x14ac:dyDescent="0.25">
      <c r="A11" s="212">
        <v>45761.042500000003</v>
      </c>
      <c r="B11" s="213">
        <v>20.336300000000001</v>
      </c>
      <c r="C11" s="213">
        <v>22.890699999999999</v>
      </c>
      <c r="D11" s="213">
        <v>22.8368</v>
      </c>
      <c r="E11" s="215" t="s">
        <v>186</v>
      </c>
    </row>
    <row r="12" spans="1:9" x14ac:dyDescent="0.25">
      <c r="A12" s="212">
        <v>45762</v>
      </c>
      <c r="B12" s="213">
        <v>20.102499999999999</v>
      </c>
      <c r="C12" s="213">
        <v>22.709199999999999</v>
      </c>
      <c r="D12" s="213">
        <v>22.598400000000002</v>
      </c>
      <c r="E12" s="215">
        <v>12</v>
      </c>
    </row>
    <row r="13" spans="1:9" x14ac:dyDescent="0.25">
      <c r="A13" s="212">
        <v>45763</v>
      </c>
      <c r="B13" s="213">
        <v>20.0213</v>
      </c>
      <c r="C13" s="213">
        <v>22.69313</v>
      </c>
      <c r="D13" s="213">
        <v>22.715699999999998</v>
      </c>
      <c r="E13" s="215">
        <v>12</v>
      </c>
    </row>
    <row r="14" spans="1:9" x14ac:dyDescent="0.25">
      <c r="A14" s="212">
        <v>45764</v>
      </c>
      <c r="B14" s="213"/>
      <c r="C14" s="213"/>
      <c r="D14" s="213">
        <v>22.467400000000001</v>
      </c>
      <c r="E14" s="215">
        <v>15</v>
      </c>
      <c r="F14" s="219">
        <f>AVERAGE(D2:D15)</f>
        <v>22.558257142857141</v>
      </c>
      <c r="G14" s="219">
        <f>AVERAGE(D5:D15)</f>
        <v>22.70548181818182</v>
      </c>
      <c r="H14" s="219">
        <f>AVERAGE(D10:D14)</f>
        <v>22.737659999999998</v>
      </c>
      <c r="I14" s="219">
        <f>AVERAGE(F14:H14)</f>
        <v>22.667132987012987</v>
      </c>
    </row>
    <row r="15" spans="1:9" x14ac:dyDescent="0.25">
      <c r="A15" s="212">
        <v>45768</v>
      </c>
      <c r="B15" s="213"/>
      <c r="C15" s="213"/>
      <c r="D15" s="213">
        <v>22.6098</v>
      </c>
      <c r="E15" s="215">
        <v>0.33333333333333331</v>
      </c>
    </row>
    <row r="16" spans="1:9" x14ac:dyDescent="0.25">
      <c r="A16" s="212">
        <v>45769</v>
      </c>
      <c r="B16" s="213"/>
      <c r="C16" s="213"/>
      <c r="D16" s="213">
        <v>22.398499999999999</v>
      </c>
      <c r="E16" s="215" t="s">
        <v>187</v>
      </c>
      <c r="F16" s="219">
        <f>AVERAGE(D2:D16)</f>
        <v>22.547606666666663</v>
      </c>
      <c r="G16" s="219">
        <f>AVERAGE(D7:D16)</f>
        <v>22.720800000000004</v>
      </c>
      <c r="H16" s="219">
        <f>AVERAGE(D12:D16)</f>
        <v>22.557960000000001</v>
      </c>
      <c r="I16" s="219">
        <f>AVERAGE(F16:H16)</f>
        <v>22.608788888888892</v>
      </c>
    </row>
    <row r="17" spans="1:9" x14ac:dyDescent="0.25">
      <c r="A17" s="212">
        <v>23</v>
      </c>
      <c r="B17" s="213"/>
      <c r="C17" s="213"/>
      <c r="D17" s="213">
        <v>22.26</v>
      </c>
      <c r="E17" s="215" t="s">
        <v>188</v>
      </c>
      <c r="F17" s="219">
        <f>AVERAGE(D2:D17)</f>
        <v>22.529631249999998</v>
      </c>
      <c r="G17" s="219">
        <f>AVERAGE(D8:D17)</f>
        <v>22.653649999999999</v>
      </c>
      <c r="H17" s="219">
        <f>AVERAGE(D13:D17)</f>
        <v>22.490280000000002</v>
      </c>
      <c r="I17" s="219">
        <f>AVERAGE(F17:H17)</f>
        <v>22.557853749999996</v>
      </c>
    </row>
    <row r="18" spans="1:9" x14ac:dyDescent="0.25">
      <c r="A18" s="212"/>
      <c r="B18" s="213"/>
      <c r="C18" s="213"/>
      <c r="D18" s="213"/>
      <c r="E18" s="215"/>
      <c r="F18" s="219">
        <f>AVERAGE(D2:D18)</f>
        <v>22.529631249999998</v>
      </c>
      <c r="G18" s="219">
        <f>AVERAGE(D9:D18)</f>
        <v>22.695677777777778</v>
      </c>
      <c r="H18" s="219">
        <f>AVERAGE(D14:D18)</f>
        <v>22.433925000000002</v>
      </c>
      <c r="I18" s="219">
        <f>AVERAGE(F18:H18)</f>
        <v>22.553078009259263</v>
      </c>
    </row>
    <row r="19" spans="1:9" x14ac:dyDescent="0.25">
      <c r="A19" s="212"/>
      <c r="B19" s="213"/>
      <c r="C19" s="213"/>
      <c r="D19" s="213"/>
      <c r="E19" s="215"/>
      <c r="F19" s="219"/>
      <c r="G19" s="219"/>
      <c r="H19" s="219"/>
      <c r="I19" s="219"/>
    </row>
    <row r="20" spans="1:9" x14ac:dyDescent="0.25">
      <c r="A20" s="217" t="s">
        <v>189</v>
      </c>
      <c r="B20" s="216">
        <f>+AVERAGE(B2:B13)</f>
        <v>20.402008333333331</v>
      </c>
      <c r="C20" s="216">
        <f t="shared" ref="C20" si="0">+AVERAGE(C2:C13)</f>
        <v>22.582002500000005</v>
      </c>
      <c r="D20" s="216">
        <f>+AVERAGE(D2:D14)</f>
        <v>22.554292307692304</v>
      </c>
      <c r="E20" s="216">
        <f t="shared" ref="E20" si="1">+AVERAGE(E2:E10)</f>
        <v>0.60223765432098775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9A710-01BA-42C4-9A71-87D5081791D5}">
  <sheetPr>
    <tabColor rgb="FFFFFF00"/>
  </sheetPr>
  <dimension ref="A1:CC32"/>
  <sheetViews>
    <sheetView showGridLines="0" zoomScale="85" zoomScaleNormal="85" workbookViewId="0">
      <pane xSplit="5" ySplit="1" topLeftCell="Z3" activePane="bottomRight" state="frozen"/>
      <selection pane="topRight" activeCell="C1" sqref="C1"/>
      <selection pane="bottomLeft" activeCell="A2" sqref="A2"/>
      <selection pane="bottomRight" activeCell="AB5" sqref="AB5"/>
    </sheetView>
  </sheetViews>
  <sheetFormatPr baseColWidth="10" defaultColWidth="10.7109375" defaultRowHeight="15" x14ac:dyDescent="0.25"/>
  <cols>
    <col min="3" max="3" width="12.28515625" customWidth="1"/>
    <col min="5" max="5" width="50" bestFit="1" customWidth="1"/>
    <col min="6" max="6" width="11.28515625" style="137" customWidth="1"/>
    <col min="7" max="9" width="9.5703125" style="70" hidden="1" customWidth="1"/>
    <col min="10" max="10" width="10.5703125" style="70" hidden="1" customWidth="1"/>
    <col min="11" max="11" width="10.85546875" style="137" hidden="1" customWidth="1"/>
    <col min="12" max="14" width="9.5703125" style="70" hidden="1" customWidth="1"/>
    <col min="15" max="15" width="10.5703125" style="70" hidden="1" customWidth="1"/>
    <col min="16" max="16" width="10.85546875" style="137" customWidth="1"/>
    <col min="17" max="19" width="9.5703125" style="70" customWidth="1"/>
    <col min="20" max="20" width="10.5703125" style="70" customWidth="1"/>
    <col min="21" max="21" width="10.85546875" style="137" customWidth="1"/>
    <col min="22" max="24" width="9.5703125" style="70" customWidth="1"/>
    <col min="25" max="25" width="10.5703125" style="70" customWidth="1"/>
    <col min="26" max="26" width="10.85546875" style="137" customWidth="1"/>
    <col min="27" max="27" width="10.5703125" style="70" bestFit="1" customWidth="1"/>
    <col min="28" max="29" width="9.5703125" style="70" customWidth="1"/>
    <col min="30" max="30" width="10.5703125" style="70" customWidth="1"/>
    <col min="31" max="31" width="10.85546875" style="137" customWidth="1"/>
    <col min="32" max="34" width="9.5703125" style="70" hidden="1" customWidth="1"/>
    <col min="35" max="35" width="10.5703125" style="70" hidden="1" customWidth="1"/>
    <col min="36" max="36" width="10.85546875" style="137" hidden="1" customWidth="1"/>
    <col min="37" max="39" width="9.5703125" style="70" hidden="1" customWidth="1"/>
    <col min="40" max="40" width="10.5703125" style="70" hidden="1" customWidth="1"/>
    <col min="41" max="41" width="10.85546875" style="137" hidden="1" customWidth="1"/>
    <col min="42" max="44" width="9.5703125" style="70" hidden="1" customWidth="1"/>
    <col min="45" max="45" width="10.5703125" style="70" hidden="1" customWidth="1"/>
    <col min="46" max="46" width="10.85546875" style="137" hidden="1" customWidth="1"/>
    <col min="47" max="49" width="9.5703125" style="70" hidden="1" customWidth="1"/>
    <col min="50" max="50" width="10.5703125" style="70" hidden="1" customWidth="1"/>
    <col min="51" max="51" width="13.140625" style="137" hidden="1" customWidth="1"/>
    <col min="52" max="54" width="9.5703125" style="70" hidden="1" customWidth="1"/>
    <col min="55" max="55" width="10.5703125" style="70" hidden="1" customWidth="1"/>
    <col min="56" max="56" width="10.85546875" style="137" hidden="1" customWidth="1"/>
    <col min="57" max="59" width="9.5703125" style="70" hidden="1" customWidth="1"/>
    <col min="60" max="60" width="10.5703125" style="70" hidden="1" customWidth="1"/>
    <col min="61" max="61" width="11.85546875" style="137" hidden="1" customWidth="1"/>
    <col min="62" max="64" width="9.5703125" style="70" hidden="1" customWidth="1"/>
    <col min="65" max="65" width="10.5703125" style="70" hidden="1" customWidth="1"/>
    <col min="66" max="66" width="13" style="137" hidden="1" customWidth="1"/>
    <col min="67" max="69" width="10.7109375" style="70" customWidth="1"/>
    <col min="70" max="71" width="11" style="382" customWidth="1"/>
    <col min="72" max="74" width="10.85546875" style="69" customWidth="1"/>
    <col min="75" max="75" width="7.85546875" style="69" customWidth="1"/>
    <col min="76" max="78" width="11.7109375" style="70" customWidth="1"/>
    <col min="79" max="79" width="9.5703125" style="69" customWidth="1"/>
    <col min="80" max="80" width="7" style="70" bestFit="1" customWidth="1"/>
    <col min="81" max="81" width="10" style="70" customWidth="1"/>
  </cols>
  <sheetData>
    <row r="1" spans="1:81" ht="45" customHeight="1" x14ac:dyDescent="0.25">
      <c r="D1" s="625"/>
      <c r="E1" s="625"/>
      <c r="F1" s="138"/>
      <c r="G1" s="56"/>
      <c r="H1" s="56"/>
      <c r="I1" s="56"/>
      <c r="J1" s="56"/>
      <c r="K1" s="138"/>
      <c r="L1" s="421"/>
      <c r="M1" s="419"/>
      <c r="N1" s="419"/>
      <c r="O1" s="422">
        <v>30</v>
      </c>
      <c r="P1" s="420"/>
      <c r="Q1" s="56"/>
      <c r="R1" s="56"/>
      <c r="S1" s="56"/>
      <c r="T1" s="56"/>
      <c r="U1" s="138"/>
      <c r="V1" s="56"/>
      <c r="W1" s="56"/>
      <c r="X1" s="56"/>
      <c r="Y1" s="56"/>
      <c r="Z1" s="138"/>
      <c r="AA1" s="56"/>
      <c r="AB1" s="56"/>
      <c r="AC1" s="56"/>
      <c r="AD1" s="56"/>
      <c r="AE1" s="138"/>
      <c r="AF1" s="56"/>
      <c r="AG1" s="56"/>
      <c r="AH1" s="56"/>
      <c r="AI1" s="56"/>
      <c r="AJ1" s="138"/>
      <c r="AK1" s="56"/>
      <c r="AL1" s="56"/>
      <c r="AM1" s="56"/>
      <c r="AN1" s="56"/>
      <c r="AO1" s="138"/>
      <c r="AP1" s="56"/>
      <c r="AQ1" s="56"/>
      <c r="AR1" s="56"/>
      <c r="AS1" s="56"/>
      <c r="AT1" s="138"/>
      <c r="AU1" s="56"/>
      <c r="AV1" s="56"/>
      <c r="AW1" s="56"/>
      <c r="AX1" s="56"/>
      <c r="AY1" s="138"/>
      <c r="AZ1" s="56"/>
      <c r="BA1" s="56"/>
      <c r="BB1" s="56"/>
      <c r="BC1" s="56"/>
      <c r="BD1" s="138"/>
      <c r="BE1" s="56"/>
      <c r="BF1" s="56"/>
      <c r="BG1" s="56"/>
      <c r="BH1" s="56"/>
      <c r="BI1" s="138"/>
      <c r="BJ1" s="56"/>
      <c r="BK1" s="56"/>
      <c r="BL1" s="56"/>
      <c r="BM1" s="56"/>
      <c r="BN1" s="138"/>
      <c r="BO1" s="630" t="s">
        <v>274</v>
      </c>
      <c r="BP1" s="631"/>
      <c r="BQ1" s="632"/>
      <c r="BR1" s="628" t="s">
        <v>267</v>
      </c>
      <c r="BS1" s="617" t="s">
        <v>291</v>
      </c>
      <c r="BT1" s="633" t="s">
        <v>276</v>
      </c>
      <c r="BU1" s="634"/>
      <c r="BV1" s="635"/>
      <c r="BW1" s="477"/>
      <c r="BX1" s="636" t="s">
        <v>190</v>
      </c>
      <c r="BY1" s="637"/>
      <c r="BZ1" s="609"/>
      <c r="CA1" s="623" t="s">
        <v>191</v>
      </c>
      <c r="CB1" s="624" t="s">
        <v>290</v>
      </c>
      <c r="CC1" s="624"/>
    </row>
    <row r="2" spans="1:81" s="15" customFormat="1" ht="45" customHeight="1" x14ac:dyDescent="0.25">
      <c r="A2" s="6" t="s">
        <v>289</v>
      </c>
      <c r="B2" s="6" t="s">
        <v>284</v>
      </c>
      <c r="C2" s="6" t="s">
        <v>272</v>
      </c>
      <c r="D2" s="1" t="s">
        <v>52</v>
      </c>
      <c r="E2" s="6" t="s">
        <v>53</v>
      </c>
      <c r="F2" s="246" t="s">
        <v>192</v>
      </c>
      <c r="G2" s="74" t="s">
        <v>193</v>
      </c>
      <c r="H2" s="74" t="s">
        <v>194</v>
      </c>
      <c r="I2" s="74" t="s">
        <v>195</v>
      </c>
      <c r="J2" s="44" t="s">
        <v>196</v>
      </c>
      <c r="K2" s="246" t="s">
        <v>197</v>
      </c>
      <c r="L2" s="74" t="s">
        <v>193</v>
      </c>
      <c r="M2" s="74" t="s">
        <v>194</v>
      </c>
      <c r="N2" s="74" t="s">
        <v>195</v>
      </c>
      <c r="O2" s="44" t="s">
        <v>196</v>
      </c>
      <c r="P2" s="246" t="s">
        <v>198</v>
      </c>
      <c r="Q2" s="74" t="s">
        <v>193</v>
      </c>
      <c r="R2" s="74" t="s">
        <v>194</v>
      </c>
      <c r="S2" s="74" t="s">
        <v>195</v>
      </c>
      <c r="T2" s="44" t="s">
        <v>196</v>
      </c>
      <c r="U2" s="246" t="s">
        <v>199</v>
      </c>
      <c r="V2" s="74" t="s">
        <v>193</v>
      </c>
      <c r="W2" s="74" t="s">
        <v>194</v>
      </c>
      <c r="X2" s="74" t="s">
        <v>195</v>
      </c>
      <c r="Y2" s="44" t="s">
        <v>196</v>
      </c>
      <c r="Z2" s="246" t="s">
        <v>200</v>
      </c>
      <c r="AA2" s="74" t="s">
        <v>193</v>
      </c>
      <c r="AB2" s="74" t="s">
        <v>194</v>
      </c>
      <c r="AC2" s="74" t="s">
        <v>195</v>
      </c>
      <c r="AD2" s="44" t="s">
        <v>196</v>
      </c>
      <c r="AE2" s="246" t="s">
        <v>201</v>
      </c>
      <c r="AF2" s="74" t="s">
        <v>193</v>
      </c>
      <c r="AG2" s="74" t="s">
        <v>194</v>
      </c>
      <c r="AH2" s="74" t="s">
        <v>195</v>
      </c>
      <c r="AI2" s="44" t="s">
        <v>196</v>
      </c>
      <c r="AJ2" s="246" t="s">
        <v>202</v>
      </c>
      <c r="AK2" s="74" t="s">
        <v>193</v>
      </c>
      <c r="AL2" s="74" t="s">
        <v>194</v>
      </c>
      <c r="AM2" s="74" t="s">
        <v>195</v>
      </c>
      <c r="AN2" s="44" t="s">
        <v>196</v>
      </c>
      <c r="AO2" s="246" t="s">
        <v>203</v>
      </c>
      <c r="AP2" s="74" t="s">
        <v>193</v>
      </c>
      <c r="AQ2" s="74" t="s">
        <v>194</v>
      </c>
      <c r="AR2" s="74" t="s">
        <v>195</v>
      </c>
      <c r="AS2" s="44" t="s">
        <v>196</v>
      </c>
      <c r="AT2" s="246" t="s">
        <v>204</v>
      </c>
      <c r="AU2" s="74" t="s">
        <v>193</v>
      </c>
      <c r="AV2" s="74" t="s">
        <v>194</v>
      </c>
      <c r="AW2" s="74" t="s">
        <v>195</v>
      </c>
      <c r="AX2" s="44" t="s">
        <v>196</v>
      </c>
      <c r="AY2" s="246" t="s">
        <v>205</v>
      </c>
      <c r="AZ2" s="74" t="s">
        <v>193</v>
      </c>
      <c r="BA2" s="74" t="s">
        <v>194</v>
      </c>
      <c r="BB2" s="74" t="s">
        <v>195</v>
      </c>
      <c r="BC2" s="44" t="s">
        <v>196</v>
      </c>
      <c r="BD2" s="246" t="s">
        <v>206</v>
      </c>
      <c r="BE2" s="74" t="s">
        <v>193</v>
      </c>
      <c r="BF2" s="74" t="s">
        <v>194</v>
      </c>
      <c r="BG2" s="74" t="s">
        <v>195</v>
      </c>
      <c r="BH2" s="44" t="s">
        <v>196</v>
      </c>
      <c r="BI2" s="246" t="s">
        <v>207</v>
      </c>
      <c r="BJ2" s="74" t="s">
        <v>193</v>
      </c>
      <c r="BK2" s="74" t="s">
        <v>194</v>
      </c>
      <c r="BL2" s="74" t="s">
        <v>195</v>
      </c>
      <c r="BM2" s="44" t="s">
        <v>196</v>
      </c>
      <c r="BN2" s="246" t="s">
        <v>208</v>
      </c>
      <c r="BO2" s="75"/>
      <c r="BP2" s="75"/>
      <c r="BQ2" s="75"/>
      <c r="BR2" s="629"/>
      <c r="BS2" s="618"/>
      <c r="BT2" s="134" t="s">
        <v>209</v>
      </c>
      <c r="BU2" s="134"/>
      <c r="BV2" s="134"/>
      <c r="BW2" s="134"/>
      <c r="BX2" s="135"/>
      <c r="BY2" s="135"/>
      <c r="BZ2" s="135"/>
      <c r="CA2" s="623"/>
      <c r="CB2" s="57" t="s">
        <v>210</v>
      </c>
      <c r="CC2" s="57" t="s">
        <v>211</v>
      </c>
    </row>
    <row r="3" spans="1:81" ht="15.95" customHeight="1" x14ac:dyDescent="0.25">
      <c r="A3" s="243">
        <v>60</v>
      </c>
      <c r="B3" s="243" t="s">
        <v>235</v>
      </c>
      <c r="C3" s="507" t="s">
        <v>277</v>
      </c>
      <c r="D3" s="243">
        <v>804104</v>
      </c>
      <c r="E3" s="244" t="s">
        <v>54</v>
      </c>
      <c r="F3" s="240">
        <v>549.5</v>
      </c>
      <c r="G3" s="58"/>
      <c r="H3" s="58"/>
      <c r="I3" s="58"/>
      <c r="J3" s="58">
        <v>56.25</v>
      </c>
      <c r="K3" s="240">
        <f t="shared" ref="K3:K9" si="0">+F3+G3+H3-I3-J3</f>
        <v>493.25</v>
      </c>
      <c r="L3" s="58"/>
      <c r="M3" s="58"/>
      <c r="N3" s="58"/>
      <c r="O3" s="58">
        <v>234.25</v>
      </c>
      <c r="P3" s="240">
        <f>+K3+L3+M3-N3-O3</f>
        <v>259</v>
      </c>
      <c r="Q3" s="58"/>
      <c r="R3" s="58"/>
      <c r="S3" s="58"/>
      <c r="T3" s="58">
        <v>155.75</v>
      </c>
      <c r="U3" s="240">
        <f>+P3+Q3+R3-S3-T3</f>
        <v>103.25</v>
      </c>
      <c r="V3" s="58"/>
      <c r="W3" s="58"/>
      <c r="X3" s="58"/>
      <c r="Y3" s="58">
        <v>44</v>
      </c>
      <c r="Z3" s="240">
        <f>+U3+V3+W3-X3-Y3</f>
        <v>59.25</v>
      </c>
      <c r="AA3" s="58"/>
      <c r="AB3" s="58"/>
      <c r="AC3" s="58"/>
      <c r="AD3" s="58">
        <v>24.25</v>
      </c>
      <c r="AE3" s="240">
        <f>+Z3+AA3+AB3-AC3-AD3</f>
        <v>35</v>
      </c>
      <c r="AF3" s="58"/>
      <c r="AG3" s="58"/>
      <c r="AH3" s="58"/>
      <c r="AI3" s="58"/>
      <c r="AJ3" s="240"/>
      <c r="AK3" s="58"/>
      <c r="AL3" s="58"/>
      <c r="AM3" s="58"/>
      <c r="AN3" s="58"/>
      <c r="AO3" s="240"/>
      <c r="AP3" s="58"/>
      <c r="AQ3" s="58"/>
      <c r="AR3" s="58"/>
      <c r="AS3" s="58"/>
      <c r="AT3" s="240"/>
      <c r="AU3" s="58"/>
      <c r="AV3" s="58"/>
      <c r="AW3" s="58"/>
      <c r="AX3" s="58"/>
      <c r="AY3" s="240"/>
      <c r="AZ3" s="58"/>
      <c r="BA3" s="58"/>
      <c r="BB3" s="58"/>
      <c r="BC3" s="58"/>
      <c r="BD3" s="240"/>
      <c r="BE3" s="58"/>
      <c r="BF3" s="58"/>
      <c r="BG3" s="58"/>
      <c r="BH3" s="58"/>
      <c r="BI3" s="240"/>
      <c r="BJ3" s="58"/>
      <c r="BK3" s="58"/>
      <c r="BL3" s="58"/>
      <c r="BM3" s="58"/>
      <c r="BN3" s="240"/>
      <c r="BO3" s="25">
        <f ca="1">IF((AE3-($BR3*(NETWORKDAYS(TODAY(),$BX$12)/$O$1))+BX3)&lt;=0,0,AE3-($BR3*(NETWORKDAYS(TODAY(),$BX$12)/$O$1))+BX3)</f>
        <v>20.475000000000001</v>
      </c>
      <c r="BP3" s="385"/>
      <c r="BQ3" s="385"/>
      <c r="BR3" s="607">
        <f>AVERAGE(J3,O3)</f>
        <v>145.25</v>
      </c>
      <c r="BS3" s="607">
        <f>+BR3*1.1</f>
        <v>159.77500000000001</v>
      </c>
      <c r="BT3" s="63">
        <f>+Z3/BR3</f>
        <v>0.40791738382099829</v>
      </c>
      <c r="BU3" s="384"/>
      <c r="BV3" s="384"/>
      <c r="BW3" s="384"/>
      <c r="BX3" s="59"/>
      <c r="BY3" s="59"/>
      <c r="BZ3" s="59"/>
      <c r="CA3" s="60">
        <v>108</v>
      </c>
      <c r="CB3" s="61"/>
      <c r="CC3" s="62">
        <f t="shared" ref="CC3:CC6" si="1">+CB3*CA3</f>
        <v>0</v>
      </c>
    </row>
    <row r="4" spans="1:81" ht="15.95" customHeight="1" x14ac:dyDescent="0.25">
      <c r="A4" s="243">
        <v>60</v>
      </c>
      <c r="B4" s="243" t="s">
        <v>235</v>
      </c>
      <c r="C4" s="507" t="s">
        <v>277</v>
      </c>
      <c r="D4" s="243">
        <v>805567</v>
      </c>
      <c r="E4" s="245" t="s">
        <v>55</v>
      </c>
      <c r="F4" s="240">
        <v>743.5</v>
      </c>
      <c r="G4" s="58"/>
      <c r="H4" s="58"/>
      <c r="I4" s="58"/>
      <c r="J4" s="58"/>
      <c r="K4" s="240">
        <f t="shared" si="0"/>
        <v>743.5</v>
      </c>
      <c r="L4" s="58"/>
      <c r="M4" s="58"/>
      <c r="N4" s="58"/>
      <c r="O4" s="58"/>
      <c r="P4" s="240">
        <f t="shared" ref="P4:P6" si="2">+K4+L4+M4-N4-O4</f>
        <v>743.5</v>
      </c>
      <c r="Q4" s="58"/>
      <c r="R4" s="58">
        <v>10</v>
      </c>
      <c r="S4" s="58"/>
      <c r="T4" s="58">
        <v>287.25</v>
      </c>
      <c r="U4" s="240">
        <f>+P4+Q4+R4-S4-T4</f>
        <v>466.25</v>
      </c>
      <c r="V4" s="58"/>
      <c r="W4" s="58">
        <v>1</v>
      </c>
      <c r="X4" s="58"/>
      <c r="Y4" s="58">
        <v>319</v>
      </c>
      <c r="Z4" s="240">
        <f>+U4+V4+W4-X4-Y4</f>
        <v>148.25</v>
      </c>
      <c r="AA4" s="58"/>
      <c r="AB4" s="58">
        <v>9</v>
      </c>
      <c r="AC4" s="58"/>
      <c r="AD4" s="58">
        <v>46</v>
      </c>
      <c r="AE4" s="240">
        <f>+Z4+AA4+AB4-AC4-AD4</f>
        <v>111.25</v>
      </c>
      <c r="AF4" s="58"/>
      <c r="AG4" s="58"/>
      <c r="AH4" s="58"/>
      <c r="AI4" s="58"/>
      <c r="AJ4" s="240"/>
      <c r="AK4" s="58"/>
      <c r="AL4" s="58"/>
      <c r="AM4" s="58"/>
      <c r="AN4" s="58"/>
      <c r="AO4" s="240"/>
      <c r="AP4" s="58"/>
      <c r="AQ4" s="58"/>
      <c r="AR4" s="58"/>
      <c r="AS4" s="58"/>
      <c r="AT4" s="240"/>
      <c r="AU4" s="58"/>
      <c r="AV4" s="58"/>
      <c r="AW4" s="58"/>
      <c r="AX4" s="58"/>
      <c r="AY4" s="240"/>
      <c r="AZ4" s="58"/>
      <c r="BA4" s="58"/>
      <c r="BB4" s="58"/>
      <c r="BC4" s="58"/>
      <c r="BD4" s="240"/>
      <c r="BE4" s="58"/>
      <c r="BF4" s="58"/>
      <c r="BG4" s="58"/>
      <c r="BH4" s="58"/>
      <c r="BI4" s="240"/>
      <c r="BJ4" s="58"/>
      <c r="BK4" s="58"/>
      <c r="BL4" s="58"/>
      <c r="BM4" s="58"/>
      <c r="BN4" s="240"/>
      <c r="BO4" s="25">
        <f ca="1">IF((AE4-($BR4*(NETWORKDAYS(TODAY(),$BX$12)/$O$1))+BX4)&lt;=0,0,AE4-($BR4*(NETWORKDAYS(TODAY(),$BX$12)/$O$1))+BX4)</f>
        <v>86.25</v>
      </c>
      <c r="BP4" s="385"/>
      <c r="BQ4" s="385"/>
      <c r="BR4" s="607">
        <v>250</v>
      </c>
      <c r="BS4" s="607">
        <f t="shared" ref="BS4" si="3">+BR4*1.1</f>
        <v>275</v>
      </c>
      <c r="BT4" s="63">
        <f>+Z4/BR4</f>
        <v>0.59299999999999997</v>
      </c>
      <c r="BU4" s="384"/>
      <c r="BV4" s="384"/>
      <c r="BW4" s="384"/>
      <c r="BX4" s="59"/>
      <c r="BY4" s="59"/>
      <c r="BZ4" s="59"/>
      <c r="CA4" s="60">
        <v>108</v>
      </c>
      <c r="CB4" s="61"/>
      <c r="CC4" s="62">
        <f t="shared" si="1"/>
        <v>0</v>
      </c>
    </row>
    <row r="5" spans="1:81" ht="15.95" customHeight="1" x14ac:dyDescent="0.25">
      <c r="A5" s="243">
        <v>60</v>
      </c>
      <c r="B5" s="243" t="s">
        <v>235</v>
      </c>
      <c r="C5" s="507" t="s">
        <v>280</v>
      </c>
      <c r="D5" s="243">
        <v>803528</v>
      </c>
      <c r="E5" s="245" t="s">
        <v>56</v>
      </c>
      <c r="F5" s="240">
        <v>0</v>
      </c>
      <c r="G5" s="58"/>
      <c r="H5" s="58"/>
      <c r="I5" s="58"/>
      <c r="J5" s="58"/>
      <c r="K5" s="240">
        <f t="shared" si="0"/>
        <v>0</v>
      </c>
      <c r="L5" s="58"/>
      <c r="M5" s="58"/>
      <c r="N5" s="58"/>
      <c r="O5" s="58"/>
      <c r="P5" s="240">
        <f t="shared" si="2"/>
        <v>0</v>
      </c>
      <c r="Q5" s="58"/>
      <c r="R5" s="58"/>
      <c r="S5" s="58"/>
      <c r="T5" s="58"/>
      <c r="U5" s="240"/>
      <c r="V5" s="58"/>
      <c r="W5" s="58"/>
      <c r="X5" s="58"/>
      <c r="Y5" s="58"/>
      <c r="Z5" s="240"/>
      <c r="AA5" s="58"/>
      <c r="AB5" s="58"/>
      <c r="AC5" s="58"/>
      <c r="AD5" s="58"/>
      <c r="AE5" s="240">
        <f>+Z5+AA5+AB5-AC5-AD5</f>
        <v>0</v>
      </c>
      <c r="AF5" s="58"/>
      <c r="AG5" s="58"/>
      <c r="AH5" s="58"/>
      <c r="AI5" s="58"/>
      <c r="AJ5" s="240"/>
      <c r="AK5" s="58"/>
      <c r="AL5" s="58"/>
      <c r="AM5" s="58"/>
      <c r="AN5" s="58"/>
      <c r="AO5" s="240"/>
      <c r="AP5" s="58"/>
      <c r="AQ5" s="58"/>
      <c r="AR5" s="58"/>
      <c r="AS5" s="58"/>
      <c r="AT5" s="240"/>
      <c r="AU5" s="58"/>
      <c r="AV5" s="58"/>
      <c r="AW5" s="58"/>
      <c r="AX5" s="58"/>
      <c r="AY5" s="240"/>
      <c r="AZ5" s="58"/>
      <c r="BA5" s="58"/>
      <c r="BB5" s="58"/>
      <c r="BC5" s="58"/>
      <c r="BD5" s="240"/>
      <c r="BE5" s="58"/>
      <c r="BF5" s="58"/>
      <c r="BG5" s="58"/>
      <c r="BH5" s="58"/>
      <c r="BI5" s="240"/>
      <c r="BJ5" s="58"/>
      <c r="BK5" s="58"/>
      <c r="BL5" s="58"/>
      <c r="BM5" s="58"/>
      <c r="BN5" s="240"/>
      <c r="BO5" s="25">
        <f t="shared" ref="BO5:BO6" ca="1" si="4">IF((AE5-($BR5*(NETWORKDAYS(TODAY(),$BX$12)/$O$1))+BX5)&lt;=0,0,AE5-($BR5*(NETWORKDAYS(TODAY(),$BX$12)/$O$1))+BX5)</f>
        <v>0</v>
      </c>
      <c r="BP5" s="383"/>
      <c r="BQ5" s="383"/>
      <c r="BR5" s="607"/>
      <c r="BS5" s="607"/>
      <c r="BT5" s="63"/>
      <c r="BU5" s="63"/>
      <c r="BV5" s="63"/>
      <c r="BW5" s="63"/>
      <c r="BX5" s="59"/>
      <c r="BY5" s="59"/>
      <c r="BZ5" s="59"/>
      <c r="CA5" s="60">
        <v>108</v>
      </c>
      <c r="CB5" s="61"/>
      <c r="CC5" s="62">
        <f t="shared" si="1"/>
        <v>0</v>
      </c>
    </row>
    <row r="6" spans="1:81" ht="15.95" customHeight="1" thickBot="1" x14ac:dyDescent="0.3">
      <c r="A6" s="243">
        <v>60</v>
      </c>
      <c r="B6" s="243" t="s">
        <v>235</v>
      </c>
      <c r="C6" s="507" t="s">
        <v>280</v>
      </c>
      <c r="D6" s="243">
        <v>806685</v>
      </c>
      <c r="E6" s="245" t="s">
        <v>57</v>
      </c>
      <c r="F6" s="240">
        <v>51.25</v>
      </c>
      <c r="G6" s="58"/>
      <c r="H6" s="58"/>
      <c r="I6" s="58"/>
      <c r="J6" s="58">
        <v>51</v>
      </c>
      <c r="K6" s="240">
        <f t="shared" si="0"/>
        <v>0.25</v>
      </c>
      <c r="L6" s="58"/>
      <c r="M6" s="58"/>
      <c r="N6" s="58"/>
      <c r="O6" s="58">
        <v>0.25</v>
      </c>
      <c r="P6" s="240">
        <f t="shared" si="2"/>
        <v>0</v>
      </c>
      <c r="Q6" s="58"/>
      <c r="R6" s="58"/>
      <c r="S6" s="58"/>
      <c r="T6" s="58"/>
      <c r="U6" s="240"/>
      <c r="V6" s="58"/>
      <c r="W6" s="58"/>
      <c r="X6" s="58"/>
      <c r="Y6" s="58"/>
      <c r="Z6" s="240"/>
      <c r="AA6" s="58"/>
      <c r="AB6" s="58"/>
      <c r="AC6" s="58"/>
      <c r="AD6" s="58"/>
      <c r="AE6" s="240">
        <f t="shared" ref="AE6" si="5">+Z6+AA6+AB6-AC6-AD6</f>
        <v>0</v>
      </c>
      <c r="AF6" s="58"/>
      <c r="AG6" s="58"/>
      <c r="AH6" s="58"/>
      <c r="AI6" s="58"/>
      <c r="AJ6" s="240"/>
      <c r="AK6" s="58"/>
      <c r="AL6" s="58"/>
      <c r="AM6" s="58"/>
      <c r="AN6" s="58"/>
      <c r="AO6" s="240"/>
      <c r="AP6" s="58"/>
      <c r="AQ6" s="58"/>
      <c r="AR6" s="58"/>
      <c r="AS6" s="58"/>
      <c r="AT6" s="240"/>
      <c r="AU6" s="58"/>
      <c r="AV6" s="58"/>
      <c r="AW6" s="58"/>
      <c r="AX6" s="58"/>
      <c r="AY6" s="240"/>
      <c r="AZ6" s="58"/>
      <c r="BA6" s="58"/>
      <c r="BB6" s="58"/>
      <c r="BC6" s="58"/>
      <c r="BD6" s="240"/>
      <c r="BE6" s="58"/>
      <c r="BF6" s="58"/>
      <c r="BG6" s="58"/>
      <c r="BH6" s="58"/>
      <c r="BI6" s="240"/>
      <c r="BJ6" s="58"/>
      <c r="BK6" s="58"/>
      <c r="BL6" s="58"/>
      <c r="BM6" s="58"/>
      <c r="BN6" s="240"/>
      <c r="BO6" s="25">
        <f t="shared" ca="1" si="4"/>
        <v>0</v>
      </c>
      <c r="BP6" s="383"/>
      <c r="BQ6" s="383"/>
      <c r="BR6" s="607">
        <v>2.25</v>
      </c>
      <c r="BS6" s="607"/>
      <c r="BT6" s="63">
        <f>+P6/BR6</f>
        <v>0</v>
      </c>
      <c r="BU6" s="63"/>
      <c r="BV6" s="63"/>
      <c r="BW6" s="63"/>
      <c r="BX6" s="59"/>
      <c r="BY6" s="59"/>
      <c r="BZ6" s="59"/>
      <c r="CA6" s="60">
        <v>108</v>
      </c>
      <c r="CB6" s="61"/>
      <c r="CC6" s="62">
        <f t="shared" si="1"/>
        <v>0</v>
      </c>
    </row>
    <row r="7" spans="1:81" ht="15.95" hidden="1" customHeight="1" x14ac:dyDescent="0.25">
      <c r="A7" s="507"/>
      <c r="B7" s="507"/>
      <c r="C7" s="507"/>
      <c r="D7" s="243"/>
      <c r="E7" s="245"/>
      <c r="F7" s="240"/>
      <c r="G7" s="58"/>
      <c r="H7" s="58"/>
      <c r="I7" s="58"/>
      <c r="J7" s="58"/>
      <c r="K7" s="240">
        <f t="shared" si="0"/>
        <v>0</v>
      </c>
      <c r="L7" s="58"/>
      <c r="M7" s="58"/>
      <c r="N7" s="58"/>
      <c r="O7" s="58"/>
      <c r="P7" s="240"/>
      <c r="Q7" s="58"/>
      <c r="R7" s="58"/>
      <c r="S7" s="58"/>
      <c r="T7" s="58"/>
      <c r="U7" s="240"/>
      <c r="V7" s="58"/>
      <c r="W7" s="58"/>
      <c r="X7" s="58"/>
      <c r="Y7" s="58"/>
      <c r="Z7" s="240"/>
      <c r="AA7" s="58"/>
      <c r="AB7" s="58"/>
      <c r="AC7" s="58"/>
      <c r="AD7" s="58"/>
      <c r="AE7" s="240"/>
      <c r="AF7" s="58"/>
      <c r="AG7" s="58"/>
      <c r="AH7" s="58"/>
      <c r="AI7" s="58"/>
      <c r="AJ7" s="240"/>
      <c r="AK7" s="58"/>
      <c r="AL7" s="58"/>
      <c r="AM7" s="58"/>
      <c r="AN7" s="58"/>
      <c r="AO7" s="240"/>
      <c r="AP7" s="58"/>
      <c r="AQ7" s="58"/>
      <c r="AR7" s="58"/>
      <c r="AS7" s="58"/>
      <c r="AT7" s="240"/>
      <c r="AU7" s="58"/>
      <c r="AV7" s="58"/>
      <c r="AW7" s="58"/>
      <c r="AX7" s="58"/>
      <c r="AY7" s="240"/>
      <c r="AZ7" s="58"/>
      <c r="BA7" s="58"/>
      <c r="BB7" s="58"/>
      <c r="BC7" s="58"/>
      <c r="BD7" s="240"/>
      <c r="BE7" s="58"/>
      <c r="BF7" s="58"/>
      <c r="BG7" s="58"/>
      <c r="BH7" s="58"/>
      <c r="BI7" s="240"/>
      <c r="BJ7" s="58"/>
      <c r="BK7" s="58"/>
      <c r="BL7" s="58"/>
      <c r="BM7" s="58"/>
      <c r="BN7" s="240"/>
      <c r="BO7" s="31"/>
      <c r="BP7" s="31"/>
      <c r="BQ7" s="31"/>
      <c r="BR7" s="379"/>
      <c r="BS7" s="379"/>
      <c r="BT7" s="63"/>
      <c r="BU7" s="63"/>
      <c r="BV7" s="63"/>
      <c r="BW7" s="63"/>
      <c r="BX7" s="59"/>
      <c r="BY7" s="59"/>
      <c r="BZ7" s="59"/>
      <c r="CA7" s="60"/>
      <c r="CB7" s="61"/>
      <c r="CC7" s="62"/>
    </row>
    <row r="8" spans="1:81" ht="15.95" hidden="1" customHeight="1" x14ac:dyDescent="0.25">
      <c r="A8" s="507"/>
      <c r="B8" s="507"/>
      <c r="C8" s="507"/>
      <c r="D8" s="243"/>
      <c r="E8" s="245"/>
      <c r="F8" s="240"/>
      <c r="G8" s="58"/>
      <c r="H8" s="58"/>
      <c r="I8" s="58"/>
      <c r="J8" s="58"/>
      <c r="K8" s="240">
        <f t="shared" si="0"/>
        <v>0</v>
      </c>
      <c r="L8" s="58"/>
      <c r="M8" s="58"/>
      <c r="N8" s="58"/>
      <c r="O8" s="58"/>
      <c r="P8" s="240"/>
      <c r="Q8" s="58"/>
      <c r="R8" s="58"/>
      <c r="S8" s="58"/>
      <c r="T8" s="58"/>
      <c r="U8" s="240"/>
      <c r="V8" s="58"/>
      <c r="W8" s="58"/>
      <c r="X8" s="58"/>
      <c r="Y8" s="58"/>
      <c r="Z8" s="240"/>
      <c r="AA8" s="58"/>
      <c r="AB8" s="58"/>
      <c r="AC8" s="58"/>
      <c r="AD8" s="58"/>
      <c r="AE8" s="240"/>
      <c r="AF8" s="58"/>
      <c r="AG8" s="58"/>
      <c r="AH8" s="58"/>
      <c r="AI8" s="58"/>
      <c r="AJ8" s="240"/>
      <c r="AK8" s="58"/>
      <c r="AL8" s="58"/>
      <c r="AM8" s="58"/>
      <c r="AN8" s="58"/>
      <c r="AO8" s="240"/>
      <c r="AP8" s="58"/>
      <c r="AQ8" s="58"/>
      <c r="AR8" s="58"/>
      <c r="AS8" s="58"/>
      <c r="AT8" s="240"/>
      <c r="AU8" s="58"/>
      <c r="AV8" s="58"/>
      <c r="AW8" s="58"/>
      <c r="AX8" s="58"/>
      <c r="AY8" s="240"/>
      <c r="AZ8" s="58"/>
      <c r="BA8" s="58"/>
      <c r="BB8" s="58"/>
      <c r="BC8" s="58"/>
      <c r="BD8" s="240"/>
      <c r="BE8" s="58"/>
      <c r="BF8" s="58"/>
      <c r="BG8" s="58"/>
      <c r="BH8" s="58"/>
      <c r="BI8" s="240"/>
      <c r="BJ8" s="58"/>
      <c r="BK8" s="58"/>
      <c r="BL8" s="58"/>
      <c r="BM8" s="58"/>
      <c r="BN8" s="240"/>
      <c r="BO8" s="31"/>
      <c r="BP8" s="31"/>
      <c r="BQ8" s="31"/>
      <c r="BR8" s="379"/>
      <c r="BS8" s="379"/>
      <c r="BT8" s="63"/>
      <c r="BU8" s="63"/>
      <c r="BV8" s="63"/>
      <c r="BW8" s="63"/>
      <c r="BX8" s="59"/>
      <c r="BY8" s="59"/>
      <c r="BZ8" s="59"/>
      <c r="CA8" s="60"/>
      <c r="CB8" s="61"/>
      <c r="CC8" s="62"/>
    </row>
    <row r="9" spans="1:81" ht="15.95" hidden="1" customHeight="1" thickBot="1" x14ac:dyDescent="0.3">
      <c r="A9" s="507"/>
      <c r="B9" s="507"/>
      <c r="C9" s="507"/>
      <c r="D9" s="243"/>
      <c r="E9" s="245"/>
      <c r="F9" s="240"/>
      <c r="G9" s="58"/>
      <c r="H9" s="58"/>
      <c r="I9" s="58"/>
      <c r="J9" s="58"/>
      <c r="K9" s="240">
        <f t="shared" si="0"/>
        <v>0</v>
      </c>
      <c r="L9" s="58"/>
      <c r="M9" s="58"/>
      <c r="N9" s="58"/>
      <c r="O9" s="58"/>
      <c r="P9" s="240"/>
      <c r="Q9" s="58"/>
      <c r="R9" s="58"/>
      <c r="S9" s="58"/>
      <c r="T9" s="58"/>
      <c r="U9" s="240"/>
      <c r="V9" s="58"/>
      <c r="W9" s="58"/>
      <c r="X9" s="58"/>
      <c r="Y9" s="58"/>
      <c r="Z9" s="240"/>
      <c r="AA9" s="58"/>
      <c r="AB9" s="58"/>
      <c r="AC9" s="58"/>
      <c r="AD9" s="58"/>
      <c r="AE9" s="240"/>
      <c r="AF9" s="58"/>
      <c r="AG9" s="58"/>
      <c r="AH9" s="58"/>
      <c r="AI9" s="58"/>
      <c r="AJ9" s="240"/>
      <c r="AK9" s="58"/>
      <c r="AL9" s="58"/>
      <c r="AM9" s="58"/>
      <c r="AN9" s="58"/>
      <c r="AO9" s="240"/>
      <c r="AP9" s="58"/>
      <c r="AQ9" s="58"/>
      <c r="AR9" s="58"/>
      <c r="AS9" s="58"/>
      <c r="AT9" s="240"/>
      <c r="AU9" s="58"/>
      <c r="AV9" s="58"/>
      <c r="AW9" s="58"/>
      <c r="AX9" s="58"/>
      <c r="AY9" s="240"/>
      <c r="AZ9" s="58"/>
      <c r="BA9" s="58"/>
      <c r="BB9" s="58"/>
      <c r="BC9" s="58"/>
      <c r="BD9" s="240"/>
      <c r="BE9" s="58"/>
      <c r="BF9" s="58"/>
      <c r="BG9" s="58"/>
      <c r="BH9" s="58"/>
      <c r="BI9" s="240"/>
      <c r="BJ9" s="58"/>
      <c r="BK9" s="58"/>
      <c r="BL9" s="58"/>
      <c r="BM9" s="58"/>
      <c r="BN9" s="240"/>
      <c r="BO9" s="31"/>
      <c r="BP9" s="31"/>
      <c r="BQ9" s="31"/>
      <c r="BR9" s="379"/>
      <c r="BS9" s="379"/>
      <c r="BT9" s="63"/>
      <c r="BU9" s="63"/>
      <c r="BV9" s="63"/>
      <c r="BW9" s="63"/>
      <c r="BX9" s="59"/>
      <c r="BY9" s="59"/>
      <c r="BZ9" s="59"/>
      <c r="CA9" s="60"/>
      <c r="CB9" s="61"/>
      <c r="CC9" s="62"/>
    </row>
    <row r="10" spans="1:81" ht="23.25" customHeight="1" thickBot="1" x14ac:dyDescent="0.3">
      <c r="D10" s="626" t="s">
        <v>120</v>
      </c>
      <c r="E10" s="627"/>
      <c r="F10" s="247">
        <f>+SUM(F3:F9)</f>
        <v>1344.25</v>
      </c>
      <c r="G10" s="247">
        <f>+SUM(G3:G9)</f>
        <v>0</v>
      </c>
      <c r="H10" s="247">
        <f t="shared" ref="H10:I10" si="6">+SUM(H3:H9)</f>
        <v>0</v>
      </c>
      <c r="I10" s="247">
        <f t="shared" si="6"/>
        <v>0</v>
      </c>
      <c r="J10" s="247">
        <f>+SUM(J3:J9)</f>
        <v>107.25</v>
      </c>
      <c r="K10" s="247">
        <f>+SUM(K3:K9)</f>
        <v>1237</v>
      </c>
      <c r="L10" s="247">
        <f>+SUM(L3:L9)</f>
        <v>0</v>
      </c>
      <c r="M10" s="247">
        <f t="shared" ref="M10:O10" si="7">+SUM(M3:M9)</f>
        <v>0</v>
      </c>
      <c r="N10" s="247">
        <f t="shared" si="7"/>
        <v>0</v>
      </c>
      <c r="O10" s="247">
        <f t="shared" si="7"/>
        <v>234.5</v>
      </c>
      <c r="P10" s="247">
        <f>+SUM(P3:P9)</f>
        <v>1002.5</v>
      </c>
      <c r="Q10" s="247">
        <f>+SUM(Q3:Q9)</f>
        <v>0</v>
      </c>
      <c r="R10" s="247">
        <f t="shared" ref="R10:S10" si="8">+SUM(R3:R9)</f>
        <v>10</v>
      </c>
      <c r="S10" s="247">
        <f t="shared" si="8"/>
        <v>0</v>
      </c>
      <c r="T10" s="247">
        <f>SUM(T3:T5)</f>
        <v>443</v>
      </c>
      <c r="U10" s="247">
        <f>+SUM(U3:U9)</f>
        <v>569.5</v>
      </c>
      <c r="V10" s="247">
        <f>+SUM(V3:V9)</f>
        <v>0</v>
      </c>
      <c r="W10" s="247">
        <f t="shared" ref="W10:Y10" si="9">+SUM(W3:W9)</f>
        <v>1</v>
      </c>
      <c r="X10" s="247">
        <f t="shared" si="9"/>
        <v>0</v>
      </c>
      <c r="Y10" s="247">
        <f t="shared" si="9"/>
        <v>363</v>
      </c>
      <c r="Z10" s="247">
        <f>+SUM(Z3:Z9)</f>
        <v>207.5</v>
      </c>
      <c r="AA10" s="247">
        <f>+SUM(AA3:AA9)</f>
        <v>0</v>
      </c>
      <c r="AB10" s="247">
        <f t="shared" ref="AB10:AD10" si="10">+SUM(AB3:AB9)</f>
        <v>9</v>
      </c>
      <c r="AC10" s="247">
        <f t="shared" si="10"/>
        <v>0</v>
      </c>
      <c r="AD10" s="247">
        <f t="shared" si="10"/>
        <v>70.25</v>
      </c>
      <c r="AE10" s="247">
        <f>+SUM(AE3:AE9)</f>
        <v>146.25</v>
      </c>
      <c r="AF10" s="247">
        <f>+SUM(AF3:AF9)</f>
        <v>0</v>
      </c>
      <c r="AG10" s="247">
        <f t="shared" ref="AG10:AI10" si="11">+SUM(AG3:AG9)</f>
        <v>0</v>
      </c>
      <c r="AH10" s="247">
        <f t="shared" si="11"/>
        <v>0</v>
      </c>
      <c r="AI10" s="247">
        <f t="shared" si="11"/>
        <v>0</v>
      </c>
      <c r="AJ10" s="247">
        <f>+SUM(AJ3:AJ9)</f>
        <v>0</v>
      </c>
      <c r="AK10" s="247">
        <f>+SUM(AK3:AK9)</f>
        <v>0</v>
      </c>
      <c r="AL10" s="247">
        <f t="shared" ref="AL10:AN10" si="12">+SUM(AL3:AL9)</f>
        <v>0</v>
      </c>
      <c r="AM10" s="247">
        <f t="shared" si="12"/>
        <v>0</v>
      </c>
      <c r="AN10" s="247">
        <f t="shared" si="12"/>
        <v>0</v>
      </c>
      <c r="AO10" s="247">
        <f>+SUM(AO3:AO9)</f>
        <v>0</v>
      </c>
      <c r="AP10" s="247">
        <f>+SUM(AP3:AP9)</f>
        <v>0</v>
      </c>
      <c r="AQ10" s="247">
        <f t="shared" ref="AQ10:AS10" si="13">+SUM(AQ3:AQ9)</f>
        <v>0</v>
      </c>
      <c r="AR10" s="247">
        <f t="shared" si="13"/>
        <v>0</v>
      </c>
      <c r="AS10" s="247">
        <f t="shared" si="13"/>
        <v>0</v>
      </c>
      <c r="AT10" s="247">
        <f>+SUM(AT3:AT9)</f>
        <v>0</v>
      </c>
      <c r="AU10" s="247">
        <f>+SUM(AU3:AU9)</f>
        <v>0</v>
      </c>
      <c r="AV10" s="247">
        <f t="shared" ref="AV10:AX10" si="14">+SUM(AV3:AV9)</f>
        <v>0</v>
      </c>
      <c r="AW10" s="247">
        <f t="shared" si="14"/>
        <v>0</v>
      </c>
      <c r="AX10" s="247">
        <f t="shared" si="14"/>
        <v>0</v>
      </c>
      <c r="AY10" s="247">
        <f>+SUM(AY3:AY9)</f>
        <v>0</v>
      </c>
      <c r="AZ10" s="247">
        <f>+SUM(AZ3:AZ9)</f>
        <v>0</v>
      </c>
      <c r="BA10" s="247">
        <f t="shared" ref="BA10:BC10" si="15">+SUM(BA3:BA9)</f>
        <v>0</v>
      </c>
      <c r="BB10" s="247">
        <f t="shared" si="15"/>
        <v>0</v>
      </c>
      <c r="BC10" s="247">
        <f t="shared" si="15"/>
        <v>0</v>
      </c>
      <c r="BD10" s="247">
        <f>+SUM(BD3:BD9)</f>
        <v>0</v>
      </c>
      <c r="BE10" s="247">
        <f>+SUM(BE3:BE9)</f>
        <v>0</v>
      </c>
      <c r="BF10" s="247">
        <f t="shared" ref="BF10:BH10" si="16">+SUM(BF3:BF9)</f>
        <v>0</v>
      </c>
      <c r="BG10" s="247">
        <f t="shared" si="16"/>
        <v>0</v>
      </c>
      <c r="BH10" s="247">
        <f t="shared" si="16"/>
        <v>0</v>
      </c>
      <c r="BI10" s="247">
        <f>+SUM(BI3:BI9)</f>
        <v>0</v>
      </c>
      <c r="BJ10" s="247">
        <f>+SUM(BJ3:BJ9)</f>
        <v>0</v>
      </c>
      <c r="BK10" s="247">
        <f t="shared" ref="BK10:BM10" si="17">+SUM(BK3:BK9)</f>
        <v>0</v>
      </c>
      <c r="BL10" s="247">
        <f t="shared" si="17"/>
        <v>0</v>
      </c>
      <c r="BM10" s="247">
        <f t="shared" si="17"/>
        <v>0</v>
      </c>
      <c r="BN10" s="247">
        <f>+SUM(BN3:BN9)</f>
        <v>0</v>
      </c>
      <c r="BO10" s="247"/>
      <c r="BP10" s="247"/>
      <c r="BQ10" s="247"/>
      <c r="BR10" s="247">
        <f>SUM(BR3:BR6)</f>
        <v>397.5</v>
      </c>
      <c r="BS10" s="247">
        <f>SUM(BS3:BS6)</f>
        <v>434.77499999999998</v>
      </c>
      <c r="BT10" s="417"/>
      <c r="BU10" s="417"/>
      <c r="BV10" s="417"/>
      <c r="BW10" s="417"/>
      <c r="BX10" s="247">
        <f>+SUM(BX3:BX6)</f>
        <v>0</v>
      </c>
      <c r="BY10" s="247"/>
      <c r="BZ10" s="247"/>
      <c r="CA10" s="247"/>
      <c r="CB10" s="247">
        <f>+SUM(CB3:CB6)</f>
        <v>0</v>
      </c>
      <c r="CC10" s="247">
        <f>+SUM(CC3:CC6)</f>
        <v>0</v>
      </c>
    </row>
    <row r="11" spans="1:81" ht="45" customHeight="1" x14ac:dyDescent="0.25">
      <c r="D11" s="4"/>
      <c r="E11" s="5"/>
      <c r="F11" s="136"/>
      <c r="G11" s="64"/>
      <c r="H11" s="64"/>
      <c r="I11" s="64"/>
      <c r="J11" s="64"/>
      <c r="K11" s="136"/>
      <c r="L11" s="64"/>
      <c r="M11" s="64"/>
      <c r="N11" s="64"/>
      <c r="O11" s="64"/>
      <c r="P11" s="136"/>
      <c r="Q11" s="64"/>
      <c r="R11" s="64"/>
      <c r="S11" s="64"/>
      <c r="T11" s="64"/>
      <c r="U11" s="136"/>
      <c r="V11" s="64"/>
      <c r="W11" s="64"/>
      <c r="X11" s="64"/>
      <c r="Y11" s="64"/>
      <c r="Z11" s="136"/>
      <c r="AA11" s="64"/>
      <c r="AB11" s="64"/>
      <c r="AC11" s="64"/>
      <c r="AD11" s="64"/>
      <c r="AE11" s="136"/>
      <c r="AF11" s="64"/>
      <c r="AG11" s="64"/>
      <c r="AH11" s="64"/>
      <c r="AI11" s="64"/>
      <c r="AJ11" s="136"/>
      <c r="AK11" s="64"/>
      <c r="AL11" s="64"/>
      <c r="AM11" s="64"/>
      <c r="AN11" s="64"/>
      <c r="AO11" s="136"/>
      <c r="AP11" s="64"/>
      <c r="AQ11" s="64"/>
      <c r="AR11" s="64"/>
      <c r="AS11" s="64"/>
      <c r="AT11" s="136"/>
      <c r="AU11" s="64"/>
      <c r="AV11" s="64"/>
      <c r="AW11" s="64"/>
      <c r="AX11" s="64"/>
      <c r="AY11" s="136"/>
      <c r="AZ11" s="64"/>
      <c r="BA11" s="64"/>
      <c r="BB11" s="64"/>
      <c r="BC11" s="64"/>
      <c r="BD11" s="136"/>
      <c r="BE11" s="64"/>
      <c r="BF11" s="64"/>
      <c r="BG11" s="64"/>
      <c r="BH11" s="64"/>
      <c r="BI11" s="136"/>
      <c r="BJ11" s="64"/>
      <c r="BK11" s="64"/>
      <c r="BL11" s="64"/>
      <c r="BM11" s="64"/>
      <c r="BN11" s="136"/>
      <c r="BO11" s="630" t="s">
        <v>274</v>
      </c>
      <c r="BP11" s="631"/>
      <c r="BQ11" s="632"/>
      <c r="BR11" s="628" t="s">
        <v>267</v>
      </c>
      <c r="BS11" s="617" t="s">
        <v>291</v>
      </c>
      <c r="BT11" s="633" t="s">
        <v>276</v>
      </c>
      <c r="BU11" s="634"/>
      <c r="BV11" s="635"/>
      <c r="BW11" s="469"/>
      <c r="BX11" s="439" t="s">
        <v>212</v>
      </c>
      <c r="BY11" s="439" t="s">
        <v>213</v>
      </c>
      <c r="BZ11" s="439" t="s">
        <v>297</v>
      </c>
      <c r="CA11" s="65"/>
      <c r="CB11" s="624" t="s">
        <v>290</v>
      </c>
      <c r="CC11" s="624"/>
    </row>
    <row r="12" spans="1:81" s="15" customFormat="1" ht="45" x14ac:dyDescent="0.25">
      <c r="A12" s="6" t="s">
        <v>289</v>
      </c>
      <c r="B12" s="6" t="s">
        <v>284</v>
      </c>
      <c r="C12" s="6" t="s">
        <v>272</v>
      </c>
      <c r="D12" s="1" t="s">
        <v>52</v>
      </c>
      <c r="E12" s="6" t="s">
        <v>53</v>
      </c>
      <c r="F12" s="248" t="s">
        <v>192</v>
      </c>
      <c r="G12" s="74" t="s">
        <v>193</v>
      </c>
      <c r="H12" s="74" t="s">
        <v>194</v>
      </c>
      <c r="I12" s="74" t="s">
        <v>195</v>
      </c>
      <c r="J12" s="44" t="s">
        <v>196</v>
      </c>
      <c r="K12" s="248" t="s">
        <v>197</v>
      </c>
      <c r="L12" s="74" t="s">
        <v>193</v>
      </c>
      <c r="M12" s="74" t="s">
        <v>194</v>
      </c>
      <c r="N12" s="74" t="s">
        <v>195</v>
      </c>
      <c r="O12" s="44" t="s">
        <v>196</v>
      </c>
      <c r="P12" s="248" t="s">
        <v>198</v>
      </c>
      <c r="Q12" s="74" t="s">
        <v>193</v>
      </c>
      <c r="R12" s="74" t="s">
        <v>194</v>
      </c>
      <c r="S12" s="74" t="s">
        <v>195</v>
      </c>
      <c r="T12" s="44" t="s">
        <v>196</v>
      </c>
      <c r="U12" s="248" t="s">
        <v>199</v>
      </c>
      <c r="V12" s="74" t="s">
        <v>193</v>
      </c>
      <c r="W12" s="74" t="s">
        <v>194</v>
      </c>
      <c r="X12" s="74" t="s">
        <v>195</v>
      </c>
      <c r="Y12" s="44" t="s">
        <v>196</v>
      </c>
      <c r="Z12" s="248" t="s">
        <v>200</v>
      </c>
      <c r="AA12" s="74" t="s">
        <v>193</v>
      </c>
      <c r="AB12" s="74" t="s">
        <v>194</v>
      </c>
      <c r="AC12" s="74" t="s">
        <v>195</v>
      </c>
      <c r="AD12" s="44" t="s">
        <v>196</v>
      </c>
      <c r="AE12" s="248" t="s">
        <v>201</v>
      </c>
      <c r="AF12" s="74" t="s">
        <v>193</v>
      </c>
      <c r="AG12" s="74" t="s">
        <v>194</v>
      </c>
      <c r="AH12" s="74" t="s">
        <v>195</v>
      </c>
      <c r="AI12" s="44" t="s">
        <v>196</v>
      </c>
      <c r="AJ12" s="248" t="s">
        <v>202</v>
      </c>
      <c r="AK12" s="74" t="s">
        <v>193</v>
      </c>
      <c r="AL12" s="74" t="s">
        <v>194</v>
      </c>
      <c r="AM12" s="74" t="s">
        <v>195</v>
      </c>
      <c r="AN12" s="44" t="s">
        <v>196</v>
      </c>
      <c r="AO12" s="248" t="s">
        <v>203</v>
      </c>
      <c r="AP12" s="74" t="s">
        <v>193</v>
      </c>
      <c r="AQ12" s="74" t="s">
        <v>194</v>
      </c>
      <c r="AR12" s="74" t="s">
        <v>195</v>
      </c>
      <c r="AS12" s="44" t="s">
        <v>196</v>
      </c>
      <c r="AT12" s="248" t="s">
        <v>204</v>
      </c>
      <c r="AU12" s="74" t="s">
        <v>193</v>
      </c>
      <c r="AV12" s="74" t="s">
        <v>194</v>
      </c>
      <c r="AW12" s="74" t="s">
        <v>195</v>
      </c>
      <c r="AX12" s="44" t="s">
        <v>196</v>
      </c>
      <c r="AY12" s="248" t="s">
        <v>205</v>
      </c>
      <c r="AZ12" s="74" t="s">
        <v>193</v>
      </c>
      <c r="BA12" s="74" t="s">
        <v>194</v>
      </c>
      <c r="BB12" s="74" t="s">
        <v>195</v>
      </c>
      <c r="BC12" s="44" t="s">
        <v>196</v>
      </c>
      <c r="BD12" s="248" t="s">
        <v>206</v>
      </c>
      <c r="BE12" s="74" t="s">
        <v>193</v>
      </c>
      <c r="BF12" s="74" t="s">
        <v>194</v>
      </c>
      <c r="BG12" s="74" t="s">
        <v>195</v>
      </c>
      <c r="BH12" s="44" t="s">
        <v>196</v>
      </c>
      <c r="BI12" s="248" t="s">
        <v>207</v>
      </c>
      <c r="BJ12" s="74" t="s">
        <v>193</v>
      </c>
      <c r="BK12" s="74" t="s">
        <v>194</v>
      </c>
      <c r="BL12" s="74" t="s">
        <v>195</v>
      </c>
      <c r="BM12" s="44" t="s">
        <v>196</v>
      </c>
      <c r="BN12" s="248" t="s">
        <v>208</v>
      </c>
      <c r="BO12" s="467" t="s">
        <v>214</v>
      </c>
      <c r="BP12" s="467" t="s">
        <v>215</v>
      </c>
      <c r="BQ12" s="75"/>
      <c r="BR12" s="629"/>
      <c r="BS12" s="618"/>
      <c r="BT12" s="134" t="s">
        <v>209</v>
      </c>
      <c r="BU12" s="134" t="s">
        <v>216</v>
      </c>
      <c r="BV12" s="134" t="s">
        <v>217</v>
      </c>
      <c r="BW12" s="134" t="s">
        <v>297</v>
      </c>
      <c r="BX12" s="412">
        <v>46158</v>
      </c>
      <c r="BY12" s="412">
        <v>46158</v>
      </c>
      <c r="BZ12" s="412">
        <v>46192</v>
      </c>
      <c r="CA12" s="78"/>
      <c r="CB12" s="79" t="s">
        <v>210</v>
      </c>
      <c r="CC12" s="79" t="s">
        <v>211</v>
      </c>
    </row>
    <row r="13" spans="1:81" s="15" customFormat="1" ht="15.95" customHeight="1" x14ac:dyDescent="0.25">
      <c r="A13" s="255">
        <v>60</v>
      </c>
      <c r="B13" s="255" t="s">
        <v>281</v>
      </c>
      <c r="C13" s="255" t="s">
        <v>268</v>
      </c>
      <c r="D13" s="255">
        <v>105632</v>
      </c>
      <c r="E13" s="256" t="s">
        <v>262</v>
      </c>
      <c r="F13" s="259">
        <v>0</v>
      </c>
      <c r="G13" s="58"/>
      <c r="H13" s="66">
        <v>4371</v>
      </c>
      <c r="I13" s="66"/>
      <c r="J13" s="66">
        <v>1083.25</v>
      </c>
      <c r="K13" s="259">
        <f>+F13+G13+H13-I13-J13</f>
        <v>3287.75</v>
      </c>
      <c r="L13" s="58"/>
      <c r="M13" s="66"/>
      <c r="N13" s="66"/>
      <c r="O13" s="66">
        <v>919.75</v>
      </c>
      <c r="P13" s="259">
        <f>+K13+L13+M13-N13-O13</f>
        <v>2368</v>
      </c>
      <c r="Q13" s="58"/>
      <c r="R13" s="66"/>
      <c r="S13" s="66"/>
      <c r="T13" s="66">
        <v>1621.25</v>
      </c>
      <c r="U13" s="259">
        <f>+P13+Q13+R13-S13-T13</f>
        <v>746.75</v>
      </c>
      <c r="V13" s="58"/>
      <c r="W13" s="66"/>
      <c r="X13" s="66"/>
      <c r="Y13" s="66">
        <v>746.75</v>
      </c>
      <c r="Z13" s="259">
        <f>+U13+V13+W13-X13-Y13</f>
        <v>0</v>
      </c>
      <c r="AA13" s="58"/>
      <c r="AB13" s="66"/>
      <c r="AC13" s="66"/>
      <c r="AD13" s="66"/>
      <c r="AE13" s="259">
        <f>+Z13+AA13+AB13-AC13-AD13</f>
        <v>0</v>
      </c>
      <c r="AF13" s="58"/>
      <c r="AG13" s="66"/>
      <c r="AH13" s="66"/>
      <c r="AI13" s="66"/>
      <c r="AJ13" s="259"/>
      <c r="AK13" s="58"/>
      <c r="AL13" s="66"/>
      <c r="AM13" s="66"/>
      <c r="AN13" s="66"/>
      <c r="AO13" s="259"/>
      <c r="AP13" s="58"/>
      <c r="AQ13" s="66"/>
      <c r="AR13" s="66"/>
      <c r="AS13" s="66"/>
      <c r="AT13" s="259"/>
      <c r="AU13" s="58"/>
      <c r="AV13" s="66"/>
      <c r="AW13" s="66"/>
      <c r="AX13" s="66"/>
      <c r="AY13" s="259"/>
      <c r="AZ13" s="58"/>
      <c r="BA13" s="66"/>
      <c r="BB13" s="66"/>
      <c r="BC13" s="66"/>
      <c r="BD13" s="259"/>
      <c r="BE13" s="58"/>
      <c r="BF13" s="66"/>
      <c r="BG13" s="66"/>
      <c r="BH13" s="66"/>
      <c r="BI13" s="259"/>
      <c r="BJ13" s="58"/>
      <c r="BK13" s="66"/>
      <c r="BL13" s="66"/>
      <c r="BM13" s="66"/>
      <c r="BN13" s="259"/>
      <c r="BO13" s="25">
        <f ca="1">IF((AE13-($BR13*(NETWORKDAYS(TODAY(),$BX$12)/$O$1))+BX13)&lt;=0,0,AE13-($BR13*(NETWORKDAYS(TODAY(),$BX$12)/$O$1))+BX13)</f>
        <v>0</v>
      </c>
      <c r="BP13" s="25">
        <f ca="1">IF((BO13-($BR13*(NETWORKDAYS($BX$12,$BY$12)/$O$1))+BY13)&lt;=0,0,BO13-($BR13*(NETWORKDAYS($BX$12,$BY$12)/$O$1))+BY13)</f>
        <v>0</v>
      </c>
      <c r="BQ13" s="25">
        <f ca="1">IF((BP13-($BR13*(NETWORKDAYS($BY$12,$BZ$12)/$O$1))+BZ13)&lt;=0,0,BP13-($BR13*(NETWORKDAYS($BY$12,$BZ$12)/$O$1))+BZ13)</f>
        <v>0</v>
      </c>
      <c r="BR13" s="607">
        <f>AVERAGE(J13,O13,T13,Y13)</f>
        <v>1092.75</v>
      </c>
      <c r="BS13" s="608"/>
      <c r="BT13" s="63">
        <f>+Z13/BR13</f>
        <v>0</v>
      </c>
      <c r="BU13" s="63">
        <f ca="1">+BO13/BR13</f>
        <v>0</v>
      </c>
      <c r="BV13" s="63">
        <f ca="1">+BP13/BR13</f>
        <v>0</v>
      </c>
      <c r="BW13" s="63">
        <f ca="1">+BQ13/BR13</f>
        <v>0</v>
      </c>
      <c r="BX13" s="413"/>
      <c r="BY13" s="413"/>
      <c r="BZ13" s="413"/>
      <c r="CA13" s="76">
        <v>120</v>
      </c>
      <c r="CB13" s="414"/>
      <c r="CC13" s="62">
        <f>+CB13*CA13</f>
        <v>0</v>
      </c>
    </row>
    <row r="14" spans="1:81" s="15" customFormat="1" ht="15.95" customHeight="1" x14ac:dyDescent="0.25">
      <c r="A14" s="255">
        <v>60</v>
      </c>
      <c r="B14" s="255" t="s">
        <v>281</v>
      </c>
      <c r="C14" s="255" t="s">
        <v>268</v>
      </c>
      <c r="D14" s="255">
        <v>102013</v>
      </c>
      <c r="E14" s="256" t="s">
        <v>263</v>
      </c>
      <c r="F14" s="260">
        <v>1.25</v>
      </c>
      <c r="G14" s="67"/>
      <c r="H14" s="67"/>
      <c r="I14" s="67"/>
      <c r="J14" s="67">
        <v>1.25</v>
      </c>
      <c r="K14" s="259">
        <f>+F14+G14+H14-I14-J14</f>
        <v>0</v>
      </c>
      <c r="L14" s="67"/>
      <c r="M14" s="67"/>
      <c r="N14" s="67"/>
      <c r="O14" s="67"/>
      <c r="P14" s="259">
        <f>+K14+L14+M14-N14-O14</f>
        <v>0</v>
      </c>
      <c r="Q14" s="67"/>
      <c r="R14" s="67"/>
      <c r="S14" s="67"/>
      <c r="T14" s="67"/>
      <c r="U14" s="259">
        <f>+P14+Q14+R14-S14-T14</f>
        <v>0</v>
      </c>
      <c r="V14" s="67"/>
      <c r="W14" s="67">
        <v>2088</v>
      </c>
      <c r="X14" s="67"/>
      <c r="Y14" s="67">
        <v>404</v>
      </c>
      <c r="Z14" s="260">
        <f>+U14+V14+W14-X14-Y14</f>
        <v>1684</v>
      </c>
      <c r="AA14" s="67"/>
      <c r="AB14" s="67"/>
      <c r="AC14" s="67"/>
      <c r="AD14" s="67">
        <v>363.25</v>
      </c>
      <c r="AE14" s="259">
        <f t="shared" ref="AE14:AE23" si="18">+Z14+AA14+AB14-AC14-AD14</f>
        <v>1320.75</v>
      </c>
      <c r="AF14" s="67"/>
      <c r="AG14" s="67"/>
      <c r="AH14" s="67"/>
      <c r="AI14" s="67"/>
      <c r="AJ14" s="260"/>
      <c r="AK14" s="67"/>
      <c r="AL14" s="67"/>
      <c r="AM14" s="67"/>
      <c r="AN14" s="67"/>
      <c r="AO14" s="260"/>
      <c r="AP14" s="67"/>
      <c r="AQ14" s="67"/>
      <c r="AR14" s="67"/>
      <c r="AS14" s="67"/>
      <c r="AT14" s="260"/>
      <c r="AU14" s="67"/>
      <c r="AV14" s="67"/>
      <c r="AW14" s="67"/>
      <c r="AX14" s="67"/>
      <c r="AY14" s="260"/>
      <c r="AZ14" s="67"/>
      <c r="BA14" s="67"/>
      <c r="BB14" s="67"/>
      <c r="BC14" s="67"/>
      <c r="BD14" s="260"/>
      <c r="BE14" s="67"/>
      <c r="BF14" s="67"/>
      <c r="BG14" s="67"/>
      <c r="BH14" s="67"/>
      <c r="BI14" s="260"/>
      <c r="BJ14" s="67"/>
      <c r="BK14" s="67"/>
      <c r="BL14" s="67"/>
      <c r="BM14" s="67"/>
      <c r="BN14" s="260"/>
      <c r="BO14" s="25">
        <f ca="1">IF((AE14-($BR14*(NETWORKDAYS(TODAY(),$BX$12)/$O$1))+BX14)&lt;=0,0,AE14-($BR14*(NETWORKDAYS(TODAY(),$BX$12)/$O$1))+BX14)</f>
        <v>1199.942</v>
      </c>
      <c r="BP14" s="25">
        <f ca="1">IF((BO14-($BR14*(NETWORKDAYS($BX$12,$BY$12)/$O$1))+BY14)&lt;=0,0,BO14-($BR14*(NETWORKDAYS($BX$12,$BY$12)/$O$1))+BY14)</f>
        <v>2711.942</v>
      </c>
      <c r="BQ14" s="25">
        <f ca="1">IF((BP14-($BR14*(NETWORKDAYS($BY$12,$BZ$12)/$O$1))+BZ14)&lt;=0,0,BP14-($BR14*(NETWORKDAYS($BY$12,$BZ$12)/$O$1))+BZ14)</f>
        <v>3265.2086666666664</v>
      </c>
      <c r="BR14" s="607">
        <v>1208.08</v>
      </c>
      <c r="BS14" s="607">
        <f>+BR14*1.1</f>
        <v>1328.8879999999999</v>
      </c>
      <c r="BT14" s="63">
        <f>+AE14/BR14</f>
        <v>1.0932636911462819</v>
      </c>
      <c r="BU14" s="63">
        <f ca="1">+BO14/BR14</f>
        <v>0.99326369114628177</v>
      </c>
      <c r="BV14" s="63">
        <f ca="1">+BP14/BR14</f>
        <v>2.2448364346732004</v>
      </c>
      <c r="BW14" s="63">
        <f ca="1">+BQ14/BR14</f>
        <v>2.7028083129152596</v>
      </c>
      <c r="BX14" s="67"/>
      <c r="BY14" s="67">
        <v>1512</v>
      </c>
      <c r="BZ14" s="67">
        <v>1560</v>
      </c>
      <c r="CA14" s="77">
        <v>120</v>
      </c>
      <c r="CB14" s="415">
        <v>13</v>
      </c>
      <c r="CC14" s="62">
        <f t="shared" ref="CC14" si="19">+CB14*CA14</f>
        <v>1560</v>
      </c>
    </row>
    <row r="15" spans="1:81" s="15" customFormat="1" ht="15.95" customHeight="1" x14ac:dyDescent="0.25">
      <c r="A15" s="255">
        <v>60</v>
      </c>
      <c r="B15" s="255" t="s">
        <v>281</v>
      </c>
      <c r="C15" s="255" t="s">
        <v>268</v>
      </c>
      <c r="D15" s="255">
        <v>102341</v>
      </c>
      <c r="E15" s="256" t="s">
        <v>59</v>
      </c>
      <c r="F15" s="259">
        <v>2340.75</v>
      </c>
      <c r="G15" s="58"/>
      <c r="H15" s="66">
        <v>216</v>
      </c>
      <c r="I15" s="66"/>
      <c r="J15" s="66">
        <v>412.25</v>
      </c>
      <c r="K15" s="259">
        <f t="shared" ref="K15:K21" si="20">+F15+G15+H15-I15-J15</f>
        <v>2144.5</v>
      </c>
      <c r="L15" s="58"/>
      <c r="M15" s="66"/>
      <c r="N15" s="66"/>
      <c r="O15" s="66">
        <v>514</v>
      </c>
      <c r="P15" s="259">
        <f t="shared" ref="P15:P21" si="21">+K15+L15+M15-N15-O15</f>
        <v>1630.5</v>
      </c>
      <c r="Q15" s="58"/>
      <c r="R15" s="66"/>
      <c r="S15" s="66"/>
      <c r="T15" s="66">
        <v>610.25</v>
      </c>
      <c r="U15" s="259">
        <f t="shared" ref="U15:U21" si="22">+P15+Q15+R15-S15-T15</f>
        <v>1020.25</v>
      </c>
      <c r="V15" s="58"/>
      <c r="W15" s="66"/>
      <c r="X15" s="66"/>
      <c r="Y15" s="66">
        <v>444</v>
      </c>
      <c r="Z15" s="259">
        <f t="shared" ref="Z15:Z23" si="23">+U15+V15+W15-X15-Y15</f>
        <v>576.25</v>
      </c>
      <c r="AA15" s="58"/>
      <c r="AB15" s="66"/>
      <c r="AC15" s="66"/>
      <c r="AD15" s="66">
        <v>26</v>
      </c>
      <c r="AE15" s="259">
        <f t="shared" si="18"/>
        <v>550.25</v>
      </c>
      <c r="AF15" s="58"/>
      <c r="AG15" s="66"/>
      <c r="AH15" s="66"/>
      <c r="AI15" s="66"/>
      <c r="AJ15" s="259"/>
      <c r="AK15" s="58"/>
      <c r="AL15" s="66"/>
      <c r="AM15" s="66"/>
      <c r="AN15" s="66"/>
      <c r="AO15" s="259"/>
      <c r="AP15" s="58"/>
      <c r="AQ15" s="66"/>
      <c r="AR15" s="66"/>
      <c r="AS15" s="66"/>
      <c r="AT15" s="259"/>
      <c r="AU15" s="58"/>
      <c r="AV15" s="66"/>
      <c r="AW15" s="66"/>
      <c r="AX15" s="66"/>
      <c r="AY15" s="259"/>
      <c r="AZ15" s="58"/>
      <c r="BA15" s="66"/>
      <c r="BB15" s="66"/>
      <c r="BC15" s="66"/>
      <c r="BD15" s="259"/>
      <c r="BE15" s="58"/>
      <c r="BF15" s="66"/>
      <c r="BG15" s="66"/>
      <c r="BH15" s="66"/>
      <c r="BI15" s="259"/>
      <c r="BJ15" s="58"/>
      <c r="BK15" s="66"/>
      <c r="BL15" s="66"/>
      <c r="BM15" s="66"/>
      <c r="BN15" s="259"/>
      <c r="BO15" s="25">
        <f ca="1">IF((AE15-($BR15*(NETWORKDAYS(TODAY(),$BX$12)/$O$1))+BX15)&lt;=0,0,AE15-($BR15*(NETWORKDAYS(TODAY(),$BX$12)/$O$1))+BX15)</f>
        <v>500.73750000000001</v>
      </c>
      <c r="BP15" s="25">
        <f ca="1">IF((BO15-($BR15*(NETWORKDAYS($BX$12,$BY$12)/$O$1))+BY15)&lt;=0,0,BO15-($BR15*(NETWORKDAYS($BX$12,$BY$12)/$O$1))+BY15)</f>
        <v>500.73750000000001</v>
      </c>
      <c r="BQ15" s="25">
        <f ca="1">IF((BP15-($BR15*(NETWORKDAYS($BY$12,$BZ$12)/$O$1))+BZ15)&lt;=0,0,BP15-($BR15*(NETWORKDAYS($BY$12,$BZ$12)/$O$1))+BZ15)</f>
        <v>88.133333333333326</v>
      </c>
      <c r="BR15" s="607">
        <f t="shared" ref="BR15:BR20" si="24">AVERAGE(J15,O15,T15,Y15)</f>
        <v>495.125</v>
      </c>
      <c r="BS15" s="607">
        <f t="shared" ref="BS15:BS23" si="25">+BR15*1.1</f>
        <v>544.63750000000005</v>
      </c>
      <c r="BT15" s="63">
        <f>+AE15/BR15</f>
        <v>1.1113355213329967</v>
      </c>
      <c r="BU15" s="63">
        <f ca="1">+BO15/BR15</f>
        <v>1.0113355213329966</v>
      </c>
      <c r="BV15" s="63">
        <f ca="1">+BP15/BR15</f>
        <v>1.0113355213329966</v>
      </c>
      <c r="BW15" s="63">
        <f ca="1">+BQ15/BR15</f>
        <v>0.17800218799966336</v>
      </c>
      <c r="BX15" s="413"/>
      <c r="BY15" s="413"/>
      <c r="BZ15" s="413"/>
      <c r="CA15" s="76">
        <v>108</v>
      </c>
      <c r="CB15" s="414"/>
      <c r="CC15" s="62">
        <f t="shared" ref="CC15:CC20" si="26">+CB15*CA15</f>
        <v>0</v>
      </c>
    </row>
    <row r="16" spans="1:81" s="15" customFormat="1" ht="15.95" customHeight="1" x14ac:dyDescent="0.25">
      <c r="A16" s="255">
        <v>60</v>
      </c>
      <c r="B16" s="255" t="s">
        <v>281</v>
      </c>
      <c r="C16" s="255" t="s">
        <v>268</v>
      </c>
      <c r="D16" s="255">
        <v>102310</v>
      </c>
      <c r="E16" s="256" t="s">
        <v>60</v>
      </c>
      <c r="F16" s="259">
        <v>124</v>
      </c>
      <c r="G16" s="58"/>
      <c r="H16" s="66"/>
      <c r="I16" s="66"/>
      <c r="J16" s="66">
        <v>25</v>
      </c>
      <c r="K16" s="259">
        <f t="shared" si="20"/>
        <v>99</v>
      </c>
      <c r="L16" s="58"/>
      <c r="M16" s="66"/>
      <c r="N16" s="66"/>
      <c r="O16" s="66">
        <v>32.5</v>
      </c>
      <c r="P16" s="259">
        <f t="shared" si="21"/>
        <v>66.5</v>
      </c>
      <c r="Q16" s="58"/>
      <c r="R16" s="66"/>
      <c r="S16" s="66"/>
      <c r="T16" s="66">
        <v>27.75</v>
      </c>
      <c r="U16" s="259">
        <f t="shared" si="22"/>
        <v>38.75</v>
      </c>
      <c r="V16" s="58"/>
      <c r="W16" s="66">
        <v>126</v>
      </c>
      <c r="X16" s="66"/>
      <c r="Y16" s="66">
        <v>30</v>
      </c>
      <c r="Z16" s="259">
        <f t="shared" si="23"/>
        <v>134.75</v>
      </c>
      <c r="AA16" s="58"/>
      <c r="AB16" s="66"/>
      <c r="AC16" s="66"/>
      <c r="AD16" s="66">
        <v>11</v>
      </c>
      <c r="AE16" s="259">
        <f t="shared" si="18"/>
        <v>123.75</v>
      </c>
      <c r="AF16" s="58"/>
      <c r="AG16" s="66"/>
      <c r="AH16" s="66"/>
      <c r="AI16" s="66"/>
      <c r="AJ16" s="259"/>
      <c r="AK16" s="58"/>
      <c r="AL16" s="66"/>
      <c r="AM16" s="66"/>
      <c r="AN16" s="66"/>
      <c r="AO16" s="259"/>
      <c r="AP16" s="58"/>
      <c r="AQ16" s="66"/>
      <c r="AR16" s="66"/>
      <c r="AS16" s="66"/>
      <c r="AT16" s="259"/>
      <c r="AU16" s="58"/>
      <c r="AV16" s="66"/>
      <c r="AW16" s="66"/>
      <c r="AX16" s="66"/>
      <c r="AY16" s="259"/>
      <c r="AZ16" s="58"/>
      <c r="BA16" s="66"/>
      <c r="BB16" s="66"/>
      <c r="BC16" s="66"/>
      <c r="BD16" s="259"/>
      <c r="BE16" s="58"/>
      <c r="BF16" s="66"/>
      <c r="BG16" s="66"/>
      <c r="BH16" s="66"/>
      <c r="BI16" s="259"/>
      <c r="BJ16" s="58"/>
      <c r="BK16" s="66"/>
      <c r="BL16" s="66"/>
      <c r="BM16" s="66"/>
      <c r="BN16" s="259"/>
      <c r="BO16" s="25">
        <f ca="1">IF((AE16-($BR16*(NETWORKDAYS(TODAY(),$BX$12)/$O$1))+BX16)&lt;=0,0,AE16-($BR16*(NETWORKDAYS(TODAY(),$BX$12)/$O$1))+BX16)</f>
        <v>120.86875000000001</v>
      </c>
      <c r="BP16" s="25">
        <f ca="1">IF((BO16-($BR16*(NETWORKDAYS($BX$12,$BY$12)/$O$1))+BY16)&lt;=0,0,BO16-($BR16*(NETWORKDAYS($BX$12,$BY$12)/$O$1))+BY16)</f>
        <v>120.86875000000001</v>
      </c>
      <c r="BQ16" s="25">
        <f ca="1">IF((BP16-($BR16*(NETWORKDAYS($BY$12,$BZ$12)/$O$1))+BZ16)&lt;=0,0,BP16-($BR16*(NETWORKDAYS($BY$12,$BZ$12)/$O$1))+BZ16)</f>
        <v>96.858333333333334</v>
      </c>
      <c r="BR16" s="607">
        <f t="shared" si="24"/>
        <v>28.8125</v>
      </c>
      <c r="BS16" s="607">
        <f t="shared" si="25"/>
        <v>31.693750000000001</v>
      </c>
      <c r="BT16" s="63">
        <f>+AE16/BR16</f>
        <v>4.2950108459869849</v>
      </c>
      <c r="BU16" s="63">
        <f ca="1">+BO16/BR16</f>
        <v>4.1950108459869853</v>
      </c>
      <c r="BV16" s="63">
        <f ca="1">+BP16/BR16</f>
        <v>4.1950108459869853</v>
      </c>
      <c r="BW16" s="63">
        <f ca="1">+BQ16/BR16</f>
        <v>3.3616775126536513</v>
      </c>
      <c r="BX16" s="413"/>
      <c r="BY16" s="413"/>
      <c r="BZ16" s="413"/>
      <c r="CA16" s="76">
        <v>108</v>
      </c>
      <c r="CB16" s="414"/>
      <c r="CC16" s="62">
        <f t="shared" si="26"/>
        <v>0</v>
      </c>
    </row>
    <row r="17" spans="1:81" s="15" customFormat="1" ht="15.95" hidden="1" customHeight="1" x14ac:dyDescent="0.25">
      <c r="A17" s="255">
        <v>60</v>
      </c>
      <c r="B17" s="255" t="s">
        <v>281</v>
      </c>
      <c r="C17" s="255"/>
      <c r="D17" s="255">
        <v>102211</v>
      </c>
      <c r="E17" s="256" t="s">
        <v>61</v>
      </c>
      <c r="F17" s="259">
        <v>0</v>
      </c>
      <c r="G17" s="66"/>
      <c r="H17" s="66"/>
      <c r="I17" s="66"/>
      <c r="J17" s="66"/>
      <c r="K17" s="259">
        <f t="shared" si="20"/>
        <v>0</v>
      </c>
      <c r="L17" s="66"/>
      <c r="M17" s="66"/>
      <c r="N17" s="66"/>
      <c r="O17" s="66"/>
      <c r="P17" s="259">
        <f t="shared" si="21"/>
        <v>0</v>
      </c>
      <c r="Q17" s="66"/>
      <c r="R17" s="66"/>
      <c r="S17" s="66"/>
      <c r="T17" s="66"/>
      <c r="U17" s="259">
        <f t="shared" si="22"/>
        <v>0</v>
      </c>
      <c r="V17" s="66"/>
      <c r="W17" s="66"/>
      <c r="X17" s="66"/>
      <c r="Y17" s="66"/>
      <c r="Z17" s="259">
        <f t="shared" si="23"/>
        <v>0</v>
      </c>
      <c r="AA17" s="66"/>
      <c r="AB17" s="66"/>
      <c r="AC17" s="66"/>
      <c r="AD17" s="66"/>
      <c r="AE17" s="259">
        <f t="shared" si="18"/>
        <v>0</v>
      </c>
      <c r="AF17" s="66"/>
      <c r="AG17" s="66"/>
      <c r="AH17" s="66"/>
      <c r="AI17" s="66"/>
      <c r="AJ17" s="259"/>
      <c r="AK17" s="66"/>
      <c r="AL17" s="66"/>
      <c r="AM17" s="66"/>
      <c r="AN17" s="66"/>
      <c r="AO17" s="259"/>
      <c r="AP17" s="66"/>
      <c r="AQ17" s="66"/>
      <c r="AR17" s="66"/>
      <c r="AS17" s="66"/>
      <c r="AT17" s="259"/>
      <c r="AU17" s="66"/>
      <c r="AV17" s="66"/>
      <c r="AW17" s="66"/>
      <c r="AX17" s="66"/>
      <c r="AY17" s="259"/>
      <c r="AZ17" s="66"/>
      <c r="BA17" s="66"/>
      <c r="BB17" s="66"/>
      <c r="BC17" s="66"/>
      <c r="BD17" s="259"/>
      <c r="BE17" s="66"/>
      <c r="BF17" s="66"/>
      <c r="BG17" s="66"/>
      <c r="BH17" s="66"/>
      <c r="BI17" s="259"/>
      <c r="BJ17" s="66"/>
      <c r="BK17" s="66"/>
      <c r="BL17" s="66"/>
      <c r="BM17" s="66"/>
      <c r="BN17" s="259"/>
      <c r="BO17" s="25" t="e">
        <f t="shared" ref="BO17:BO23" ca="1" si="27">IF((AE17-($BR17*(NETWORKDAYS(TODAY(),$BX$12)/$O$1))+BX17)&lt;=0,0,AE17-($BR17*(NETWORKDAYS(TODAY(),$BX$12)/$O$1))+BX17)</f>
        <v>#DIV/0!</v>
      </c>
      <c r="BP17" s="25" t="e">
        <f t="shared" ref="BP17:BP18" ca="1" si="28">IF((BO17-($BR17*(NETWORKDAYS($BX$12,$BY$12)/$O$1))+BY17)&lt;=0,0,BO17-($BR17*(NETWORKDAYS($BX$12,$BY$12)/$O$1))+BY17)</f>
        <v>#DIV/0!</v>
      </c>
      <c r="BQ17" s="25" t="e">
        <f t="shared" ref="BQ17:BQ21" ca="1" si="29">IF((BP17-($BR17*(NETWORKDAYS($BY$12,$BZ$12)/$O$1))+BZ17)&lt;=0,0,BP17-($BR17*(NETWORKDAYS($BY$12,$BZ$12)/$O$1))+BZ17)</f>
        <v>#DIV/0!</v>
      </c>
      <c r="BR17" s="607" t="e">
        <f t="shared" si="24"/>
        <v>#DIV/0!</v>
      </c>
      <c r="BS17" s="607" t="e">
        <f t="shared" si="25"/>
        <v>#DIV/0!</v>
      </c>
      <c r="BT17" s="63" t="e">
        <f t="shared" ref="BT17:BT23" si="30">+AE17/BR17</f>
        <v>#DIV/0!</v>
      </c>
      <c r="BU17" s="63" t="e">
        <f t="shared" ref="BU17:BU21" ca="1" si="31">+BO17/BR17</f>
        <v>#DIV/0!</v>
      </c>
      <c r="BV17" s="63" t="e">
        <f t="shared" ref="BV17:BV21" ca="1" si="32">+BP17/BR17</f>
        <v>#DIV/0!</v>
      </c>
      <c r="BW17" s="63" t="e">
        <f t="shared" ref="BW17:BW21" ca="1" si="33">+BQ17/BR17</f>
        <v>#DIV/0!</v>
      </c>
      <c r="BX17" s="413"/>
      <c r="BY17" s="413"/>
      <c r="BZ17" s="413"/>
      <c r="CA17" s="76">
        <v>108</v>
      </c>
      <c r="CB17" s="414"/>
      <c r="CC17" s="62">
        <f t="shared" si="26"/>
        <v>0</v>
      </c>
    </row>
    <row r="18" spans="1:81" s="15" customFormat="1" ht="15.95" hidden="1" customHeight="1" x14ac:dyDescent="0.25">
      <c r="A18" s="255">
        <v>60</v>
      </c>
      <c r="B18" s="255" t="s">
        <v>281</v>
      </c>
      <c r="C18" s="255"/>
      <c r="D18" s="255">
        <v>104215</v>
      </c>
      <c r="E18" s="256" t="s">
        <v>62</v>
      </c>
      <c r="F18" s="260">
        <v>0</v>
      </c>
      <c r="G18" s="67"/>
      <c r="H18" s="67"/>
      <c r="I18" s="67"/>
      <c r="J18" s="67"/>
      <c r="K18" s="259">
        <f t="shared" si="20"/>
        <v>0</v>
      </c>
      <c r="L18" s="67"/>
      <c r="M18" s="67"/>
      <c r="N18" s="67"/>
      <c r="O18" s="67"/>
      <c r="P18" s="259">
        <f t="shared" si="21"/>
        <v>0</v>
      </c>
      <c r="Q18" s="67"/>
      <c r="R18" s="67"/>
      <c r="S18" s="67"/>
      <c r="T18" s="67"/>
      <c r="U18" s="259">
        <f t="shared" si="22"/>
        <v>0</v>
      </c>
      <c r="V18" s="67"/>
      <c r="W18" s="67"/>
      <c r="X18" s="67"/>
      <c r="Y18" s="67"/>
      <c r="Z18" s="260">
        <f t="shared" si="23"/>
        <v>0</v>
      </c>
      <c r="AA18" s="67"/>
      <c r="AB18" s="67"/>
      <c r="AC18" s="67"/>
      <c r="AD18" s="67"/>
      <c r="AE18" s="259">
        <f t="shared" si="18"/>
        <v>0</v>
      </c>
      <c r="AF18" s="67"/>
      <c r="AG18" s="67"/>
      <c r="AH18" s="67"/>
      <c r="AI18" s="67"/>
      <c r="AJ18" s="260"/>
      <c r="AK18" s="67"/>
      <c r="AL18" s="67"/>
      <c r="AM18" s="67"/>
      <c r="AN18" s="67"/>
      <c r="AO18" s="260"/>
      <c r="AP18" s="67"/>
      <c r="AQ18" s="67"/>
      <c r="AR18" s="67"/>
      <c r="AS18" s="67"/>
      <c r="AT18" s="260"/>
      <c r="AU18" s="67"/>
      <c r="AV18" s="67"/>
      <c r="AW18" s="67"/>
      <c r="AX18" s="67"/>
      <c r="AY18" s="260"/>
      <c r="AZ18" s="67"/>
      <c r="BA18" s="67"/>
      <c r="BB18" s="67"/>
      <c r="BC18" s="67"/>
      <c r="BD18" s="260"/>
      <c r="BE18" s="67"/>
      <c r="BF18" s="67"/>
      <c r="BG18" s="67"/>
      <c r="BH18" s="67"/>
      <c r="BI18" s="260"/>
      <c r="BJ18" s="67"/>
      <c r="BK18" s="67"/>
      <c r="BL18" s="67"/>
      <c r="BM18" s="67"/>
      <c r="BN18" s="260"/>
      <c r="BO18" s="25" t="e">
        <f t="shared" ca="1" si="27"/>
        <v>#DIV/0!</v>
      </c>
      <c r="BP18" s="25" t="e">
        <f t="shared" ca="1" si="28"/>
        <v>#DIV/0!</v>
      </c>
      <c r="BQ18" s="25" t="e">
        <f t="shared" ca="1" si="29"/>
        <v>#DIV/0!</v>
      </c>
      <c r="BR18" s="607" t="e">
        <f t="shared" si="24"/>
        <v>#DIV/0!</v>
      </c>
      <c r="BS18" s="607" t="e">
        <f t="shared" si="25"/>
        <v>#DIV/0!</v>
      </c>
      <c r="BT18" s="63" t="e">
        <f t="shared" si="30"/>
        <v>#DIV/0!</v>
      </c>
      <c r="BU18" s="63" t="e">
        <f t="shared" ca="1" si="31"/>
        <v>#DIV/0!</v>
      </c>
      <c r="BV18" s="63" t="e">
        <f t="shared" ca="1" si="32"/>
        <v>#DIV/0!</v>
      </c>
      <c r="BW18" s="63" t="e">
        <f t="shared" ca="1" si="33"/>
        <v>#DIV/0!</v>
      </c>
      <c r="BX18" s="413"/>
      <c r="BY18" s="413"/>
      <c r="BZ18" s="413"/>
      <c r="CA18" s="77">
        <v>144</v>
      </c>
      <c r="CB18" s="415"/>
      <c r="CC18" s="62">
        <f t="shared" si="26"/>
        <v>0</v>
      </c>
    </row>
    <row r="19" spans="1:81" s="15" customFormat="1" ht="15.95" customHeight="1" x14ac:dyDescent="0.25">
      <c r="A19" s="255">
        <v>60</v>
      </c>
      <c r="B19" s="255" t="s">
        <v>281</v>
      </c>
      <c r="C19" s="255" t="s">
        <v>268</v>
      </c>
      <c r="D19" s="255">
        <v>114054</v>
      </c>
      <c r="E19" s="256" t="s">
        <v>63</v>
      </c>
      <c r="F19" s="260">
        <v>519.25</v>
      </c>
      <c r="G19" s="67"/>
      <c r="H19" s="67"/>
      <c r="I19" s="67"/>
      <c r="J19" s="67">
        <v>33</v>
      </c>
      <c r="K19" s="259">
        <f t="shared" si="20"/>
        <v>486.25</v>
      </c>
      <c r="L19" s="67"/>
      <c r="M19" s="67"/>
      <c r="N19" s="67"/>
      <c r="O19" s="67">
        <v>38.5</v>
      </c>
      <c r="P19" s="259">
        <f t="shared" si="21"/>
        <v>447.75</v>
      </c>
      <c r="Q19" s="67"/>
      <c r="R19" s="67"/>
      <c r="S19" s="67"/>
      <c r="T19" s="67">
        <v>27</v>
      </c>
      <c r="U19" s="259">
        <f t="shared" si="22"/>
        <v>420.75</v>
      </c>
      <c r="V19" s="67"/>
      <c r="W19" s="67"/>
      <c r="X19" s="67"/>
      <c r="Y19" s="67">
        <v>29.25</v>
      </c>
      <c r="Z19" s="260">
        <f t="shared" si="23"/>
        <v>391.5</v>
      </c>
      <c r="AA19" s="67"/>
      <c r="AB19" s="67"/>
      <c r="AC19" s="67"/>
      <c r="AD19" s="67">
        <v>7</v>
      </c>
      <c r="AE19" s="259">
        <f t="shared" si="18"/>
        <v>384.5</v>
      </c>
      <c r="AF19" s="67"/>
      <c r="AG19" s="67"/>
      <c r="AH19" s="67"/>
      <c r="AI19" s="67"/>
      <c r="AJ19" s="260"/>
      <c r="AK19" s="67"/>
      <c r="AL19" s="67"/>
      <c r="AM19" s="67"/>
      <c r="AN19" s="67"/>
      <c r="AO19" s="260"/>
      <c r="AP19" s="67"/>
      <c r="AQ19" s="67"/>
      <c r="AR19" s="67"/>
      <c r="AS19" s="67"/>
      <c r="AT19" s="260"/>
      <c r="AU19" s="67"/>
      <c r="AV19" s="67"/>
      <c r="AW19" s="67"/>
      <c r="AX19" s="67"/>
      <c r="AY19" s="260"/>
      <c r="AZ19" s="67"/>
      <c r="BA19" s="67"/>
      <c r="BB19" s="67"/>
      <c r="BC19" s="67"/>
      <c r="BD19" s="260"/>
      <c r="BE19" s="67"/>
      <c r="BF19" s="67"/>
      <c r="BG19" s="67"/>
      <c r="BH19" s="67"/>
      <c r="BI19" s="260"/>
      <c r="BJ19" s="67"/>
      <c r="BK19" s="67"/>
      <c r="BL19" s="67"/>
      <c r="BM19" s="67"/>
      <c r="BN19" s="260"/>
      <c r="BO19" s="25">
        <f ca="1">IF((AE19-($BR19*(NETWORKDAYS(TODAY(),$BX$12)/$O$1))+BX19)&lt;=0,0,AE19-($BR19*(NETWORKDAYS(TODAY(),$BX$12)/$O$1))+BX19)</f>
        <v>381.30624999999998</v>
      </c>
      <c r="BP19" s="25">
        <f ca="1">IF((BO19-($BR19*(NETWORKDAYS($BX$12,$BY$12)/$O$1))+BY19)&lt;=0,0,BO19-($BR19*(NETWORKDAYS($BX$12,$BY$12)/$O$1))+BY19)</f>
        <v>381.30624999999998</v>
      </c>
      <c r="BQ19" s="25">
        <f ca="1">IF((BP19-($BR19*(NETWORKDAYS($BY$12,$BZ$12)/$O$1))+BZ19)&lt;=0,0,BP19-($BR19*(NETWORKDAYS($BY$12,$BZ$12)/$O$1))+BZ19)</f>
        <v>354.69166666666666</v>
      </c>
      <c r="BR19" s="607">
        <f t="shared" si="24"/>
        <v>31.9375</v>
      </c>
      <c r="BS19" s="607">
        <f t="shared" si="25"/>
        <v>35.131250000000001</v>
      </c>
      <c r="BT19" s="63">
        <f>+AE19/BR19</f>
        <v>12.039138943248533</v>
      </c>
      <c r="BU19" s="63">
        <f t="shared" ca="1" si="31"/>
        <v>11.939138943248532</v>
      </c>
      <c r="BV19" s="63">
        <f ca="1">+BP19/BR19</f>
        <v>11.939138943248532</v>
      </c>
      <c r="BW19" s="63">
        <f ca="1">+BQ19/BR19</f>
        <v>11.105805609915199</v>
      </c>
      <c r="BX19" s="413"/>
      <c r="BY19" s="413"/>
      <c r="BZ19" s="413"/>
      <c r="CA19" s="77">
        <v>108</v>
      </c>
      <c r="CB19" s="415"/>
      <c r="CC19" s="62">
        <f t="shared" si="26"/>
        <v>0</v>
      </c>
    </row>
    <row r="20" spans="1:81" s="15" customFormat="1" ht="15.95" customHeight="1" x14ac:dyDescent="0.25">
      <c r="A20" s="255">
        <v>60</v>
      </c>
      <c r="B20" s="255" t="s">
        <v>281</v>
      </c>
      <c r="C20" s="255" t="s">
        <v>268</v>
      </c>
      <c r="D20" s="255">
        <v>102419</v>
      </c>
      <c r="E20" s="256" t="s">
        <v>64</v>
      </c>
      <c r="F20" s="260">
        <v>0</v>
      </c>
      <c r="G20" s="67"/>
      <c r="H20" s="66">
        <v>180</v>
      </c>
      <c r="I20" s="67"/>
      <c r="J20" s="67">
        <v>31</v>
      </c>
      <c r="K20" s="259">
        <f t="shared" si="20"/>
        <v>149</v>
      </c>
      <c r="L20" s="67"/>
      <c r="M20" s="67"/>
      <c r="N20" s="67"/>
      <c r="O20" s="67">
        <v>34.25</v>
      </c>
      <c r="P20" s="259">
        <f t="shared" si="21"/>
        <v>114.75</v>
      </c>
      <c r="Q20" s="67"/>
      <c r="R20" s="67"/>
      <c r="S20" s="67"/>
      <c r="T20" s="67">
        <v>35.5</v>
      </c>
      <c r="U20" s="259">
        <f t="shared" si="22"/>
        <v>79.25</v>
      </c>
      <c r="V20" s="67"/>
      <c r="W20" s="67">
        <v>144</v>
      </c>
      <c r="X20" s="67"/>
      <c r="Y20" s="67">
        <v>41</v>
      </c>
      <c r="Z20" s="260">
        <f t="shared" si="23"/>
        <v>182.25</v>
      </c>
      <c r="AA20" s="67"/>
      <c r="AB20" s="67"/>
      <c r="AC20" s="67"/>
      <c r="AD20" s="67">
        <v>15.75</v>
      </c>
      <c r="AE20" s="259">
        <f t="shared" si="18"/>
        <v>166.5</v>
      </c>
      <c r="AF20" s="67"/>
      <c r="AG20" s="67"/>
      <c r="AH20" s="67"/>
      <c r="AI20" s="67"/>
      <c r="AJ20" s="260"/>
      <c r="AK20" s="67"/>
      <c r="AL20" s="67"/>
      <c r="AM20" s="67"/>
      <c r="AN20" s="67"/>
      <c r="AO20" s="260"/>
      <c r="AP20" s="67"/>
      <c r="AQ20" s="67"/>
      <c r="AR20" s="67"/>
      <c r="AS20" s="67"/>
      <c r="AT20" s="260"/>
      <c r="AU20" s="67"/>
      <c r="AV20" s="67"/>
      <c r="AW20" s="67"/>
      <c r="AX20" s="67"/>
      <c r="AY20" s="260"/>
      <c r="AZ20" s="67"/>
      <c r="BA20" s="67"/>
      <c r="BB20" s="67"/>
      <c r="BC20" s="67"/>
      <c r="BD20" s="260"/>
      <c r="BE20" s="67"/>
      <c r="BF20" s="67"/>
      <c r="BG20" s="67"/>
      <c r="BH20" s="67"/>
      <c r="BI20" s="260"/>
      <c r="BJ20" s="67"/>
      <c r="BK20" s="67"/>
      <c r="BL20" s="67"/>
      <c r="BM20" s="67"/>
      <c r="BN20" s="260"/>
      <c r="BO20" s="25">
        <f t="shared" ca="1" si="27"/>
        <v>162.95625000000001</v>
      </c>
      <c r="BP20" s="25">
        <f ca="1">IF((BO20-($BR20*(NETWORKDAYS($BX$12,$BY$12)/$O$1))+BY20)&lt;=0,0,BO20-($BR20*(NETWORKDAYS($BX$12,$BY$12)/$O$1))+BY20)</f>
        <v>162.95625000000001</v>
      </c>
      <c r="BQ20" s="25">
        <f ca="1">IF((BP20-($BR20*(NETWORKDAYS($BY$12,$BZ$12)/$O$1))+BZ20)&lt;=0,0,BP20-($BR20*(NETWORKDAYS($BY$12,$BZ$12)/$O$1))+BZ20)</f>
        <v>133.42500000000001</v>
      </c>
      <c r="BR20" s="607">
        <f t="shared" si="24"/>
        <v>35.4375</v>
      </c>
      <c r="BS20" s="607">
        <f t="shared" si="25"/>
        <v>38.981250000000003</v>
      </c>
      <c r="BT20" s="63">
        <f>+AE20/BR20</f>
        <v>4.6984126984126986</v>
      </c>
      <c r="BU20" s="63">
        <f t="shared" ca="1" si="31"/>
        <v>4.598412698412699</v>
      </c>
      <c r="BV20" s="63">
        <f ca="1">+BP20/BR20</f>
        <v>4.598412698412699</v>
      </c>
      <c r="BW20" s="63">
        <f ca="1">+BQ20/BR20</f>
        <v>3.7650793650793655</v>
      </c>
      <c r="BX20" s="413"/>
      <c r="BY20" s="413"/>
      <c r="BZ20" s="413"/>
      <c r="CA20" s="77">
        <v>108</v>
      </c>
      <c r="CB20" s="415"/>
      <c r="CC20" s="62">
        <f t="shared" si="26"/>
        <v>0</v>
      </c>
    </row>
    <row r="21" spans="1:81" s="15" customFormat="1" ht="15.95" hidden="1" customHeight="1" x14ac:dyDescent="0.25">
      <c r="A21" s="255">
        <v>60</v>
      </c>
      <c r="B21" s="255" t="s">
        <v>281</v>
      </c>
      <c r="C21" s="255"/>
      <c r="D21" s="255">
        <v>1000440</v>
      </c>
      <c r="E21" s="256" t="s">
        <v>65</v>
      </c>
      <c r="F21" s="260">
        <v>113.25</v>
      </c>
      <c r="G21" s="67"/>
      <c r="H21" s="67"/>
      <c r="I21" s="67"/>
      <c r="J21" s="67">
        <v>110</v>
      </c>
      <c r="K21" s="259">
        <f t="shared" si="20"/>
        <v>3.25</v>
      </c>
      <c r="L21" s="67"/>
      <c r="M21" s="67"/>
      <c r="N21" s="67"/>
      <c r="O21" s="67">
        <v>3.25</v>
      </c>
      <c r="P21" s="259">
        <f t="shared" si="21"/>
        <v>0</v>
      </c>
      <c r="Q21" s="67"/>
      <c r="R21" s="67"/>
      <c r="S21" s="67"/>
      <c r="T21" s="67"/>
      <c r="U21" s="259">
        <f t="shared" si="22"/>
        <v>0</v>
      </c>
      <c r="V21" s="67"/>
      <c r="W21" s="67"/>
      <c r="X21" s="67"/>
      <c r="Y21" s="67"/>
      <c r="Z21" s="260">
        <f t="shared" si="23"/>
        <v>0</v>
      </c>
      <c r="AA21" s="67"/>
      <c r="AB21" s="67"/>
      <c r="AC21" s="67"/>
      <c r="AD21" s="67"/>
      <c r="AE21" s="259">
        <f t="shared" si="18"/>
        <v>0</v>
      </c>
      <c r="AF21" s="67"/>
      <c r="AG21" s="67"/>
      <c r="AH21" s="67"/>
      <c r="AI21" s="67"/>
      <c r="AJ21" s="260"/>
      <c r="AK21" s="67"/>
      <c r="AL21" s="67"/>
      <c r="AM21" s="67"/>
      <c r="AN21" s="67"/>
      <c r="AO21" s="260"/>
      <c r="AP21" s="67"/>
      <c r="AQ21" s="67"/>
      <c r="AR21" s="67"/>
      <c r="AS21" s="67"/>
      <c r="AT21" s="260"/>
      <c r="AU21" s="67"/>
      <c r="AV21" s="67"/>
      <c r="AW21" s="67"/>
      <c r="AX21" s="67"/>
      <c r="AY21" s="260"/>
      <c r="AZ21" s="67"/>
      <c r="BA21" s="67"/>
      <c r="BB21" s="67"/>
      <c r="BC21" s="67"/>
      <c r="BD21" s="260"/>
      <c r="BE21" s="67"/>
      <c r="BF21" s="67"/>
      <c r="BG21" s="67"/>
      <c r="BH21" s="67"/>
      <c r="BI21" s="260"/>
      <c r="BJ21" s="67"/>
      <c r="BK21" s="67"/>
      <c r="BL21" s="67"/>
      <c r="BM21" s="67"/>
      <c r="BN21" s="260"/>
      <c r="BO21" s="25">
        <f t="shared" ca="1" si="27"/>
        <v>0</v>
      </c>
      <c r="BP21" s="25"/>
      <c r="BQ21" s="25">
        <f t="shared" si="29"/>
        <v>0</v>
      </c>
      <c r="BR21" s="607">
        <f t="shared" ref="BR21" si="34">AVERAGE(J21,O21,T21)</f>
        <v>56.625</v>
      </c>
      <c r="BS21" s="607">
        <f t="shared" si="25"/>
        <v>62.287500000000009</v>
      </c>
      <c r="BT21" s="63">
        <f t="shared" si="30"/>
        <v>0</v>
      </c>
      <c r="BU21" s="63">
        <f t="shared" ca="1" si="31"/>
        <v>0</v>
      </c>
      <c r="BV21" s="63">
        <f t="shared" si="32"/>
        <v>0</v>
      </c>
      <c r="BW21" s="63">
        <f t="shared" si="33"/>
        <v>0</v>
      </c>
      <c r="BX21" s="67"/>
      <c r="BY21" s="67"/>
      <c r="BZ21" s="67"/>
      <c r="CA21" s="77"/>
      <c r="CB21" s="415"/>
      <c r="CC21" s="62"/>
    </row>
    <row r="22" spans="1:81" s="15" customFormat="1" ht="15.95" customHeight="1" x14ac:dyDescent="0.25">
      <c r="A22" s="255">
        <v>60</v>
      </c>
      <c r="B22" s="255" t="s">
        <v>281</v>
      </c>
      <c r="C22" s="255" t="s">
        <v>268</v>
      </c>
      <c r="D22" s="257">
        <v>101245</v>
      </c>
      <c r="E22" s="256" t="s">
        <v>273</v>
      </c>
      <c r="F22" s="260"/>
      <c r="G22" s="67"/>
      <c r="H22" s="67"/>
      <c r="I22" s="67"/>
      <c r="J22" s="67"/>
      <c r="K22" s="259">
        <f>+F22+G22+H22-I22-J22</f>
        <v>0</v>
      </c>
      <c r="L22" s="67"/>
      <c r="M22" s="67"/>
      <c r="N22" s="67"/>
      <c r="O22" s="67"/>
      <c r="P22" s="259">
        <f>+K22+L22+M22-N22-O22</f>
        <v>0</v>
      </c>
      <c r="Q22" s="67"/>
      <c r="R22" s="67"/>
      <c r="S22" s="67"/>
      <c r="T22" s="67"/>
      <c r="U22" s="259">
        <f>+P22+Q22+R22-S22-T22</f>
        <v>0</v>
      </c>
      <c r="V22" s="67"/>
      <c r="W22" s="67"/>
      <c r="X22" s="67"/>
      <c r="Y22" s="67"/>
      <c r="Z22" s="260">
        <f>+U22+V22+W22-X22-Y22</f>
        <v>0</v>
      </c>
      <c r="AA22" s="67"/>
      <c r="AB22" s="67"/>
      <c r="AC22" s="67"/>
      <c r="AD22" s="67"/>
      <c r="AE22" s="259">
        <f t="shared" si="18"/>
        <v>0</v>
      </c>
      <c r="AF22" s="67"/>
      <c r="AG22" s="67"/>
      <c r="AH22" s="67"/>
      <c r="AI22" s="67"/>
      <c r="AJ22" s="260"/>
      <c r="AK22" s="67"/>
      <c r="AL22" s="67"/>
      <c r="AM22" s="67"/>
      <c r="AN22" s="67"/>
      <c r="AO22" s="260"/>
      <c r="AP22" s="67"/>
      <c r="AQ22" s="67"/>
      <c r="AR22" s="67"/>
      <c r="AS22" s="67"/>
      <c r="AT22" s="260"/>
      <c r="AU22" s="67"/>
      <c r="AV22" s="67"/>
      <c r="AW22" s="67"/>
      <c r="AX22" s="67"/>
      <c r="AY22" s="260"/>
      <c r="AZ22" s="67"/>
      <c r="BA22" s="67"/>
      <c r="BB22" s="67"/>
      <c r="BC22" s="67"/>
      <c r="BD22" s="260"/>
      <c r="BE22" s="67"/>
      <c r="BF22" s="67"/>
      <c r="BG22" s="67"/>
      <c r="BH22" s="67"/>
      <c r="BI22" s="260"/>
      <c r="BJ22" s="67"/>
      <c r="BK22" s="67"/>
      <c r="BL22" s="67"/>
      <c r="BM22" s="67"/>
      <c r="BN22" s="260"/>
      <c r="BO22" s="25">
        <f t="shared" ca="1" si="27"/>
        <v>2316</v>
      </c>
      <c r="BP22" s="25">
        <f ca="1">IF((BO22-($BR22*(NETWORKDAYS($BX$12,$BY$12)/$O$1))+BY22)&lt;=0,0,BO22-($BR22*(NETWORKDAYS($BX$12,$BY$12)/$O$1))+BY22)</f>
        <v>2316</v>
      </c>
      <c r="BQ22" s="25">
        <f ca="1">IF((BP22-($BR22*(NETWORKDAYS($BY$12,$BZ$12)/$O$1))+BZ22)&lt;=0,0,BP22-($BR22*(NETWORKDAYS($BY$12,$BZ$12)/$O$1))+BZ22)</f>
        <v>1816</v>
      </c>
      <c r="BR22" s="607">
        <v>600</v>
      </c>
      <c r="BS22" s="607">
        <f t="shared" si="25"/>
        <v>660</v>
      </c>
      <c r="BT22" s="63">
        <f t="shared" si="30"/>
        <v>0</v>
      </c>
      <c r="BU22" s="63">
        <f ca="1">+BO22/BR22</f>
        <v>3.86</v>
      </c>
      <c r="BV22" s="63">
        <f ca="1">+BP22/BR22</f>
        <v>3.86</v>
      </c>
      <c r="BW22" s="63">
        <f ca="1">+BQ22/BR22</f>
        <v>3.0266666666666668</v>
      </c>
      <c r="BX22" s="67">
        <v>2376</v>
      </c>
      <c r="BY22" s="67"/>
      <c r="BZ22" s="67"/>
      <c r="CA22" s="77"/>
      <c r="CB22" s="415"/>
      <c r="CC22" s="62"/>
    </row>
    <row r="23" spans="1:81" s="15" customFormat="1" ht="15.95" customHeight="1" thickBot="1" x14ac:dyDescent="0.3">
      <c r="A23" s="255">
        <v>60</v>
      </c>
      <c r="B23" s="255" t="s">
        <v>281</v>
      </c>
      <c r="C23" s="255" t="s">
        <v>268</v>
      </c>
      <c r="D23" s="257">
        <v>110582</v>
      </c>
      <c r="E23" s="256" t="s">
        <v>288</v>
      </c>
      <c r="F23" s="260"/>
      <c r="G23" s="67"/>
      <c r="H23" s="67"/>
      <c r="I23" s="67"/>
      <c r="J23" s="67"/>
      <c r="K23" s="259"/>
      <c r="L23" s="67"/>
      <c r="M23" s="67"/>
      <c r="N23" s="67"/>
      <c r="O23" s="67"/>
      <c r="P23" s="259"/>
      <c r="Q23" s="67"/>
      <c r="R23" s="67"/>
      <c r="S23" s="67"/>
      <c r="T23" s="67"/>
      <c r="U23" s="259"/>
      <c r="V23" s="67"/>
      <c r="W23" s="67"/>
      <c r="X23" s="67"/>
      <c r="Y23" s="67"/>
      <c r="Z23" s="260">
        <f t="shared" si="23"/>
        <v>0</v>
      </c>
      <c r="AA23" s="67"/>
      <c r="AB23" s="67"/>
      <c r="AC23" s="67"/>
      <c r="AD23" s="67"/>
      <c r="AE23" s="259">
        <f t="shared" si="18"/>
        <v>0</v>
      </c>
      <c r="AF23" s="67"/>
      <c r="AG23" s="67"/>
      <c r="AH23" s="67"/>
      <c r="AI23" s="67"/>
      <c r="AJ23" s="260"/>
      <c r="AK23" s="67"/>
      <c r="AL23" s="67"/>
      <c r="AM23" s="67"/>
      <c r="AN23" s="67"/>
      <c r="AO23" s="260"/>
      <c r="AP23" s="67"/>
      <c r="AQ23" s="67"/>
      <c r="AR23" s="67"/>
      <c r="AS23" s="67"/>
      <c r="AT23" s="260"/>
      <c r="AU23" s="67"/>
      <c r="AV23" s="67"/>
      <c r="AW23" s="67"/>
      <c r="AX23" s="67"/>
      <c r="AY23" s="260"/>
      <c r="AZ23" s="67"/>
      <c r="BA23" s="67"/>
      <c r="BB23" s="67"/>
      <c r="BC23" s="67"/>
      <c r="BD23" s="260"/>
      <c r="BE23" s="67"/>
      <c r="BF23" s="67"/>
      <c r="BG23" s="67"/>
      <c r="BH23" s="67"/>
      <c r="BI23" s="260"/>
      <c r="BJ23" s="67"/>
      <c r="BK23" s="67"/>
      <c r="BL23" s="67"/>
      <c r="BM23" s="67"/>
      <c r="BN23" s="260"/>
      <c r="BO23" s="25">
        <f t="shared" ca="1" si="27"/>
        <v>0</v>
      </c>
      <c r="BP23" s="25">
        <f ca="1">IF((BO23-($BR23*(NETWORKDAYS($BX$12,$BY$12)/$O$1))+BY23)&lt;=0,0,BO23-($BR23*(NETWORKDAYS($BX$12,$BY$12)/$O$1))+BY23)</f>
        <v>756</v>
      </c>
      <c r="BQ23" s="25">
        <f ca="1">IF((BP23-($BR23*(NETWORKDAYS($BY$12,$BZ$12)/$O$1))+BZ23)&lt;=0,0,BP23-($BR23*(NETWORKDAYS($BY$12,$BZ$12)/$O$1))+BZ23)</f>
        <v>979.66666666666663</v>
      </c>
      <c r="BR23" s="607">
        <v>250</v>
      </c>
      <c r="BS23" s="607">
        <f t="shared" si="25"/>
        <v>275</v>
      </c>
      <c r="BT23" s="63">
        <f t="shared" si="30"/>
        <v>0</v>
      </c>
      <c r="BU23" s="63">
        <f ca="1">+BO23/BR23</f>
        <v>0</v>
      </c>
      <c r="BV23" s="63">
        <f ca="1">+BP23/BR23</f>
        <v>3.024</v>
      </c>
      <c r="BW23" s="63">
        <f ca="1">+BQ23/BR23</f>
        <v>3.9186666666666663</v>
      </c>
      <c r="BX23" s="67"/>
      <c r="BY23" s="413">
        <v>756</v>
      </c>
      <c r="BZ23" s="413">
        <v>432</v>
      </c>
      <c r="CA23" s="77">
        <v>54</v>
      </c>
      <c r="CB23" s="415">
        <v>8</v>
      </c>
      <c r="CC23" s="62">
        <f t="shared" ref="CC23" si="35">+CB23*CA23</f>
        <v>432</v>
      </c>
    </row>
    <row r="24" spans="1:81" s="15" customFormat="1" ht="23.25" customHeight="1" thickBot="1" x14ac:dyDescent="0.3">
      <c r="D24" s="621" t="s">
        <v>130</v>
      </c>
      <c r="E24" s="622"/>
      <c r="F24" s="249">
        <f t="shared" ref="F24:AK24" si="36">+SUM(F13:F22)</f>
        <v>3098.5</v>
      </c>
      <c r="G24" s="250">
        <f t="shared" si="36"/>
        <v>0</v>
      </c>
      <c r="H24" s="250">
        <f t="shared" si="36"/>
        <v>4767</v>
      </c>
      <c r="I24" s="250">
        <f t="shared" si="36"/>
        <v>0</v>
      </c>
      <c r="J24" s="250">
        <f t="shared" si="36"/>
        <v>1695.75</v>
      </c>
      <c r="K24" s="249">
        <f t="shared" si="36"/>
        <v>6169.75</v>
      </c>
      <c r="L24" s="250">
        <f t="shared" si="36"/>
        <v>0</v>
      </c>
      <c r="M24" s="250">
        <f t="shared" si="36"/>
        <v>0</v>
      </c>
      <c r="N24" s="250">
        <f t="shared" si="36"/>
        <v>0</v>
      </c>
      <c r="O24" s="250">
        <f t="shared" si="36"/>
        <v>1542.25</v>
      </c>
      <c r="P24" s="249">
        <f t="shared" si="36"/>
        <v>4627.5</v>
      </c>
      <c r="Q24" s="250">
        <f t="shared" si="36"/>
        <v>0</v>
      </c>
      <c r="R24" s="250">
        <f t="shared" si="36"/>
        <v>0</v>
      </c>
      <c r="S24" s="250">
        <f t="shared" si="36"/>
        <v>0</v>
      </c>
      <c r="T24" s="250">
        <f t="shared" si="36"/>
        <v>2321.75</v>
      </c>
      <c r="U24" s="249">
        <f t="shared" si="36"/>
        <v>2305.75</v>
      </c>
      <c r="V24" s="250">
        <f t="shared" si="36"/>
        <v>0</v>
      </c>
      <c r="W24" s="250">
        <f t="shared" si="36"/>
        <v>2358</v>
      </c>
      <c r="X24" s="250">
        <f t="shared" si="36"/>
        <v>0</v>
      </c>
      <c r="Y24" s="250">
        <f t="shared" si="36"/>
        <v>1695</v>
      </c>
      <c r="Z24" s="249">
        <f t="shared" si="36"/>
        <v>2968.75</v>
      </c>
      <c r="AA24" s="250">
        <f t="shared" si="36"/>
        <v>0</v>
      </c>
      <c r="AB24" s="250">
        <f t="shared" si="36"/>
        <v>0</v>
      </c>
      <c r="AC24" s="250">
        <f t="shared" si="36"/>
        <v>0</v>
      </c>
      <c r="AD24" s="250">
        <f t="shared" si="36"/>
        <v>423</v>
      </c>
      <c r="AE24" s="249">
        <f t="shared" si="36"/>
        <v>2545.75</v>
      </c>
      <c r="AF24" s="250">
        <f t="shared" si="36"/>
        <v>0</v>
      </c>
      <c r="AG24" s="250">
        <f t="shared" si="36"/>
        <v>0</v>
      </c>
      <c r="AH24" s="250">
        <f t="shared" si="36"/>
        <v>0</v>
      </c>
      <c r="AI24" s="250">
        <f t="shared" si="36"/>
        <v>0</v>
      </c>
      <c r="AJ24" s="249">
        <f t="shared" si="36"/>
        <v>0</v>
      </c>
      <c r="AK24" s="250">
        <f t="shared" si="36"/>
        <v>0</v>
      </c>
      <c r="AL24" s="250">
        <f t="shared" ref="AL24:BN24" si="37">+SUM(AL13:AL22)</f>
        <v>0</v>
      </c>
      <c r="AM24" s="250">
        <f t="shared" si="37"/>
        <v>0</v>
      </c>
      <c r="AN24" s="250">
        <f t="shared" si="37"/>
        <v>0</v>
      </c>
      <c r="AO24" s="249">
        <f t="shared" si="37"/>
        <v>0</v>
      </c>
      <c r="AP24" s="250">
        <f t="shared" si="37"/>
        <v>0</v>
      </c>
      <c r="AQ24" s="250">
        <f t="shared" si="37"/>
        <v>0</v>
      </c>
      <c r="AR24" s="250">
        <f t="shared" si="37"/>
        <v>0</v>
      </c>
      <c r="AS24" s="250">
        <f t="shared" si="37"/>
        <v>0</v>
      </c>
      <c r="AT24" s="249">
        <f t="shared" si="37"/>
        <v>0</v>
      </c>
      <c r="AU24" s="250">
        <f t="shared" si="37"/>
        <v>0</v>
      </c>
      <c r="AV24" s="250">
        <f t="shared" si="37"/>
        <v>0</v>
      </c>
      <c r="AW24" s="250">
        <f t="shared" si="37"/>
        <v>0</v>
      </c>
      <c r="AX24" s="250">
        <f t="shared" si="37"/>
        <v>0</v>
      </c>
      <c r="AY24" s="249">
        <f t="shared" si="37"/>
        <v>0</v>
      </c>
      <c r="AZ24" s="250">
        <f t="shared" si="37"/>
        <v>0</v>
      </c>
      <c r="BA24" s="250">
        <f t="shared" si="37"/>
        <v>0</v>
      </c>
      <c r="BB24" s="250">
        <f t="shared" si="37"/>
        <v>0</v>
      </c>
      <c r="BC24" s="250">
        <f t="shared" si="37"/>
        <v>0</v>
      </c>
      <c r="BD24" s="249">
        <f t="shared" si="37"/>
        <v>0</v>
      </c>
      <c r="BE24" s="250">
        <f t="shared" si="37"/>
        <v>0</v>
      </c>
      <c r="BF24" s="250">
        <f t="shared" si="37"/>
        <v>0</v>
      </c>
      <c r="BG24" s="250">
        <f t="shared" si="37"/>
        <v>0</v>
      </c>
      <c r="BH24" s="250">
        <f t="shared" si="37"/>
        <v>0</v>
      </c>
      <c r="BI24" s="249">
        <f t="shared" si="37"/>
        <v>0</v>
      </c>
      <c r="BJ24" s="250">
        <f t="shared" si="37"/>
        <v>0</v>
      </c>
      <c r="BK24" s="250">
        <f t="shared" si="37"/>
        <v>0</v>
      </c>
      <c r="BL24" s="250">
        <f t="shared" si="37"/>
        <v>0</v>
      </c>
      <c r="BM24" s="250">
        <f t="shared" si="37"/>
        <v>0</v>
      </c>
      <c r="BN24" s="249">
        <f t="shared" si="37"/>
        <v>0</v>
      </c>
      <c r="BO24" s="251"/>
      <c r="BP24" s="251"/>
      <c r="BQ24" s="251"/>
      <c r="BR24" s="380">
        <f>+BR13+BR15+BR16+BR19+BR20+BR22</f>
        <v>2284.0625</v>
      </c>
      <c r="BS24" s="380">
        <f>+BS14+BS15+BS16+BS19+BS20+BS22</f>
        <v>2639.3317499999998</v>
      </c>
      <c r="BT24" s="251"/>
      <c r="BU24" s="251"/>
      <c r="BV24" s="251"/>
      <c r="BW24" s="251"/>
      <c r="BX24" s="252">
        <f>SUM(BX13:BX22)</f>
        <v>2376</v>
      </c>
      <c r="BY24" s="252">
        <f>SUM(BY13:BY23)</f>
        <v>2268</v>
      </c>
      <c r="BZ24" s="252">
        <f>SUM(BZ13:BZ23)</f>
        <v>1992</v>
      </c>
      <c r="CA24" s="253"/>
      <c r="CB24" s="252">
        <f>SUM(CB13:CB23)</f>
        <v>21</v>
      </c>
      <c r="CC24" s="254">
        <f>SUM(CC14:CC23)</f>
        <v>1992</v>
      </c>
    </row>
    <row r="25" spans="1:81" ht="15.75" thickBot="1" x14ac:dyDescent="0.3">
      <c r="D25" s="4"/>
      <c r="E25" s="5"/>
      <c r="G25" s="68"/>
      <c r="H25" s="68"/>
      <c r="I25" s="68"/>
      <c r="J25" s="69"/>
      <c r="L25" s="68"/>
      <c r="M25" s="68"/>
      <c r="N25" s="68"/>
      <c r="O25" s="69"/>
      <c r="Q25" s="68"/>
      <c r="R25" s="68"/>
      <c r="S25" s="68"/>
      <c r="T25" s="69"/>
      <c r="V25" s="68"/>
      <c r="W25" s="68"/>
      <c r="X25" s="68"/>
      <c r="Y25" s="69"/>
      <c r="AA25" s="68"/>
      <c r="AB25" s="68"/>
      <c r="AC25" s="68"/>
      <c r="AD25" s="69"/>
      <c r="AF25" s="68"/>
      <c r="AG25" s="68"/>
      <c r="AH25" s="68"/>
      <c r="AI25" s="69"/>
      <c r="AK25" s="68"/>
      <c r="AL25" s="68"/>
      <c r="AM25" s="68"/>
      <c r="AN25" s="69"/>
      <c r="AP25" s="68"/>
      <c r="AQ25" s="68"/>
      <c r="AR25" s="68"/>
      <c r="AS25" s="69"/>
      <c r="AU25" s="68"/>
      <c r="AV25" s="68"/>
      <c r="AW25" s="68"/>
      <c r="AX25" s="69"/>
      <c r="AZ25" s="68"/>
      <c r="BA25" s="68"/>
      <c r="BB25" s="68"/>
      <c r="BC25" s="69"/>
      <c r="BE25" s="68"/>
      <c r="BF25" s="68"/>
      <c r="BG25" s="68"/>
      <c r="BH25" s="69"/>
      <c r="BJ25" s="68"/>
      <c r="BK25" s="68"/>
      <c r="BL25" s="68"/>
      <c r="BM25" s="69"/>
      <c r="BR25" s="381"/>
      <c r="BS25" s="381"/>
      <c r="BT25" s="71"/>
      <c r="BU25" s="71"/>
      <c r="BV25" s="71"/>
      <c r="BW25" s="71"/>
      <c r="BX25" s="72"/>
      <c r="BY25" s="72"/>
      <c r="BZ25" s="72"/>
      <c r="CA25"/>
      <c r="CB25"/>
      <c r="CC25"/>
    </row>
    <row r="26" spans="1:81" ht="15.75" thickBot="1" x14ac:dyDescent="0.3">
      <c r="D26" s="619" t="s">
        <v>218</v>
      </c>
      <c r="E26" s="620"/>
      <c r="F26" s="242">
        <f t="shared" ref="F26:AK26" si="38">+F24+F10</f>
        <v>4442.75</v>
      </c>
      <c r="G26" s="242">
        <f t="shared" si="38"/>
        <v>0</v>
      </c>
      <c r="H26" s="242">
        <f t="shared" si="38"/>
        <v>4767</v>
      </c>
      <c r="I26" s="242">
        <f t="shared" si="38"/>
        <v>0</v>
      </c>
      <c r="J26" s="355">
        <f t="shared" si="38"/>
        <v>1803</v>
      </c>
      <c r="K26" s="242">
        <f t="shared" si="38"/>
        <v>7406.75</v>
      </c>
      <c r="L26" s="242">
        <f t="shared" si="38"/>
        <v>0</v>
      </c>
      <c r="M26" s="242">
        <f t="shared" si="38"/>
        <v>0</v>
      </c>
      <c r="N26" s="242">
        <f t="shared" si="38"/>
        <v>0</v>
      </c>
      <c r="O26" s="242">
        <f t="shared" si="38"/>
        <v>1776.75</v>
      </c>
      <c r="P26" s="242">
        <f t="shared" si="38"/>
        <v>5630</v>
      </c>
      <c r="Q26" s="242">
        <f t="shared" si="38"/>
        <v>0</v>
      </c>
      <c r="R26" s="242">
        <f t="shared" si="38"/>
        <v>10</v>
      </c>
      <c r="S26" s="242">
        <f t="shared" si="38"/>
        <v>0</v>
      </c>
      <c r="T26" s="242">
        <f t="shared" si="38"/>
        <v>2764.75</v>
      </c>
      <c r="U26" s="242">
        <f t="shared" si="38"/>
        <v>2875.25</v>
      </c>
      <c r="V26" s="242">
        <f t="shared" si="38"/>
        <v>0</v>
      </c>
      <c r="W26" s="242">
        <f t="shared" si="38"/>
        <v>2359</v>
      </c>
      <c r="X26" s="242">
        <f t="shared" si="38"/>
        <v>0</v>
      </c>
      <c r="Y26" s="242">
        <f t="shared" si="38"/>
        <v>2058</v>
      </c>
      <c r="Z26" s="242">
        <f t="shared" si="38"/>
        <v>3176.25</v>
      </c>
      <c r="AA26" s="242">
        <f t="shared" si="38"/>
        <v>0</v>
      </c>
      <c r="AB26" s="242">
        <f t="shared" si="38"/>
        <v>9</v>
      </c>
      <c r="AC26" s="242">
        <f t="shared" si="38"/>
        <v>0</v>
      </c>
      <c r="AD26" s="242">
        <f t="shared" si="38"/>
        <v>493.25</v>
      </c>
      <c r="AE26" s="242">
        <f t="shared" si="38"/>
        <v>2692</v>
      </c>
      <c r="AF26" s="242">
        <f t="shared" si="38"/>
        <v>0</v>
      </c>
      <c r="AG26" s="242">
        <f t="shared" si="38"/>
        <v>0</v>
      </c>
      <c r="AH26" s="242">
        <f t="shared" si="38"/>
        <v>0</v>
      </c>
      <c r="AI26" s="242">
        <f t="shared" si="38"/>
        <v>0</v>
      </c>
      <c r="AJ26" s="242">
        <f t="shared" si="38"/>
        <v>0</v>
      </c>
      <c r="AK26" s="242">
        <f t="shared" si="38"/>
        <v>0</v>
      </c>
      <c r="AL26" s="242">
        <f t="shared" ref="AL26:BN26" si="39">+AL24+AL10</f>
        <v>0</v>
      </c>
      <c r="AM26" s="242">
        <f t="shared" si="39"/>
        <v>0</v>
      </c>
      <c r="AN26" s="242">
        <f t="shared" si="39"/>
        <v>0</v>
      </c>
      <c r="AO26" s="242">
        <f t="shared" si="39"/>
        <v>0</v>
      </c>
      <c r="AP26" s="242">
        <f t="shared" si="39"/>
        <v>0</v>
      </c>
      <c r="AQ26" s="242">
        <f t="shared" si="39"/>
        <v>0</v>
      </c>
      <c r="AR26" s="242">
        <f t="shared" si="39"/>
        <v>0</v>
      </c>
      <c r="AS26" s="242">
        <f t="shared" si="39"/>
        <v>0</v>
      </c>
      <c r="AT26" s="242">
        <f t="shared" si="39"/>
        <v>0</v>
      </c>
      <c r="AU26" s="242">
        <f t="shared" si="39"/>
        <v>0</v>
      </c>
      <c r="AV26" s="242">
        <f t="shared" si="39"/>
        <v>0</v>
      </c>
      <c r="AW26" s="242">
        <f t="shared" si="39"/>
        <v>0</v>
      </c>
      <c r="AX26" s="242">
        <f t="shared" si="39"/>
        <v>0</v>
      </c>
      <c r="AY26" s="242">
        <f t="shared" si="39"/>
        <v>0</v>
      </c>
      <c r="AZ26" s="242">
        <f t="shared" si="39"/>
        <v>0</v>
      </c>
      <c r="BA26" s="242">
        <f t="shared" si="39"/>
        <v>0</v>
      </c>
      <c r="BB26" s="242">
        <f t="shared" si="39"/>
        <v>0</v>
      </c>
      <c r="BC26" s="242">
        <f t="shared" si="39"/>
        <v>0</v>
      </c>
      <c r="BD26" s="242">
        <f t="shared" si="39"/>
        <v>0</v>
      </c>
      <c r="BE26" s="242">
        <f t="shared" si="39"/>
        <v>0</v>
      </c>
      <c r="BF26" s="242">
        <f t="shared" si="39"/>
        <v>0</v>
      </c>
      <c r="BG26" s="242">
        <f t="shared" si="39"/>
        <v>0</v>
      </c>
      <c r="BH26" s="242">
        <f t="shared" si="39"/>
        <v>0</v>
      </c>
      <c r="BI26" s="242">
        <f t="shared" si="39"/>
        <v>0</v>
      </c>
      <c r="BJ26" s="242">
        <f t="shared" si="39"/>
        <v>0</v>
      </c>
      <c r="BK26" s="242">
        <f t="shared" si="39"/>
        <v>0</v>
      </c>
      <c r="BL26" s="242">
        <f t="shared" si="39"/>
        <v>0</v>
      </c>
      <c r="BM26" s="242">
        <f t="shared" si="39"/>
        <v>0</v>
      </c>
      <c r="BN26" s="242">
        <f t="shared" si="39"/>
        <v>0</v>
      </c>
      <c r="BT26" s="73"/>
      <c r="BU26" s="73"/>
      <c r="BV26" s="73"/>
      <c r="BW26" s="73"/>
      <c r="CA26"/>
      <c r="CB26"/>
      <c r="CC26"/>
    </row>
    <row r="27" spans="1:81" ht="15.75" thickBot="1" x14ac:dyDescent="0.3">
      <c r="F27" s="242">
        <f>+F26/50</f>
        <v>88.855000000000004</v>
      </c>
      <c r="G27"/>
      <c r="H27"/>
      <c r="I27"/>
      <c r="J27" s="242" t="s">
        <v>219</v>
      </c>
      <c r="K27" s="242">
        <f>+K26/50</f>
        <v>148.13499999999999</v>
      </c>
      <c r="L27"/>
      <c r="M27"/>
      <c r="N27"/>
      <c r="O27" s="242" t="s">
        <v>219</v>
      </c>
      <c r="P27" s="242">
        <f>+P26/50</f>
        <v>112.6</v>
      </c>
      <c r="Q27"/>
      <c r="R27"/>
      <c r="S27"/>
      <c r="T27" s="242" t="s">
        <v>219</v>
      </c>
      <c r="U27" s="242">
        <f>+U26/50</f>
        <v>57.505000000000003</v>
      </c>
      <c r="V27"/>
      <c r="W27"/>
      <c r="X27"/>
      <c r="Y27" s="242" t="s">
        <v>219</v>
      </c>
      <c r="Z27" s="533">
        <f>+Z26/BR24</f>
        <v>1.3906143111232727</v>
      </c>
      <c r="AA27"/>
      <c r="AB27"/>
      <c r="AC27"/>
      <c r="AD27" s="242" t="s">
        <v>219</v>
      </c>
      <c r="AE27" s="242">
        <f>+AE26/50</f>
        <v>53.84</v>
      </c>
      <c r="AF27"/>
      <c r="AG27"/>
      <c r="AH27"/>
      <c r="AI27" s="242" t="s">
        <v>219</v>
      </c>
      <c r="AJ27" s="242">
        <f>+AJ26/50</f>
        <v>0</v>
      </c>
      <c r="AK27"/>
      <c r="AL27"/>
      <c r="AM27"/>
      <c r="AN27" s="242" t="s">
        <v>219</v>
      </c>
      <c r="AO27" s="242">
        <f>+AO26/50</f>
        <v>0</v>
      </c>
      <c r="AP27"/>
      <c r="AQ27"/>
      <c r="AR27"/>
      <c r="AS27" s="242" t="s">
        <v>219</v>
      </c>
      <c r="AT27" s="242">
        <f>+AT26/50</f>
        <v>0</v>
      </c>
      <c r="AU27"/>
      <c r="AV27"/>
      <c r="AW27"/>
      <c r="AX27" s="242" t="s">
        <v>219</v>
      </c>
      <c r="AY27" s="242">
        <f>+AY26/50</f>
        <v>0</v>
      </c>
      <c r="AZ27"/>
      <c r="BA27"/>
      <c r="BB27"/>
      <c r="BC27" s="242" t="s">
        <v>219</v>
      </c>
      <c r="BD27" s="242">
        <f>+BD26/50</f>
        <v>0</v>
      </c>
      <c r="BE27"/>
      <c r="BF27"/>
      <c r="BG27"/>
      <c r="BH27" s="242" t="s">
        <v>219</v>
      </c>
      <c r="BI27" s="242">
        <f>+BI26/50</f>
        <v>0</v>
      </c>
      <c r="BJ27"/>
      <c r="BK27"/>
      <c r="BL27"/>
      <c r="BM27" s="242" t="s">
        <v>219</v>
      </c>
      <c r="BN27" s="242">
        <f>+BN26/50</f>
        <v>0</v>
      </c>
      <c r="BO27" s="616">
        <f>+AE26/Y26</f>
        <v>1.3080660835762876</v>
      </c>
      <c r="BT27" s="73"/>
      <c r="BU27" s="73"/>
      <c r="BV27" s="73"/>
      <c r="BW27" s="73"/>
      <c r="CA27"/>
      <c r="CB27"/>
      <c r="CC27"/>
    </row>
    <row r="28" spans="1:81" ht="15.75" thickBot="1" x14ac:dyDescent="0.3">
      <c r="K28" s="355">
        <f>+K26/BR24</f>
        <v>3.242796552195923</v>
      </c>
    </row>
    <row r="30" spans="1:81" x14ac:dyDescent="0.25">
      <c r="AA30" s="615"/>
      <c r="BV30" s="612"/>
    </row>
    <row r="31" spans="1:81" x14ac:dyDescent="0.25">
      <c r="BV31" s="612"/>
    </row>
    <row r="32" spans="1:81" x14ac:dyDescent="0.25">
      <c r="AA32" s="615"/>
    </row>
  </sheetData>
  <mergeCells count="16">
    <mergeCell ref="BS1:BS2"/>
    <mergeCell ref="D26:E26"/>
    <mergeCell ref="D24:E24"/>
    <mergeCell ref="CA1:CA2"/>
    <mergeCell ref="CB1:CC1"/>
    <mergeCell ref="CB11:CC11"/>
    <mergeCell ref="D1:E1"/>
    <mergeCell ref="D10:E10"/>
    <mergeCell ref="BR11:BR12"/>
    <mergeCell ref="BO11:BQ11"/>
    <mergeCell ref="BO1:BQ1"/>
    <mergeCell ref="BT1:BV1"/>
    <mergeCell ref="BT11:BV11"/>
    <mergeCell ref="BX1:BY1"/>
    <mergeCell ref="BS11:BS12"/>
    <mergeCell ref="BR1:BR2"/>
  </mergeCells>
  <conditionalFormatting sqref="BT13:BW23">
    <cfRule type="cellIs" dxfId="9" priority="1" operator="lessThan">
      <formula>1.5</formula>
    </cfRule>
    <cfRule type="cellIs" dxfId="8" priority="2" operator="less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76627-7193-4EDA-9D44-5C06462B0C31}">
  <sheetPr>
    <tabColor rgb="FFFF3300"/>
  </sheetPr>
  <dimension ref="A1:AS32"/>
  <sheetViews>
    <sheetView showGridLines="0" zoomScale="85" zoomScaleNormal="85" workbookViewId="0">
      <pane xSplit="5" ySplit="2" topLeftCell="T3" activePane="bottomRight" state="frozen"/>
      <selection pane="topRight" activeCell="D1" sqref="D1"/>
      <selection pane="bottomLeft" activeCell="A2" sqref="A2"/>
      <selection pane="bottomRight" activeCell="E12" sqref="E12"/>
    </sheetView>
  </sheetViews>
  <sheetFormatPr baseColWidth="10" defaultColWidth="11.42578125" defaultRowHeight="13.5" x14ac:dyDescent="0.25"/>
  <cols>
    <col min="1" max="2" width="11.42578125" style="15"/>
    <col min="3" max="3" width="12.42578125" style="15" customWidth="1"/>
    <col min="4" max="4" width="9.85546875" style="34" customWidth="1"/>
    <col min="5" max="5" width="51.5703125" style="33" customWidth="1"/>
    <col min="6" max="6" width="11.42578125" style="80" customWidth="1"/>
    <col min="7" max="7" width="9" style="80" hidden="1" customWidth="1"/>
    <col min="8" max="9" width="7.85546875" style="80" hidden="1" customWidth="1"/>
    <col min="10" max="15" width="10.5703125" style="80" hidden="1" customWidth="1"/>
    <col min="16" max="16" width="10.85546875" style="80" customWidth="1"/>
    <col min="17" max="20" width="10.5703125" style="80" customWidth="1"/>
    <col min="21" max="25" width="10.85546875" style="80" customWidth="1"/>
    <col min="26" max="27" width="9.5703125" style="15" customWidth="1"/>
    <col min="28" max="28" width="8.85546875" style="15" bestFit="1" customWidth="1"/>
    <col min="29" max="29" width="9.7109375" style="15" customWidth="1"/>
    <col min="30" max="34" width="11.42578125" style="15" customWidth="1"/>
    <col min="35" max="36" width="11.7109375" style="15" customWidth="1"/>
    <col min="37" max="37" width="11.42578125" style="15" customWidth="1"/>
    <col min="38" max="38" width="7" style="196" bestFit="1" customWidth="1"/>
    <col min="39" max="39" width="9.5703125" style="15" bestFit="1" customWidth="1"/>
    <col min="40" max="44" width="0" style="15" hidden="1" customWidth="1"/>
    <col min="45" max="16384" width="11.42578125" style="15"/>
  </cols>
  <sheetData>
    <row r="1" spans="1:43" ht="27" customHeight="1" x14ac:dyDescent="0.25">
      <c r="AI1" s="689" t="s">
        <v>190</v>
      </c>
      <c r="AJ1" s="689"/>
      <c r="AK1" s="690" t="s">
        <v>290</v>
      </c>
      <c r="AL1" s="690"/>
      <c r="AM1" s="690"/>
    </row>
    <row r="2" spans="1:43" ht="45" customHeight="1" thickBot="1" x14ac:dyDescent="0.3">
      <c r="D2"/>
      <c r="E2"/>
      <c r="F2"/>
      <c r="G2"/>
      <c r="H2"/>
      <c r="I2"/>
      <c r="J2"/>
      <c r="K2"/>
      <c r="L2"/>
      <c r="M2"/>
      <c r="N2"/>
      <c r="O2" s="423">
        <v>45</v>
      </c>
      <c r="P2"/>
      <c r="Q2"/>
      <c r="R2"/>
      <c r="S2"/>
      <c r="T2" s="423"/>
      <c r="U2"/>
      <c r="V2"/>
      <c r="W2"/>
      <c r="X2"/>
      <c r="Y2"/>
      <c r="Z2" s="694" t="s">
        <v>274</v>
      </c>
      <c r="AA2" s="695"/>
      <c r="AB2" s="696"/>
      <c r="AC2" s="605" t="s">
        <v>196</v>
      </c>
      <c r="AD2" s="700" t="s">
        <v>267</v>
      </c>
      <c r="AE2" s="701" t="s">
        <v>291</v>
      </c>
      <c r="AF2" s="697" t="s">
        <v>276</v>
      </c>
      <c r="AG2" s="698"/>
      <c r="AH2" s="699"/>
      <c r="AI2" s="441" t="s">
        <v>257</v>
      </c>
      <c r="AJ2" s="441" t="s">
        <v>292</v>
      </c>
      <c r="AK2" s="693" t="s">
        <v>191</v>
      </c>
      <c r="AL2" s="691"/>
      <c r="AM2" s="692"/>
    </row>
    <row r="3" spans="1:43" ht="59.25" customHeight="1" x14ac:dyDescent="0.25">
      <c r="A3" s="6" t="s">
        <v>289</v>
      </c>
      <c r="B3" s="506" t="s">
        <v>284</v>
      </c>
      <c r="C3" s="506" t="s">
        <v>272</v>
      </c>
      <c r="D3" s="1" t="s">
        <v>52</v>
      </c>
      <c r="E3" s="6" t="s">
        <v>53</v>
      </c>
      <c r="F3" s="246" t="s">
        <v>192</v>
      </c>
      <c r="G3" s="74" t="s">
        <v>193</v>
      </c>
      <c r="H3" s="74" t="s">
        <v>194</v>
      </c>
      <c r="I3" s="74" t="s">
        <v>195</v>
      </c>
      <c r="J3" s="44" t="s">
        <v>196</v>
      </c>
      <c r="K3" s="261" t="s">
        <v>197</v>
      </c>
      <c r="L3" s="74" t="s">
        <v>193</v>
      </c>
      <c r="M3" s="74" t="s">
        <v>194</v>
      </c>
      <c r="N3" s="74" t="s">
        <v>195</v>
      </c>
      <c r="O3" s="44" t="s">
        <v>196</v>
      </c>
      <c r="P3" s="261" t="s">
        <v>220</v>
      </c>
      <c r="Q3" s="74" t="s">
        <v>193</v>
      </c>
      <c r="R3" s="74" t="s">
        <v>194</v>
      </c>
      <c r="S3" s="74" t="s">
        <v>195</v>
      </c>
      <c r="T3" s="44" t="s">
        <v>196</v>
      </c>
      <c r="U3" s="261" t="s">
        <v>293</v>
      </c>
      <c r="V3" s="261" t="s">
        <v>221</v>
      </c>
      <c r="W3" s="261" t="s">
        <v>141</v>
      </c>
      <c r="X3" s="261" t="s">
        <v>222</v>
      </c>
      <c r="Y3" s="386" t="s">
        <v>223</v>
      </c>
      <c r="Z3" s="565" t="s">
        <v>209</v>
      </c>
      <c r="AA3" s="566" t="s">
        <v>254</v>
      </c>
      <c r="AB3" s="535" t="s">
        <v>287</v>
      </c>
      <c r="AC3" s="605" t="s">
        <v>108</v>
      </c>
      <c r="AD3" s="700"/>
      <c r="AE3" s="702"/>
      <c r="AF3" s="567" t="s">
        <v>209</v>
      </c>
      <c r="AG3" s="568" t="s">
        <v>254</v>
      </c>
      <c r="AH3" s="568" t="s">
        <v>287</v>
      </c>
      <c r="AI3" s="389">
        <v>46178</v>
      </c>
      <c r="AJ3" s="389">
        <v>46199</v>
      </c>
      <c r="AK3" s="693"/>
      <c r="AL3" s="197" t="s">
        <v>210</v>
      </c>
      <c r="AM3" s="152" t="s">
        <v>211</v>
      </c>
    </row>
    <row r="4" spans="1:43" ht="18.75" customHeight="1" x14ac:dyDescent="0.25">
      <c r="A4" s="508">
        <v>60</v>
      </c>
      <c r="B4" s="508" t="s">
        <v>235</v>
      </c>
      <c r="C4" s="508" t="s">
        <v>268</v>
      </c>
      <c r="D4" s="508">
        <v>806685</v>
      </c>
      <c r="E4" s="509" t="s">
        <v>57</v>
      </c>
      <c r="F4" s="240">
        <v>144</v>
      </c>
      <c r="G4" s="40"/>
      <c r="H4" s="40"/>
      <c r="I4" s="40"/>
      <c r="J4" s="40">
        <v>144</v>
      </c>
      <c r="K4" s="262">
        <f>+F4+G4+H4-I4-J4</f>
        <v>0</v>
      </c>
      <c r="L4" s="40"/>
      <c r="M4" s="40"/>
      <c r="N4" s="40"/>
      <c r="O4" s="40"/>
      <c r="P4" s="262">
        <f>+K4+L4+M4-N4-O4</f>
        <v>0</v>
      </c>
      <c r="Q4" s="40"/>
      <c r="R4" s="40"/>
      <c r="S4" s="40"/>
      <c r="T4" s="40"/>
      <c r="U4" s="262">
        <f>+P4+Q4+R4-S4-T4</f>
        <v>0</v>
      </c>
      <c r="V4" s="262">
        <f>+FRIGARSA!AB3</f>
        <v>2.3000000000001819</v>
      </c>
      <c r="W4" s="262">
        <f>+FRESCO!BU4</f>
        <v>2</v>
      </c>
      <c r="X4" s="262">
        <f>+MEXIDELI!AB3</f>
        <v>938</v>
      </c>
      <c r="Y4" s="387">
        <f t="shared" ref="Y4:Y15" si="0">SUM(U4++V4+W4+X4)</f>
        <v>942.30000000000018</v>
      </c>
      <c r="Z4" s="473">
        <f>+Y4</f>
        <v>942.30000000000018</v>
      </c>
      <c r="AA4" s="473">
        <f>IF((Z4-($AD4*(NETWORKDAYS($AI$3,$AI$3)/$O$2))+AI4)&lt;=0,0,Z4-($AD4*(NETWORKDAYS($AI$3,$AI$3)/$O$2))+AI4)</f>
        <v>1345.4111111111113</v>
      </c>
      <c r="AB4" s="473">
        <f>IF((AA4-($AD4*(NETWORKDAYS($AI$3,$AJ$3)/$O$2))+AJ4)&lt;=0,0,AA4-($AD4*(NETWORKDAYS($AJ$3,$AI$3)/$O$2))+AJ4)</f>
        <v>2671.6333333333332</v>
      </c>
      <c r="AC4" s="474">
        <f>+MEXIDELI!AA3+FRESCO!BTO4+FRIGARSA!AA3</f>
        <v>342</v>
      </c>
      <c r="AD4" s="603">
        <v>1300</v>
      </c>
      <c r="AE4" s="604"/>
      <c r="AF4" s="88">
        <f>+Y4/AD4</f>
        <v>0.72484615384615403</v>
      </c>
      <c r="AG4" s="88">
        <f t="shared" ref="AG4:AG15" si="1">+AA4/AD4</f>
        <v>1.034931623931624</v>
      </c>
      <c r="AH4" s="88">
        <f t="shared" ref="AH4:AH15" si="2">+AB4/AD4</f>
        <v>2.055102564102564</v>
      </c>
      <c r="AI4" s="358">
        <v>432</v>
      </c>
      <c r="AJ4" s="358">
        <v>864</v>
      </c>
      <c r="AK4" s="81">
        <v>108</v>
      </c>
      <c r="AL4" s="198"/>
      <c r="AM4" s="82">
        <f t="shared" ref="AM4:AM14" si="3">+AL4*AK4</f>
        <v>0</v>
      </c>
      <c r="AN4" s="220">
        <f t="shared" ref="AN4:AN21" si="4">+AG4-1.4</f>
        <v>-0.36506837606837594</v>
      </c>
      <c r="AO4" s="15">
        <v>1.5</v>
      </c>
      <c r="AP4" s="220">
        <f>+AO4-AN4</f>
        <v>1.8650683760683759</v>
      </c>
      <c r="AQ4" s="15">
        <f t="shared" ref="AQ4:AQ21" si="5">+AP4*AD4</f>
        <v>2424.5888888888885</v>
      </c>
    </row>
    <row r="5" spans="1:43" ht="15.95" customHeight="1" x14ac:dyDescent="0.25">
      <c r="A5" s="508">
        <v>60</v>
      </c>
      <c r="B5" s="508" t="s">
        <v>235</v>
      </c>
      <c r="C5" s="508" t="s">
        <v>268</v>
      </c>
      <c r="D5" s="508">
        <v>806939</v>
      </c>
      <c r="E5" s="509" t="s">
        <v>67</v>
      </c>
      <c r="F5" s="240">
        <v>0</v>
      </c>
      <c r="G5" s="40"/>
      <c r="H5" s="40"/>
      <c r="I5" s="40"/>
      <c r="J5" s="40"/>
      <c r="K5" s="262">
        <f t="shared" ref="K5:K23" si="6">+F5+G5+H5-I5-J5</f>
        <v>0</v>
      </c>
      <c r="L5" s="40"/>
      <c r="M5" s="40"/>
      <c r="N5" s="40"/>
      <c r="O5" s="40"/>
      <c r="P5" s="262">
        <f t="shared" ref="P5:P23" si="7">+K5+L5+M5-N5-O5</f>
        <v>0</v>
      </c>
      <c r="Q5" s="40"/>
      <c r="R5" s="40"/>
      <c r="S5" s="40"/>
      <c r="T5" s="40"/>
      <c r="U5" s="262">
        <f t="shared" ref="U5:U25" si="8">+P5+Q5+R5-S5-T5</f>
        <v>0</v>
      </c>
      <c r="V5" s="262">
        <f>+FRIGARSA!AB4</f>
        <v>9</v>
      </c>
      <c r="W5" s="262">
        <f>+FRESCO!BP5</f>
        <v>0</v>
      </c>
      <c r="X5" s="262">
        <f>+MEXIDELI!AB4+CANBELT!AB3</f>
        <v>206</v>
      </c>
      <c r="Y5" s="387">
        <f t="shared" si="0"/>
        <v>215</v>
      </c>
      <c r="Z5" s="473">
        <f>+Y5</f>
        <v>215</v>
      </c>
      <c r="AA5" s="473">
        <f>IF((Z5-($AD5*(NETWORKDAYS($AI$3,$AI$3)/$O$2))+AI5)&lt;=0,0,Z5-($AD5*(NETWORKDAYS($AI$3,$AI$3)/$O$2))+AI5)</f>
        <v>212.11111111111111</v>
      </c>
      <c r="AB5" s="473">
        <f t="shared" ref="AB5:AB12" si="9">IF((AA5-($AD5*(NETWORKDAYS($AI$3,$AJ$3)/$O$2))+AJ5)&lt;=0,0,AA5-($AD5*(NETWORKDAYS($AJ$3,$AI$3)/$O$2))+AJ5)</f>
        <v>258.33333333333331</v>
      </c>
      <c r="AC5" s="474">
        <f>+MEXIDELI!AA4+FRESCO!BTO5+FRIGARSA!AA4+CANBELT!AA3</f>
        <v>24</v>
      </c>
      <c r="AD5" s="603">
        <v>130</v>
      </c>
      <c r="AE5" s="604"/>
      <c r="AF5" s="88">
        <f>+Y5/AD5</f>
        <v>1.6538461538461537</v>
      </c>
      <c r="AG5" s="88">
        <f t="shared" si="1"/>
        <v>1.6316239316239316</v>
      </c>
      <c r="AH5" s="88">
        <f t="shared" si="2"/>
        <v>1.987179487179487</v>
      </c>
      <c r="AI5" s="358">
        <v>0</v>
      </c>
      <c r="AJ5" s="358">
        <v>0</v>
      </c>
      <c r="AK5" s="81">
        <v>108</v>
      </c>
      <c r="AL5" s="198"/>
      <c r="AM5" s="82">
        <f t="shared" si="3"/>
        <v>0</v>
      </c>
      <c r="AN5" s="220">
        <f t="shared" si="4"/>
        <v>0.23162393162393169</v>
      </c>
      <c r="AO5" s="15">
        <v>1.5</v>
      </c>
      <c r="AP5" s="220">
        <f>+AO5-AN5</f>
        <v>1.2683760683760683</v>
      </c>
      <c r="AQ5" s="15">
        <f t="shared" si="5"/>
        <v>164.88888888888889</v>
      </c>
    </row>
    <row r="6" spans="1:43" ht="15.95" customHeight="1" x14ac:dyDescent="0.25">
      <c r="A6" s="508">
        <v>60</v>
      </c>
      <c r="B6" s="508" t="s">
        <v>235</v>
      </c>
      <c r="C6" s="508" t="s">
        <v>268</v>
      </c>
      <c r="D6" s="508">
        <v>806694</v>
      </c>
      <c r="E6" s="509" t="s">
        <v>68</v>
      </c>
      <c r="F6" s="240">
        <v>0</v>
      </c>
      <c r="G6" s="40"/>
      <c r="H6" s="40"/>
      <c r="I6" s="40"/>
      <c r="J6" s="40"/>
      <c r="K6" s="262">
        <f t="shared" si="6"/>
        <v>0</v>
      </c>
      <c r="L6" s="40"/>
      <c r="M6" s="40"/>
      <c r="N6" s="40"/>
      <c r="O6" s="40"/>
      <c r="P6" s="262">
        <f t="shared" si="7"/>
        <v>0</v>
      </c>
      <c r="Q6" s="40"/>
      <c r="R6" s="40"/>
      <c r="S6" s="40"/>
      <c r="T6" s="40"/>
      <c r="U6" s="262">
        <f t="shared" si="8"/>
        <v>0</v>
      </c>
      <c r="V6" s="262">
        <f>+FRIGARSA!W5</f>
        <v>0</v>
      </c>
      <c r="W6" s="262">
        <f>+FRESCO!BP6</f>
        <v>0</v>
      </c>
      <c r="X6" s="262">
        <f>+MEXIDELI!AB5</f>
        <v>166</v>
      </c>
      <c r="Y6" s="387">
        <f t="shared" si="0"/>
        <v>166</v>
      </c>
      <c r="Z6" s="473">
        <f>+Y6</f>
        <v>166</v>
      </c>
      <c r="AA6" s="473">
        <f>IF((Z6-($AD6*(NETWORKDAYS($AI$3,$AI$3)/$O$2))+AI6)&lt;=0,0,Z6-($AD6*(NETWORKDAYS($AI$3,$AI$3)/$O$2))+AI6)</f>
        <v>164.33333333333334</v>
      </c>
      <c r="AB6" s="473">
        <f>IF((AA6-($AD6*(NETWORKDAYS($AI$3,$AJ$3)/$O$2))+AJ6)&lt;=0,0,AA6-($AD6*(NETWORKDAYS($AJ$3,$AI$3)/$O$2))+AJ6)</f>
        <v>275</v>
      </c>
      <c r="AC6" s="474">
        <f>+MEXIDELI!AA5+FRESCO!BTO6+FRIGARSA!AA5</f>
        <v>10</v>
      </c>
      <c r="AD6" s="603">
        <v>75</v>
      </c>
      <c r="AE6" s="604"/>
      <c r="AF6" s="88">
        <f>+Y6/AD6</f>
        <v>2.2133333333333334</v>
      </c>
      <c r="AG6" s="88">
        <f t="shared" si="1"/>
        <v>2.1911111111111112</v>
      </c>
      <c r="AH6" s="88">
        <f t="shared" si="2"/>
        <v>3.6666666666666665</v>
      </c>
      <c r="AI6" s="358">
        <v>0</v>
      </c>
      <c r="AJ6" s="358">
        <v>84</v>
      </c>
      <c r="AK6" s="81">
        <v>84</v>
      </c>
      <c r="AL6" s="198"/>
      <c r="AM6" s="82">
        <f t="shared" si="3"/>
        <v>0</v>
      </c>
      <c r="AN6" s="220">
        <f t="shared" si="4"/>
        <v>0.79111111111111132</v>
      </c>
      <c r="AO6" s="15">
        <v>1.5</v>
      </c>
      <c r="AP6" s="220">
        <f>+AO6-AN6</f>
        <v>0.70888888888888868</v>
      </c>
      <c r="AQ6" s="15">
        <f t="shared" si="5"/>
        <v>53.16666666666665</v>
      </c>
    </row>
    <row r="7" spans="1:43" ht="15.95" customHeight="1" x14ac:dyDescent="0.25">
      <c r="A7" s="243">
        <v>60</v>
      </c>
      <c r="B7" s="243" t="s">
        <v>235</v>
      </c>
      <c r="C7" s="243" t="s">
        <v>280</v>
      </c>
      <c r="D7" s="243">
        <v>804104</v>
      </c>
      <c r="E7" s="244" t="s">
        <v>69</v>
      </c>
      <c r="F7" s="240">
        <v>0</v>
      </c>
      <c r="G7" s="40"/>
      <c r="H7" s="40"/>
      <c r="I7" s="40"/>
      <c r="J7" s="40"/>
      <c r="K7" s="262">
        <f t="shared" si="6"/>
        <v>0</v>
      </c>
      <c r="L7" s="40"/>
      <c r="M7" s="40"/>
      <c r="N7" s="40"/>
      <c r="O7" s="40"/>
      <c r="P7" s="262">
        <f t="shared" si="7"/>
        <v>0</v>
      </c>
      <c r="Q7" s="40"/>
      <c r="R7" s="40"/>
      <c r="S7" s="40"/>
      <c r="T7" s="40"/>
      <c r="U7" s="262">
        <f t="shared" si="8"/>
        <v>0</v>
      </c>
      <c r="V7" s="262">
        <f>+FRIGARSA!AB6</f>
        <v>7</v>
      </c>
      <c r="W7" s="262"/>
      <c r="X7" s="262">
        <f>+MEXIDELI!W6</f>
        <v>0</v>
      </c>
      <c r="Y7" s="387">
        <f t="shared" si="0"/>
        <v>7</v>
      </c>
      <c r="Z7" s="473">
        <f t="shared" ref="Z7:Z25" si="10">+Y7</f>
        <v>7</v>
      </c>
      <c r="AA7" s="473">
        <f>IF((Z7-($AD7*(NETWORKDAYS($AI$3,$AI$3)/$O$2))+AI7)&lt;=0,0,Z7-($AD7*(NETWORKDAYS($AI$3,$AI$3)/$O$2))+AI7)</f>
        <v>6.8444444444444441</v>
      </c>
      <c r="AB7" s="473">
        <f>IF((AA7-($AD7*(NETWORKDAYS($AI$3,$AJ$3)/$O$2))+AJ7)&lt;=0,0,AA7-($AD7*(NETWORKDAYS($AJ$3,$AI$3)/$O$2))+AJ7)</f>
        <v>9.3333333333333321</v>
      </c>
      <c r="AC7" s="474">
        <f>+MEXIDELI!AA6+FRESCO!BTO7+FRIGARSA!AA6</f>
        <v>0</v>
      </c>
      <c r="AD7" s="603">
        <v>7</v>
      </c>
      <c r="AE7" s="604"/>
      <c r="AF7" s="88"/>
      <c r="AG7" s="88">
        <f t="shared" si="1"/>
        <v>0.97777777777777775</v>
      </c>
      <c r="AH7" s="88">
        <f t="shared" si="2"/>
        <v>1.3333333333333333</v>
      </c>
      <c r="AI7" s="358">
        <v>0</v>
      </c>
      <c r="AJ7" s="358">
        <v>0</v>
      </c>
      <c r="AK7" s="81">
        <v>108</v>
      </c>
      <c r="AL7" s="198"/>
      <c r="AM7" s="82">
        <f t="shared" si="3"/>
        <v>0</v>
      </c>
      <c r="AN7" s="220">
        <f t="shared" si="4"/>
        <v>-0.42222222222222217</v>
      </c>
      <c r="AO7" s="15">
        <v>1.5</v>
      </c>
      <c r="AP7" s="220">
        <f>+AO7-AN7</f>
        <v>1.9222222222222221</v>
      </c>
      <c r="AQ7" s="15">
        <f t="shared" si="5"/>
        <v>13.455555555555554</v>
      </c>
    </row>
    <row r="8" spans="1:43" ht="15.95" customHeight="1" x14ac:dyDescent="0.25">
      <c r="A8" s="508">
        <v>60</v>
      </c>
      <c r="B8" s="508" t="s">
        <v>235</v>
      </c>
      <c r="C8" s="508" t="s">
        <v>268</v>
      </c>
      <c r="D8" s="508">
        <v>806686</v>
      </c>
      <c r="E8" s="509" t="s">
        <v>70</v>
      </c>
      <c r="F8" s="240">
        <v>233</v>
      </c>
      <c r="G8" s="40"/>
      <c r="H8" s="40"/>
      <c r="I8" s="40">
        <v>72</v>
      </c>
      <c r="J8" s="40"/>
      <c r="K8" s="262">
        <f t="shared" si="6"/>
        <v>161</v>
      </c>
      <c r="L8" s="40"/>
      <c r="M8" s="40"/>
      <c r="N8" s="40"/>
      <c r="O8" s="40">
        <v>49</v>
      </c>
      <c r="P8" s="262">
        <f t="shared" si="7"/>
        <v>112</v>
      </c>
      <c r="Q8" s="40"/>
      <c r="R8" s="40"/>
      <c r="S8" s="40">
        <v>112</v>
      </c>
      <c r="T8" s="40"/>
      <c r="U8" s="262">
        <f t="shared" si="8"/>
        <v>0</v>
      </c>
      <c r="V8" s="262">
        <f>+FRIGARSA!AB7</f>
        <v>47</v>
      </c>
      <c r="W8" s="262">
        <v>12</v>
      </c>
      <c r="X8" s="262">
        <f>+MEXIDELI!W7</f>
        <v>0</v>
      </c>
      <c r="Y8" s="387">
        <f t="shared" si="0"/>
        <v>59</v>
      </c>
      <c r="Z8" s="473">
        <f t="shared" si="10"/>
        <v>59</v>
      </c>
      <c r="AA8" s="473">
        <f>IF((Z8-($AD8*(NETWORKDAYS($AI$3,$AI$3)/$O$2))+AI8)&lt;=0,0,Z8-($AD8*(NETWORKDAYS($AI$3,$AI$3)/$O$2))+AI8)</f>
        <v>272.77777777777777</v>
      </c>
      <c r="AB8" s="473">
        <f>IF((AA8-($AD8*(NETWORKDAYS($AI$3,$AJ$3)/$O$2))+AJ8)&lt;=0,0,AA8-($AD8*(NETWORKDAYS($AJ$3,$AI$3)/$O$2))+AJ8)</f>
        <v>308.33333333333331</v>
      </c>
      <c r="AC8" s="474">
        <f>+MEXIDELI!AA7+FRESCO!BTO8+FRIGARSA!AA7</f>
        <v>0</v>
      </c>
      <c r="AD8" s="603">
        <v>100</v>
      </c>
      <c r="AE8" s="604"/>
      <c r="AF8" s="88">
        <f t="shared" ref="AF8:AF15" si="11">+Y8/AD8</f>
        <v>0.59</v>
      </c>
      <c r="AG8" s="88">
        <f t="shared" si="1"/>
        <v>2.7277777777777779</v>
      </c>
      <c r="AH8" s="88">
        <f t="shared" si="2"/>
        <v>3.083333333333333</v>
      </c>
      <c r="AI8" s="358">
        <v>216</v>
      </c>
      <c r="AJ8" s="358">
        <v>0</v>
      </c>
      <c r="AK8" s="81">
        <v>108</v>
      </c>
      <c r="AL8" s="198"/>
      <c r="AM8" s="82">
        <f t="shared" si="3"/>
        <v>0</v>
      </c>
      <c r="AN8" s="220">
        <f t="shared" si="4"/>
        <v>1.3277777777777779</v>
      </c>
      <c r="AO8" s="15">
        <v>1.5</v>
      </c>
      <c r="AP8" s="220">
        <f>+AO8-AN8</f>
        <v>0.17222222222222205</v>
      </c>
      <c r="AQ8" s="15">
        <f t="shared" si="5"/>
        <v>17.222222222222207</v>
      </c>
    </row>
    <row r="9" spans="1:43" ht="15.75" customHeight="1" x14ac:dyDescent="0.25">
      <c r="A9" s="508">
        <v>60</v>
      </c>
      <c r="B9" s="508" t="s">
        <v>235</v>
      </c>
      <c r="C9" s="508" t="s">
        <v>268</v>
      </c>
      <c r="D9" s="508">
        <v>804109</v>
      </c>
      <c r="E9" s="509" t="s">
        <v>71</v>
      </c>
      <c r="F9" s="240">
        <v>89</v>
      </c>
      <c r="G9" s="40"/>
      <c r="H9" s="40"/>
      <c r="I9" s="40">
        <v>87</v>
      </c>
      <c r="J9" s="40">
        <v>1</v>
      </c>
      <c r="K9" s="262">
        <f t="shared" si="6"/>
        <v>1</v>
      </c>
      <c r="L9" s="40"/>
      <c r="M9" s="40"/>
      <c r="N9" s="40"/>
      <c r="O9" s="40"/>
      <c r="P9" s="262">
        <f t="shared" si="7"/>
        <v>1</v>
      </c>
      <c r="Q9" s="40"/>
      <c r="R9" s="40"/>
      <c r="S9" s="40">
        <v>1</v>
      </c>
      <c r="T9" s="40"/>
      <c r="U9" s="262">
        <f t="shared" si="8"/>
        <v>0</v>
      </c>
      <c r="V9" s="262">
        <f>+FRIGARSA!AB8</f>
        <v>6.5</v>
      </c>
      <c r="W9" s="262">
        <f>+FRESCO!BP9</f>
        <v>0</v>
      </c>
      <c r="X9" s="262">
        <f>+MEXIDELI!W8</f>
        <v>46</v>
      </c>
      <c r="Y9" s="387">
        <f t="shared" si="0"/>
        <v>52.5</v>
      </c>
      <c r="Z9" s="473">
        <f t="shared" si="10"/>
        <v>52.5</v>
      </c>
      <c r="AA9" s="473">
        <f t="shared" ref="AA9:AA15" si="12">IF((Z9-($AD9*(NETWORKDAYS($AI$3,$AI$3)/$O$2))+AI9)&lt;=0,0,Z9-($AD9*(NETWORKDAYS($AI$3,$AI$3)/$O$2))+AI9)</f>
        <v>300.05555555555554</v>
      </c>
      <c r="AB9" s="473">
        <f>IF((AA9-($AD9*(NETWORKDAYS($AI$3,$AJ$3)/$O$2))+AJ9)&lt;=0,0,AA9-($AD9*(NETWORKDAYS($AJ$3,$AI$3)/$O$2))+AJ9)</f>
        <v>539.16666666666663</v>
      </c>
      <c r="AC9" s="474">
        <f>+MEXIDELI!AA8+FRESCO!BTO9+FRIGARSA!AA8</f>
        <v>6</v>
      </c>
      <c r="AD9" s="603">
        <v>200</v>
      </c>
      <c r="AE9" s="604"/>
      <c r="AF9" s="88">
        <f t="shared" si="11"/>
        <v>0.26250000000000001</v>
      </c>
      <c r="AG9" s="88">
        <f t="shared" si="1"/>
        <v>1.5002777777777778</v>
      </c>
      <c r="AH9" s="88">
        <f t="shared" si="2"/>
        <v>2.6958333333333333</v>
      </c>
      <c r="AI9" s="358">
        <v>252</v>
      </c>
      <c r="AJ9" s="358">
        <v>168</v>
      </c>
      <c r="AK9" s="81">
        <v>84</v>
      </c>
      <c r="AL9" s="198"/>
      <c r="AM9" s="82">
        <f t="shared" si="3"/>
        <v>0</v>
      </c>
      <c r="AN9" s="220">
        <f t="shared" si="4"/>
        <v>0.10027777777777791</v>
      </c>
      <c r="AO9" s="15">
        <v>1.5</v>
      </c>
      <c r="AP9" s="220">
        <f t="shared" ref="AP9:AP21" si="13">+AO9-AN9</f>
        <v>1.3997222222222221</v>
      </c>
      <c r="AQ9" s="15">
        <f t="shared" si="5"/>
        <v>279.9444444444444</v>
      </c>
    </row>
    <row r="10" spans="1:43" ht="15.95" customHeight="1" x14ac:dyDescent="0.25">
      <c r="A10" s="508">
        <v>60</v>
      </c>
      <c r="B10" s="508" t="s">
        <v>235</v>
      </c>
      <c r="C10" s="508" t="s">
        <v>268</v>
      </c>
      <c r="D10" s="508">
        <v>806980</v>
      </c>
      <c r="E10" s="509" t="s">
        <v>72</v>
      </c>
      <c r="F10" s="240">
        <v>100</v>
      </c>
      <c r="G10" s="40"/>
      <c r="H10" s="40"/>
      <c r="I10" s="40">
        <v>71</v>
      </c>
      <c r="J10" s="40">
        <v>4</v>
      </c>
      <c r="K10" s="262">
        <f t="shared" si="6"/>
        <v>25</v>
      </c>
      <c r="L10" s="40"/>
      <c r="M10" s="40"/>
      <c r="N10" s="40"/>
      <c r="O10" s="40"/>
      <c r="P10" s="262">
        <f t="shared" si="7"/>
        <v>25</v>
      </c>
      <c r="Q10" s="40"/>
      <c r="R10" s="40"/>
      <c r="S10" s="40">
        <v>25</v>
      </c>
      <c r="T10" s="40"/>
      <c r="U10" s="262">
        <f t="shared" si="8"/>
        <v>0</v>
      </c>
      <c r="V10" s="262">
        <f>+FRIGARSA!AB9</f>
        <v>2</v>
      </c>
      <c r="W10" s="262">
        <f>+FRESCO!BP10</f>
        <v>0</v>
      </c>
      <c r="X10" s="262">
        <f>+MEXIDELI!AB9</f>
        <v>56</v>
      </c>
      <c r="Y10" s="387">
        <f t="shared" si="0"/>
        <v>58</v>
      </c>
      <c r="Z10" s="473">
        <f t="shared" si="10"/>
        <v>58</v>
      </c>
      <c r="AA10" s="473">
        <f>IF((Z10-($AD10*(NETWORKDAYS($AI$3,$AI$3)/$O$2))+AI10)&lt;=0,0,Z10-($AD10*(NETWORKDAYS($AI$3,$AI$3)/$O$2))+AI10)</f>
        <v>176.88888888888889</v>
      </c>
      <c r="AB10" s="473">
        <f t="shared" si="9"/>
        <v>194.66666666666666</v>
      </c>
      <c r="AC10" s="474">
        <f>+MEXIDELI!AA9+FRESCO!BTO10+FRIGARSA!AA9</f>
        <v>2</v>
      </c>
      <c r="AD10" s="603">
        <v>50</v>
      </c>
      <c r="AE10" s="604"/>
      <c r="AF10" s="88">
        <f t="shared" si="11"/>
        <v>1.1599999999999999</v>
      </c>
      <c r="AG10" s="88">
        <f t="shared" si="1"/>
        <v>3.5377777777777779</v>
      </c>
      <c r="AH10" s="88">
        <f t="shared" si="2"/>
        <v>3.8933333333333331</v>
      </c>
      <c r="AI10" s="358">
        <v>120</v>
      </c>
      <c r="AJ10" s="358">
        <v>0</v>
      </c>
      <c r="AK10" s="81">
        <v>108</v>
      </c>
      <c r="AL10" s="198"/>
      <c r="AM10" s="82">
        <f t="shared" si="3"/>
        <v>0</v>
      </c>
      <c r="AN10" s="220">
        <f t="shared" si="4"/>
        <v>2.137777777777778</v>
      </c>
      <c r="AO10" s="15">
        <v>1.5</v>
      </c>
      <c r="AP10" s="220">
        <f t="shared" si="13"/>
        <v>-0.637777777777778</v>
      </c>
      <c r="AQ10" s="15">
        <f t="shared" si="5"/>
        <v>-31.8888888888889</v>
      </c>
    </row>
    <row r="11" spans="1:43" ht="15.95" customHeight="1" x14ac:dyDescent="0.25">
      <c r="A11" s="508">
        <v>60</v>
      </c>
      <c r="B11" s="508" t="s">
        <v>235</v>
      </c>
      <c r="C11" s="508" t="s">
        <v>268</v>
      </c>
      <c r="D11" s="508">
        <v>806982</v>
      </c>
      <c r="E11" s="509" t="s">
        <v>73</v>
      </c>
      <c r="F11" s="240">
        <v>50</v>
      </c>
      <c r="G11" s="40"/>
      <c r="H11" s="40"/>
      <c r="I11" s="40"/>
      <c r="J11" s="40"/>
      <c r="K11" s="262">
        <f t="shared" si="6"/>
        <v>50</v>
      </c>
      <c r="L11" s="40"/>
      <c r="M11" s="40"/>
      <c r="N11" s="40"/>
      <c r="O11" s="40"/>
      <c r="P11" s="262">
        <f t="shared" si="7"/>
        <v>50</v>
      </c>
      <c r="Q11" s="40"/>
      <c r="R11" s="40"/>
      <c r="S11" s="40">
        <v>50</v>
      </c>
      <c r="T11" s="40"/>
      <c r="U11" s="466">
        <f t="shared" si="8"/>
        <v>0</v>
      </c>
      <c r="V11" s="262">
        <f>+FRIGARSA!AB10</f>
        <v>37</v>
      </c>
      <c r="W11" s="262">
        <f>+FRESCO!BP11</f>
        <v>0</v>
      </c>
      <c r="X11" s="262">
        <f>+MEXIDELI!AB10</f>
        <v>108</v>
      </c>
      <c r="Y11" s="387">
        <f t="shared" si="0"/>
        <v>145</v>
      </c>
      <c r="Z11" s="473">
        <f t="shared" si="10"/>
        <v>145</v>
      </c>
      <c r="AA11" s="473">
        <f>IF((Z11-($AD11*(NETWORKDAYS($AI$3,$AI$3)/$O$2))+AI11)&lt;=0,0,Z11-($AD11*(NETWORKDAYS($AI$3,$AI$3)/$O$2))+AI11)</f>
        <v>143.88888888888889</v>
      </c>
      <c r="AB11" s="473">
        <f t="shared" si="9"/>
        <v>161.66666666666666</v>
      </c>
      <c r="AC11" s="474">
        <f>+MEXIDELI!AA10+FRESCO!BTO11+FRIGARSA!AA10</f>
        <v>0</v>
      </c>
      <c r="AD11" s="603">
        <v>50</v>
      </c>
      <c r="AE11" s="604"/>
      <c r="AF11" s="88">
        <f t="shared" si="11"/>
        <v>2.9</v>
      </c>
      <c r="AG11" s="88">
        <f t="shared" si="1"/>
        <v>2.8777777777777778</v>
      </c>
      <c r="AH11" s="88">
        <f t="shared" si="2"/>
        <v>3.2333333333333329</v>
      </c>
      <c r="AI11" s="358">
        <v>0</v>
      </c>
      <c r="AJ11" s="358">
        <v>0</v>
      </c>
      <c r="AK11" s="81">
        <v>84</v>
      </c>
      <c r="AL11" s="198"/>
      <c r="AM11" s="82">
        <f t="shared" si="3"/>
        <v>0</v>
      </c>
      <c r="AN11" s="220">
        <f t="shared" si="4"/>
        <v>1.4777777777777779</v>
      </c>
      <c r="AO11" s="15">
        <v>1.5</v>
      </c>
      <c r="AP11" s="220">
        <f t="shared" si="13"/>
        <v>2.2222222222222143E-2</v>
      </c>
      <c r="AQ11" s="15">
        <f t="shared" si="5"/>
        <v>1.1111111111111072</v>
      </c>
    </row>
    <row r="12" spans="1:43" ht="15" customHeight="1" x14ac:dyDescent="0.25">
      <c r="A12" s="243">
        <v>60</v>
      </c>
      <c r="B12" s="243" t="s">
        <v>235</v>
      </c>
      <c r="C12" s="243" t="s">
        <v>277</v>
      </c>
      <c r="D12" s="243">
        <v>260612</v>
      </c>
      <c r="E12" s="244" t="s">
        <v>74</v>
      </c>
      <c r="F12" s="240">
        <v>66</v>
      </c>
      <c r="G12" s="40"/>
      <c r="H12" s="40"/>
      <c r="I12" s="40"/>
      <c r="J12" s="40"/>
      <c r="K12" s="262">
        <f t="shared" si="6"/>
        <v>66</v>
      </c>
      <c r="L12" s="40"/>
      <c r="M12" s="40"/>
      <c r="N12" s="40"/>
      <c r="O12" s="40"/>
      <c r="P12" s="262">
        <f t="shared" si="7"/>
        <v>66</v>
      </c>
      <c r="Q12" s="40"/>
      <c r="R12" s="40"/>
      <c r="S12" s="40">
        <v>48</v>
      </c>
      <c r="T12" s="40">
        <v>18</v>
      </c>
      <c r="U12" s="466">
        <f t="shared" si="8"/>
        <v>0</v>
      </c>
      <c r="V12" s="262">
        <f>+FRIGARSA!AB11</f>
        <v>4</v>
      </c>
      <c r="W12" s="262">
        <f>+FRESCO!BP12</f>
        <v>0</v>
      </c>
      <c r="X12" s="262">
        <f>+MEXIDELI!W11</f>
        <v>0</v>
      </c>
      <c r="Y12" s="387">
        <f t="shared" si="0"/>
        <v>4</v>
      </c>
      <c r="Z12" s="473">
        <f t="shared" si="10"/>
        <v>4</v>
      </c>
      <c r="AA12" s="473">
        <f>IF((Z12-($AD12*(NETWORKDAYS($AI$3,$AI$3)/$O$2))+AI12)&lt;=0,0,Z12-($AD12*(NETWORKDAYS($AI$3,$AI$3)/$O$2))+AI12)</f>
        <v>3.9777777777777779</v>
      </c>
      <c r="AB12" s="473">
        <f t="shared" si="9"/>
        <v>4.333333333333333</v>
      </c>
      <c r="AC12" s="474">
        <f>+MEXIDELI!AA11+FRESCO!BTO12+FRIGARSA!AA11</f>
        <v>0</v>
      </c>
      <c r="AD12" s="603">
        <v>1</v>
      </c>
      <c r="AE12" s="604"/>
      <c r="AF12" s="88">
        <f t="shared" si="11"/>
        <v>4</v>
      </c>
      <c r="AG12" s="88">
        <f t="shared" si="1"/>
        <v>3.9777777777777779</v>
      </c>
      <c r="AH12" s="88">
        <f t="shared" si="2"/>
        <v>4.333333333333333</v>
      </c>
      <c r="AI12" s="358">
        <v>0</v>
      </c>
      <c r="AJ12" s="358">
        <v>0</v>
      </c>
      <c r="AK12" s="81">
        <v>120</v>
      </c>
      <c r="AL12" s="198"/>
      <c r="AM12" s="82">
        <f t="shared" si="3"/>
        <v>0</v>
      </c>
      <c r="AN12" s="220">
        <f t="shared" si="4"/>
        <v>2.5777777777777779</v>
      </c>
      <c r="AO12" s="15">
        <v>1.5</v>
      </c>
      <c r="AP12" s="220">
        <f t="shared" si="13"/>
        <v>-1.0777777777777779</v>
      </c>
      <c r="AQ12" s="15">
        <f t="shared" si="5"/>
        <v>-1.0777777777777779</v>
      </c>
    </row>
    <row r="13" spans="1:43" ht="15.95" customHeight="1" x14ac:dyDescent="0.25">
      <c r="A13" s="243">
        <v>60</v>
      </c>
      <c r="B13" s="243" t="s">
        <v>235</v>
      </c>
      <c r="C13" s="243" t="s">
        <v>277</v>
      </c>
      <c r="D13" s="243">
        <v>804661</v>
      </c>
      <c r="E13" s="244" t="s">
        <v>75</v>
      </c>
      <c r="F13" s="240">
        <v>0</v>
      </c>
      <c r="G13" s="40"/>
      <c r="H13" s="40"/>
      <c r="I13" s="40"/>
      <c r="J13" s="40"/>
      <c r="K13" s="262">
        <f t="shared" si="6"/>
        <v>0</v>
      </c>
      <c r="L13" s="40"/>
      <c r="M13" s="40"/>
      <c r="N13" s="40"/>
      <c r="O13" s="40"/>
      <c r="P13" s="262">
        <f t="shared" si="7"/>
        <v>0</v>
      </c>
      <c r="Q13" s="40"/>
      <c r="R13" s="40"/>
      <c r="S13" s="40"/>
      <c r="T13" s="40"/>
      <c r="U13" s="262">
        <f t="shared" si="8"/>
        <v>0</v>
      </c>
      <c r="V13" s="262">
        <f>+FRIGARSA!AB12</f>
        <v>510</v>
      </c>
      <c r="W13" s="262">
        <f>+FRESCO!BP13</f>
        <v>0</v>
      </c>
      <c r="X13" s="262">
        <f>+MEXIDELI!W12</f>
        <v>0</v>
      </c>
      <c r="Y13" s="387">
        <f t="shared" si="0"/>
        <v>510</v>
      </c>
      <c r="Z13" s="473">
        <f t="shared" si="10"/>
        <v>510</v>
      </c>
      <c r="AA13" s="473">
        <f t="shared" si="12"/>
        <v>508.88888888888891</v>
      </c>
      <c r="AB13" s="473">
        <f t="shared" ref="AB13:AB15" si="14">IF((AA13-($AD13*(NETWORKDAYS($AI$3,$AJ$3)/$O$2))+AJ13)&lt;=0,0,AA13-($AD13*(NETWORKDAYS($AJ$3,$AI$3)/$O$2))+AJ13)</f>
        <v>526.66666666666674</v>
      </c>
      <c r="AC13" s="474">
        <f>+MEXIDELI!AA12+FRESCO!BTO13+FRIGARSA!AA12</f>
        <v>20</v>
      </c>
      <c r="AD13" s="603">
        <v>50</v>
      </c>
      <c r="AE13" s="604"/>
      <c r="AF13" s="88">
        <f t="shared" si="11"/>
        <v>10.199999999999999</v>
      </c>
      <c r="AG13" s="88">
        <f t="shared" si="1"/>
        <v>10.177777777777779</v>
      </c>
      <c r="AH13" s="88">
        <f t="shared" si="2"/>
        <v>10.533333333333335</v>
      </c>
      <c r="AI13" s="358">
        <v>0</v>
      </c>
      <c r="AJ13" s="358">
        <v>0</v>
      </c>
      <c r="AK13" s="81"/>
      <c r="AL13" s="198"/>
      <c r="AM13" s="82">
        <f t="shared" si="3"/>
        <v>0</v>
      </c>
      <c r="AN13" s="220">
        <f t="shared" si="4"/>
        <v>8.7777777777777786</v>
      </c>
      <c r="AO13" s="15">
        <v>1.5</v>
      </c>
      <c r="AP13" s="220">
        <f t="shared" si="13"/>
        <v>-7.2777777777777786</v>
      </c>
      <c r="AQ13" s="15">
        <f t="shared" si="5"/>
        <v>-363.88888888888891</v>
      </c>
    </row>
    <row r="14" spans="1:43" ht="15.95" customHeight="1" x14ac:dyDescent="0.25">
      <c r="A14" s="243">
        <v>60</v>
      </c>
      <c r="B14" s="243" t="s">
        <v>235</v>
      </c>
      <c r="C14" s="243" t="s">
        <v>277</v>
      </c>
      <c r="D14" s="243">
        <v>806702</v>
      </c>
      <c r="E14" s="244" t="s">
        <v>76</v>
      </c>
      <c r="F14" s="240">
        <v>0</v>
      </c>
      <c r="G14" s="40"/>
      <c r="H14" s="40"/>
      <c r="I14" s="40"/>
      <c r="J14" s="40"/>
      <c r="K14" s="262">
        <f t="shared" si="6"/>
        <v>0</v>
      </c>
      <c r="L14" s="40"/>
      <c r="M14" s="40"/>
      <c r="N14" s="40"/>
      <c r="O14" s="40"/>
      <c r="P14" s="262">
        <f t="shared" si="7"/>
        <v>0</v>
      </c>
      <c r="Q14" s="40"/>
      <c r="R14" s="40"/>
      <c r="S14" s="40"/>
      <c r="T14" s="40"/>
      <c r="U14" s="262">
        <f t="shared" si="8"/>
        <v>0</v>
      </c>
      <c r="V14" s="262">
        <f>+FRIGARSA!AB13</f>
        <v>87</v>
      </c>
      <c r="W14" s="262">
        <f>+FRESCO!BP14</f>
        <v>0</v>
      </c>
      <c r="X14" s="262">
        <f>+MEXIDELI!W13</f>
        <v>0</v>
      </c>
      <c r="Y14" s="387">
        <f t="shared" si="0"/>
        <v>87</v>
      </c>
      <c r="Z14" s="473">
        <f t="shared" si="10"/>
        <v>87</v>
      </c>
      <c r="AA14" s="473">
        <f t="shared" si="12"/>
        <v>86.444444444444443</v>
      </c>
      <c r="AB14" s="473">
        <f t="shared" si="14"/>
        <v>95.333333333333329</v>
      </c>
      <c r="AC14" s="474">
        <f>+MEXIDELI!AA13+FRESCO!BTO14+FRIGARSA!AA13</f>
        <v>0</v>
      </c>
      <c r="AD14" s="603">
        <v>25</v>
      </c>
      <c r="AE14" s="604"/>
      <c r="AF14" s="88">
        <f t="shared" si="11"/>
        <v>3.48</v>
      </c>
      <c r="AG14" s="88">
        <f t="shared" si="1"/>
        <v>3.4577777777777778</v>
      </c>
      <c r="AH14" s="88">
        <f t="shared" si="2"/>
        <v>3.813333333333333</v>
      </c>
      <c r="AI14" s="358">
        <v>0</v>
      </c>
      <c r="AJ14" s="358">
        <v>0</v>
      </c>
      <c r="AK14" s="81">
        <v>120</v>
      </c>
      <c r="AL14" s="198"/>
      <c r="AM14" s="82">
        <f t="shared" si="3"/>
        <v>0</v>
      </c>
      <c r="AN14" s="220">
        <f t="shared" si="4"/>
        <v>2.0577777777777779</v>
      </c>
      <c r="AO14" s="15">
        <v>1.5</v>
      </c>
      <c r="AP14" s="220">
        <f t="shared" si="13"/>
        <v>-0.55777777777777793</v>
      </c>
      <c r="AQ14" s="15">
        <f t="shared" si="5"/>
        <v>-13.944444444444448</v>
      </c>
    </row>
    <row r="15" spans="1:43" ht="15.95" customHeight="1" x14ac:dyDescent="0.25">
      <c r="A15" s="508">
        <v>60</v>
      </c>
      <c r="B15" s="508" t="s">
        <v>283</v>
      </c>
      <c r="C15" s="508" t="s">
        <v>268</v>
      </c>
      <c r="D15" s="508">
        <v>505015</v>
      </c>
      <c r="E15" s="509" t="s">
        <v>95</v>
      </c>
      <c r="F15" s="240"/>
      <c r="G15" s="40"/>
      <c r="H15" s="40"/>
      <c r="I15" s="40"/>
      <c r="J15" s="40"/>
      <c r="K15" s="262"/>
      <c r="L15" s="40"/>
      <c r="M15" s="40"/>
      <c r="N15" s="40"/>
      <c r="O15" s="40"/>
      <c r="P15" s="262"/>
      <c r="Q15" s="40"/>
      <c r="R15" s="40"/>
      <c r="S15" s="40"/>
      <c r="T15" s="40"/>
      <c r="U15" s="466">
        <f t="shared" ref="U15" si="15">+P15+Q15+R15-S15-T15</f>
        <v>0</v>
      </c>
      <c r="V15" s="262"/>
      <c r="W15" s="262">
        <f>+FRESCO!BP13</f>
        <v>0</v>
      </c>
      <c r="X15" s="262">
        <f>+MEXIDELI!AB21</f>
        <v>811</v>
      </c>
      <c r="Y15" s="387">
        <f t="shared" si="0"/>
        <v>811</v>
      </c>
      <c r="Z15" s="473">
        <f t="shared" ref="Z15" si="16">+Y15</f>
        <v>811</v>
      </c>
      <c r="AA15" s="473">
        <f t="shared" si="12"/>
        <v>806.55555555555554</v>
      </c>
      <c r="AB15" s="473">
        <f t="shared" si="14"/>
        <v>877.66666666666663</v>
      </c>
      <c r="AC15" s="474">
        <f>+MEXIDELI!AA14+FRESCO!BTO15+FRIGARSA!AA14</f>
        <v>0</v>
      </c>
      <c r="AD15" s="603">
        <v>200</v>
      </c>
      <c r="AE15" s="604"/>
      <c r="AF15" s="88">
        <f t="shared" si="11"/>
        <v>4.0549999999999997</v>
      </c>
      <c r="AG15" s="88">
        <f t="shared" si="1"/>
        <v>4.0327777777777776</v>
      </c>
      <c r="AH15" s="88">
        <f t="shared" si="2"/>
        <v>4.3883333333333328</v>
      </c>
      <c r="AI15" s="358"/>
      <c r="AJ15" s="358">
        <v>0</v>
      </c>
      <c r="AK15" s="81"/>
      <c r="AL15" s="198"/>
      <c r="AM15" s="82"/>
      <c r="AN15" s="220"/>
      <c r="AP15" s="220"/>
    </row>
    <row r="16" spans="1:43" ht="15.95" customHeight="1" x14ac:dyDescent="0.25">
      <c r="A16" s="479"/>
      <c r="B16" s="479"/>
      <c r="C16" s="479"/>
      <c r="D16" s="479"/>
      <c r="E16" s="479" t="s">
        <v>255</v>
      </c>
      <c r="F16" s="480"/>
      <c r="G16" s="481"/>
      <c r="H16" s="481"/>
      <c r="I16" s="481"/>
      <c r="J16" s="481"/>
      <c r="K16" s="482"/>
      <c r="L16" s="481"/>
      <c r="M16" s="481"/>
      <c r="N16" s="481"/>
      <c r="O16" s="481"/>
      <c r="P16" s="482"/>
      <c r="Q16" s="481"/>
      <c r="R16" s="481"/>
      <c r="S16" s="481"/>
      <c r="T16" s="481"/>
      <c r="U16" s="482"/>
      <c r="V16" s="482"/>
      <c r="W16" s="482"/>
      <c r="X16" s="482"/>
      <c r="Y16" s="483"/>
      <c r="Z16" s="484"/>
      <c r="AA16" s="484"/>
      <c r="AB16" s="473"/>
      <c r="AC16" s="474">
        <f>+MEXIDELI!AA15+FRESCO!BTO16+FRIGARSA!AA15</f>
        <v>0</v>
      </c>
      <c r="AD16" s="485"/>
      <c r="AE16" s="601"/>
      <c r="AF16" s="486"/>
      <c r="AG16" s="486"/>
      <c r="AH16" s="88"/>
      <c r="AI16" s="487"/>
      <c r="AJ16" s="358">
        <v>0</v>
      </c>
      <c r="AK16" s="488"/>
      <c r="AL16" s="489"/>
      <c r="AM16" s="490"/>
      <c r="AN16" s="220"/>
      <c r="AP16" s="220"/>
    </row>
    <row r="17" spans="1:45" ht="15.95" customHeight="1" x14ac:dyDescent="0.25">
      <c r="A17" s="267">
        <v>60</v>
      </c>
      <c r="B17" s="267" t="s">
        <v>235</v>
      </c>
      <c r="C17" s="267" t="s">
        <v>268</v>
      </c>
      <c r="D17" s="267">
        <v>807769</v>
      </c>
      <c r="E17" s="268" t="s">
        <v>77</v>
      </c>
      <c r="F17" s="241">
        <v>72</v>
      </c>
      <c r="G17" s="265"/>
      <c r="H17" s="265">
        <v>72</v>
      </c>
      <c r="I17" s="265"/>
      <c r="J17" s="265">
        <f>48+6.2</f>
        <v>54.2</v>
      </c>
      <c r="K17" s="262">
        <f t="shared" si="6"/>
        <v>89.8</v>
      </c>
      <c r="L17" s="265"/>
      <c r="M17" s="265"/>
      <c r="N17" s="265"/>
      <c r="O17" s="265">
        <v>34</v>
      </c>
      <c r="P17" s="262">
        <f t="shared" si="7"/>
        <v>55.8</v>
      </c>
      <c r="Q17" s="265"/>
      <c r="R17" s="265"/>
      <c r="S17" s="265">
        <v>55.8</v>
      </c>
      <c r="T17" s="265"/>
      <c r="U17" s="262">
        <f t="shared" si="8"/>
        <v>0</v>
      </c>
      <c r="V17" s="262">
        <f>+FRIGARSA!AB14</f>
        <v>219</v>
      </c>
      <c r="W17" s="262">
        <f>+FRESCO!BU15</f>
        <v>737</v>
      </c>
      <c r="X17" s="262">
        <f>+MEXIDELI!W14</f>
        <v>0</v>
      </c>
      <c r="Y17" s="387">
        <f t="shared" ref="Y17:Y25" si="17">SUM(U17++V17+W17+X17)</f>
        <v>956</v>
      </c>
      <c r="Z17" s="473">
        <f t="shared" si="10"/>
        <v>956</v>
      </c>
      <c r="AA17" s="473">
        <f t="shared" ref="AA17:AA25" si="18">IF((Z17-($AD17*(NETWORKDAYS($AI$3,$AI$3)/$O$2))+AI17)&lt;=0,0,Z17-($AD17*(NETWORKDAYS($AI$3,$AI$3)/$O$2))+AI17)</f>
        <v>950.44444444444446</v>
      </c>
      <c r="AB17" s="473">
        <f>IF((AA17-($AD17*(NETWORKDAYS($AI$3,$AJ$3)/$O$2))+AJ17)&lt;=0,0,AA17-($AD17*(NETWORKDAYS($AJ$3,$AI$3)/$O$2))+AJ17)</f>
        <v>1039.3333333333333</v>
      </c>
      <c r="AC17" s="474">
        <f>+MEXIDELI!AA16+FRESCO!BTO17+FRIGARSA!AA16</f>
        <v>0</v>
      </c>
      <c r="AD17" s="603">
        <v>250</v>
      </c>
      <c r="AE17" s="604"/>
      <c r="AF17" s="88">
        <f>+Y17/AD17</f>
        <v>3.8239999999999998</v>
      </c>
      <c r="AG17" s="88">
        <f>+AA17/AD17</f>
        <v>3.8017777777777777</v>
      </c>
      <c r="AH17" s="88">
        <f t="shared" ref="AH17:AH25" si="19">+AB17/AD17</f>
        <v>4.1573333333333329</v>
      </c>
      <c r="AI17" s="358">
        <v>0</v>
      </c>
      <c r="AJ17" s="358">
        <v>0</v>
      </c>
      <c r="AK17" s="83">
        <v>120</v>
      </c>
      <c r="AL17" s="199"/>
      <c r="AM17" s="82">
        <f t="shared" ref="AM17:AM19" si="20">+AL17*AK17</f>
        <v>0</v>
      </c>
      <c r="AN17" s="220">
        <f t="shared" si="4"/>
        <v>2.4017777777777778</v>
      </c>
      <c r="AO17" s="15">
        <v>1.5</v>
      </c>
      <c r="AP17" s="220">
        <f t="shared" si="13"/>
        <v>-0.90177777777777779</v>
      </c>
      <c r="AQ17" s="15">
        <f t="shared" si="5"/>
        <v>-225.44444444444446</v>
      </c>
    </row>
    <row r="18" spans="1:45" ht="15.95" customHeight="1" x14ac:dyDescent="0.25">
      <c r="A18" s="267">
        <v>60</v>
      </c>
      <c r="B18" s="243" t="s">
        <v>235</v>
      </c>
      <c r="C18" s="243" t="s">
        <v>268</v>
      </c>
      <c r="D18" s="243">
        <v>807329</v>
      </c>
      <c r="E18" s="244" t="s">
        <v>78</v>
      </c>
      <c r="F18" s="241">
        <v>471</v>
      </c>
      <c r="G18" s="265"/>
      <c r="H18" s="265"/>
      <c r="I18" s="265"/>
      <c r="J18" s="265">
        <v>78</v>
      </c>
      <c r="K18" s="262">
        <f t="shared" si="6"/>
        <v>393</v>
      </c>
      <c r="L18" s="265"/>
      <c r="M18" s="265"/>
      <c r="N18" s="265"/>
      <c r="O18" s="265">
        <v>71</v>
      </c>
      <c r="P18" s="262">
        <f t="shared" si="7"/>
        <v>322</v>
      </c>
      <c r="Q18" s="265"/>
      <c r="R18" s="265"/>
      <c r="S18" s="265">
        <v>322</v>
      </c>
      <c r="T18" s="265"/>
      <c r="U18" s="262">
        <f t="shared" si="8"/>
        <v>0</v>
      </c>
      <c r="V18" s="262">
        <f>+FRIGARSA!W15</f>
        <v>0</v>
      </c>
      <c r="W18" s="262">
        <f>+FRESCO!BU16</f>
        <v>179</v>
      </c>
      <c r="X18" s="262">
        <f>+MEXIDELI!AB15</f>
        <v>164</v>
      </c>
      <c r="Y18" s="387">
        <f t="shared" si="17"/>
        <v>343</v>
      </c>
      <c r="Z18" s="473">
        <f t="shared" si="10"/>
        <v>343</v>
      </c>
      <c r="AA18" s="473">
        <f t="shared" si="18"/>
        <v>339.66666666666669</v>
      </c>
      <c r="AB18" s="473">
        <f>IF((AA18-($AD18*(NETWORKDAYS($AI$3,$AJ$3)/$O$2))+AJ18)&lt;=0,0,AA18-($AD18*(NETWORKDAYS($AJ$3,$AI$3)/$O$2))+AJ18)</f>
        <v>513</v>
      </c>
      <c r="AC18" s="474">
        <f>+MEXIDELI!AA17+FRESCO!BTO18+FRIGARSA!AA17</f>
        <v>0</v>
      </c>
      <c r="AD18" s="603">
        <v>150</v>
      </c>
      <c r="AE18" s="604"/>
      <c r="AF18" s="88">
        <f>+Y18/AD18</f>
        <v>2.2866666666666666</v>
      </c>
      <c r="AG18" s="88">
        <f>+AA18/AD18</f>
        <v>2.2644444444444445</v>
      </c>
      <c r="AH18" s="88">
        <f t="shared" si="19"/>
        <v>3.42</v>
      </c>
      <c r="AI18" s="358">
        <v>0</v>
      </c>
      <c r="AJ18" s="358">
        <v>120</v>
      </c>
      <c r="AK18" s="83">
        <v>120</v>
      </c>
      <c r="AL18" s="199"/>
      <c r="AM18" s="82">
        <f t="shared" si="20"/>
        <v>0</v>
      </c>
      <c r="AN18" s="220">
        <f t="shared" si="4"/>
        <v>0.86444444444444457</v>
      </c>
      <c r="AO18" s="15">
        <v>1.5</v>
      </c>
      <c r="AP18" s="220">
        <f t="shared" si="13"/>
        <v>0.63555555555555543</v>
      </c>
      <c r="AQ18" s="15">
        <f t="shared" si="5"/>
        <v>95.333333333333314</v>
      </c>
    </row>
    <row r="19" spans="1:45" ht="15.95" customHeight="1" x14ac:dyDescent="0.25">
      <c r="A19" s="267">
        <v>60</v>
      </c>
      <c r="B19" s="243" t="s">
        <v>235</v>
      </c>
      <c r="C19" s="243" t="s">
        <v>268</v>
      </c>
      <c r="D19" s="243">
        <v>805411</v>
      </c>
      <c r="E19" s="244" t="s">
        <v>79</v>
      </c>
      <c r="F19" s="241">
        <v>440</v>
      </c>
      <c r="G19" s="265"/>
      <c r="H19" s="265"/>
      <c r="I19" s="265"/>
      <c r="J19" s="265">
        <v>163</v>
      </c>
      <c r="K19" s="262">
        <f t="shared" si="6"/>
        <v>277</v>
      </c>
      <c r="L19" s="265"/>
      <c r="M19" s="265"/>
      <c r="N19" s="265"/>
      <c r="O19" s="265">
        <v>77</v>
      </c>
      <c r="P19" s="262">
        <f t="shared" si="7"/>
        <v>200</v>
      </c>
      <c r="Q19" s="265"/>
      <c r="R19" s="265"/>
      <c r="S19" s="265">
        <v>200</v>
      </c>
      <c r="T19" s="265"/>
      <c r="U19" s="262">
        <f t="shared" si="8"/>
        <v>0</v>
      </c>
      <c r="V19" s="262">
        <f>+FRIGARSA!W16</f>
        <v>0</v>
      </c>
      <c r="W19" s="262">
        <f>+FRESCO!BU17</f>
        <v>164</v>
      </c>
      <c r="X19" s="262">
        <f>+MEXIDELI!AB16</f>
        <v>165</v>
      </c>
      <c r="Y19" s="387">
        <f t="shared" si="17"/>
        <v>329</v>
      </c>
      <c r="Z19" s="473">
        <f t="shared" si="10"/>
        <v>329</v>
      </c>
      <c r="AA19" s="473">
        <f t="shared" si="18"/>
        <v>777.22222222222217</v>
      </c>
      <c r="AB19" s="473">
        <f>IF((AA19-($AD19*(NETWORKDAYS($AI$3,$AJ$3)/$O$2))+AJ19)&lt;=0,0,AA19-($AD19*(NETWORKDAYS($AJ$3,$AI$3)/$O$2))+AJ19)</f>
        <v>973.66666666666663</v>
      </c>
      <c r="AC19" s="474">
        <f>+MEXIDELI!AA18+FRESCO!BTO19+FRIGARSA!AA18</f>
        <v>0</v>
      </c>
      <c r="AD19" s="603">
        <v>350</v>
      </c>
      <c r="AE19" s="604"/>
      <c r="AF19" s="88">
        <f>+Y19/AD19</f>
        <v>0.94</v>
      </c>
      <c r="AG19" s="88">
        <f>+AA19/AD19</f>
        <v>2.2206349206349203</v>
      </c>
      <c r="AH19" s="88">
        <f t="shared" si="19"/>
        <v>2.7819047619047619</v>
      </c>
      <c r="AI19" s="358">
        <v>456</v>
      </c>
      <c r="AJ19" s="358">
        <f>432-360</f>
        <v>72</v>
      </c>
      <c r="AK19" s="83">
        <v>108</v>
      </c>
      <c r="AL19" s="199"/>
      <c r="AM19" s="82">
        <f t="shared" si="20"/>
        <v>0</v>
      </c>
      <c r="AN19" s="220">
        <f t="shared" si="4"/>
        <v>0.82063492063492038</v>
      </c>
      <c r="AO19" s="15">
        <v>1.5</v>
      </c>
      <c r="AP19" s="220">
        <f t="shared" si="13"/>
        <v>0.67936507936507962</v>
      </c>
      <c r="AQ19" s="15">
        <f t="shared" si="5"/>
        <v>237.77777777777786</v>
      </c>
    </row>
    <row r="20" spans="1:45" ht="15.95" customHeight="1" x14ac:dyDescent="0.25">
      <c r="A20" s="267">
        <v>60</v>
      </c>
      <c r="B20" s="243" t="s">
        <v>235</v>
      </c>
      <c r="C20" s="243" t="s">
        <v>268</v>
      </c>
      <c r="D20" s="243">
        <v>807679</v>
      </c>
      <c r="E20" s="244" t="s">
        <v>80</v>
      </c>
      <c r="F20" s="241">
        <v>33</v>
      </c>
      <c r="G20" s="265"/>
      <c r="H20" s="265">
        <v>72</v>
      </c>
      <c r="I20" s="265"/>
      <c r="J20" s="265">
        <v>79</v>
      </c>
      <c r="K20" s="262">
        <f t="shared" si="6"/>
        <v>26</v>
      </c>
      <c r="L20" s="265"/>
      <c r="M20" s="265"/>
      <c r="N20" s="265"/>
      <c r="O20" s="265">
        <v>9</v>
      </c>
      <c r="P20" s="262">
        <f t="shared" si="7"/>
        <v>17</v>
      </c>
      <c r="Q20" s="265"/>
      <c r="R20" s="265"/>
      <c r="S20" s="265">
        <v>17</v>
      </c>
      <c r="T20" s="265"/>
      <c r="U20" s="262">
        <f t="shared" si="8"/>
        <v>0</v>
      </c>
      <c r="V20" s="262">
        <f>+FRIGARSA!W17</f>
        <v>0</v>
      </c>
      <c r="W20" s="262">
        <f>+FRESCO!BU18</f>
        <v>33</v>
      </c>
      <c r="X20" s="262">
        <f>+MEXIDELI!AB17</f>
        <v>126</v>
      </c>
      <c r="Y20" s="387">
        <f t="shared" si="17"/>
        <v>159</v>
      </c>
      <c r="Z20" s="473">
        <f t="shared" si="10"/>
        <v>159</v>
      </c>
      <c r="AA20" s="473">
        <f t="shared" si="18"/>
        <v>155.66666666666666</v>
      </c>
      <c r="AB20" s="473">
        <f>IF((AA20-($AD20*(NETWORKDAYS($AI$3,$AJ$3)/$O$2))+AJ20)&lt;=0,0,AA20-($AD20*(NETWORKDAYS($AJ$3,$AI$3)/$O$2))+AJ20)</f>
        <v>449</v>
      </c>
      <c r="AC20" s="474">
        <f>+MEXIDELI!AA19+FRESCO!BTO20+FRIGARSA!AA19</f>
        <v>0</v>
      </c>
      <c r="AD20" s="603">
        <v>150</v>
      </c>
      <c r="AE20" s="604"/>
      <c r="AF20" s="88">
        <f>+Y20/AD20</f>
        <v>1.06</v>
      </c>
      <c r="AG20" s="88">
        <f>+AA20/AD20</f>
        <v>1.0377777777777777</v>
      </c>
      <c r="AH20" s="88">
        <f t="shared" si="19"/>
        <v>2.9933333333333332</v>
      </c>
      <c r="AI20" s="358">
        <v>0</v>
      </c>
      <c r="AJ20" s="358">
        <f>600+-360</f>
        <v>240</v>
      </c>
      <c r="AK20" s="83">
        <v>120</v>
      </c>
      <c r="AL20" s="199"/>
      <c r="AM20" s="84">
        <f>+AL20*AK20</f>
        <v>0</v>
      </c>
      <c r="AN20" s="220">
        <f t="shared" si="4"/>
        <v>-0.36222222222222222</v>
      </c>
      <c r="AO20" s="15">
        <v>1.5</v>
      </c>
      <c r="AP20" s="220">
        <f t="shared" si="13"/>
        <v>1.8622222222222222</v>
      </c>
      <c r="AQ20" s="15">
        <f t="shared" si="5"/>
        <v>279.33333333333331</v>
      </c>
    </row>
    <row r="21" spans="1:45" ht="15.95" customHeight="1" x14ac:dyDescent="0.25">
      <c r="A21" s="267">
        <v>60</v>
      </c>
      <c r="B21" s="243" t="s">
        <v>235</v>
      </c>
      <c r="C21" s="243" t="s">
        <v>268</v>
      </c>
      <c r="D21" s="243">
        <v>805168</v>
      </c>
      <c r="E21" s="244" t="s">
        <v>81</v>
      </c>
      <c r="F21" s="241">
        <v>403</v>
      </c>
      <c r="G21" s="265"/>
      <c r="H21" s="265"/>
      <c r="I21" s="265"/>
      <c r="J21" s="265">
        <v>6</v>
      </c>
      <c r="K21" s="262">
        <f t="shared" si="6"/>
        <v>397</v>
      </c>
      <c r="L21" s="265"/>
      <c r="M21" s="265"/>
      <c r="N21" s="265"/>
      <c r="O21" s="265"/>
      <c r="P21" s="262">
        <f t="shared" si="7"/>
        <v>397</v>
      </c>
      <c r="Q21" s="265"/>
      <c r="R21" s="265"/>
      <c r="S21" s="265">
        <v>397</v>
      </c>
      <c r="T21" s="265"/>
      <c r="U21" s="466">
        <f t="shared" si="8"/>
        <v>0</v>
      </c>
      <c r="V21" s="262">
        <f>+FRIGARSA!W18</f>
        <v>0</v>
      </c>
      <c r="W21" s="262">
        <f>+FRESCO!BU19</f>
        <v>96</v>
      </c>
      <c r="X21" s="262">
        <f>+MEXIDELI!AB18</f>
        <v>301</v>
      </c>
      <c r="Y21" s="387">
        <f t="shared" si="17"/>
        <v>397</v>
      </c>
      <c r="Z21" s="473">
        <f t="shared" si="10"/>
        <v>397</v>
      </c>
      <c r="AA21" s="473">
        <f t="shared" si="18"/>
        <v>395.53333333333336</v>
      </c>
      <c r="AB21" s="473">
        <f>IF((AA21-($AD21*(NETWORKDAYS($AI$3,$AJ$3)/$O$2))+AJ21)&lt;=0,0,AA21-($AD21*(NETWORKDAYS($AJ$3,$AI$3)/$O$2))+AJ21)</f>
        <v>419</v>
      </c>
      <c r="AC21" s="474">
        <f>+MEXIDELI!AA20+FRESCO!BTO21+FRIGARSA!AA20</f>
        <v>0</v>
      </c>
      <c r="AD21" s="603">
        <v>66</v>
      </c>
      <c r="AE21" s="604"/>
      <c r="AF21" s="88">
        <f>+Y21/AD21</f>
        <v>6.0151515151515156</v>
      </c>
      <c r="AG21" s="88">
        <f>+AA21/AD21</f>
        <v>5.9929292929292934</v>
      </c>
      <c r="AH21" s="88">
        <f t="shared" si="19"/>
        <v>6.3484848484848486</v>
      </c>
      <c r="AI21" s="358">
        <v>0</v>
      </c>
      <c r="AJ21" s="358">
        <v>0</v>
      </c>
      <c r="AK21" s="83"/>
      <c r="AL21" s="199"/>
      <c r="AM21" s="84"/>
      <c r="AN21" s="220">
        <f t="shared" si="4"/>
        <v>4.5929292929292931</v>
      </c>
      <c r="AO21" s="15">
        <v>1.5</v>
      </c>
      <c r="AP21" s="220">
        <f t="shared" si="13"/>
        <v>-3.0929292929292931</v>
      </c>
      <c r="AQ21" s="15">
        <f t="shared" si="5"/>
        <v>-204.13333333333335</v>
      </c>
    </row>
    <row r="22" spans="1:45" ht="15.95" hidden="1" customHeight="1" x14ac:dyDescent="0.25">
      <c r="A22" s="267">
        <v>60</v>
      </c>
      <c r="B22" s="243" t="s">
        <v>235</v>
      </c>
      <c r="C22" s="243" t="s">
        <v>280</v>
      </c>
      <c r="D22" s="243">
        <v>807363</v>
      </c>
      <c r="E22" s="244" t="s">
        <v>82</v>
      </c>
      <c r="F22" s="241"/>
      <c r="G22" s="265"/>
      <c r="H22" s="265"/>
      <c r="I22" s="265"/>
      <c r="J22" s="265"/>
      <c r="K22" s="262">
        <f t="shared" si="6"/>
        <v>0</v>
      </c>
      <c r="L22" s="265"/>
      <c r="M22" s="265"/>
      <c r="N22" s="265"/>
      <c r="O22" s="265"/>
      <c r="P22" s="262">
        <f t="shared" si="7"/>
        <v>0</v>
      </c>
      <c r="Q22" s="265"/>
      <c r="R22" s="265"/>
      <c r="S22" s="265"/>
      <c r="T22" s="265"/>
      <c r="U22" s="262">
        <f t="shared" si="8"/>
        <v>0</v>
      </c>
      <c r="V22" s="262">
        <f>+FRIGARSA!W19</f>
        <v>0</v>
      </c>
      <c r="W22" s="262">
        <f>+FRESCO!BP20</f>
        <v>0</v>
      </c>
      <c r="X22" s="262">
        <f>+MEXIDELI!W19</f>
        <v>0</v>
      </c>
      <c r="Y22" s="387">
        <f t="shared" si="17"/>
        <v>0</v>
      </c>
      <c r="Z22" s="473">
        <f t="shared" si="10"/>
        <v>0</v>
      </c>
      <c r="AA22" s="473">
        <f t="shared" si="18"/>
        <v>0</v>
      </c>
      <c r="AB22" s="473">
        <f>IF((AA22-($AD22*(NETWORKDAYS($AJ$3,$AJ$3)/$O$2))+AJ22)&lt;=0,0,AA22-($AD22*(NETWORKDAYS($AJ$3,$AJ$3)/$O$2))+AJ22)</f>
        <v>0</v>
      </c>
      <c r="AC22" s="474">
        <f>+MEXIDELI!AA21+FRESCO!BTO22+FRIGARSA!AA21</f>
        <v>7</v>
      </c>
      <c r="AD22" s="603">
        <v>0</v>
      </c>
      <c r="AE22" s="604"/>
      <c r="AF22" s="88"/>
      <c r="AG22" s="88"/>
      <c r="AH22" s="88" t="e">
        <f t="shared" si="19"/>
        <v>#DIV/0!</v>
      </c>
      <c r="AI22" s="358">
        <v>0</v>
      </c>
      <c r="AJ22" s="358">
        <v>0</v>
      </c>
      <c r="AK22" s="83"/>
      <c r="AL22" s="199"/>
      <c r="AM22" s="84"/>
    </row>
    <row r="23" spans="1:45" ht="15.95" customHeight="1" thickBot="1" x14ac:dyDescent="0.3">
      <c r="A23" s="267">
        <v>60</v>
      </c>
      <c r="B23" s="243" t="s">
        <v>235</v>
      </c>
      <c r="C23" s="243" t="s">
        <v>268</v>
      </c>
      <c r="D23" s="263">
        <v>809529</v>
      </c>
      <c r="E23" s="264" t="s">
        <v>83</v>
      </c>
      <c r="F23" s="241"/>
      <c r="G23" s="265"/>
      <c r="H23" s="265"/>
      <c r="I23" s="265"/>
      <c r="J23" s="265"/>
      <c r="K23" s="262">
        <f t="shared" si="6"/>
        <v>0</v>
      </c>
      <c r="L23" s="265"/>
      <c r="M23" s="265"/>
      <c r="N23" s="265"/>
      <c r="O23" s="265"/>
      <c r="P23" s="262">
        <f t="shared" si="7"/>
        <v>0</v>
      </c>
      <c r="Q23" s="265"/>
      <c r="R23" s="265"/>
      <c r="S23" s="265"/>
      <c r="T23" s="265"/>
      <c r="U23" s="262">
        <f t="shared" si="8"/>
        <v>0</v>
      </c>
      <c r="V23" s="262">
        <f>+FRIGARSA!W20</f>
        <v>0</v>
      </c>
      <c r="W23" s="262">
        <f>+FRESCO!BU21</f>
        <v>391</v>
      </c>
      <c r="X23" s="262">
        <f>+MEXIDELI!W20</f>
        <v>0</v>
      </c>
      <c r="Y23" s="387">
        <f t="shared" si="17"/>
        <v>391</v>
      </c>
      <c r="Z23" s="473">
        <f t="shared" si="10"/>
        <v>391</v>
      </c>
      <c r="AA23" s="473">
        <f t="shared" si="18"/>
        <v>390.73333333333335</v>
      </c>
      <c r="AB23" s="473">
        <f>IF((AA23-($AD23*(NETWORKDAYS($AI$3,$AJ$3)/$O$2))+AJ23)&lt;=0,0,AA23-($AD23*(NETWORKDAYS($AJ$3,$AI$3)/$O$2))+AJ23)</f>
        <v>395</v>
      </c>
      <c r="AC23" s="474">
        <f>+MEXIDELI!AA22+FRESCO!BTO23+FRIGARSA!AA22</f>
        <v>0</v>
      </c>
      <c r="AD23" s="603">
        <v>12</v>
      </c>
      <c r="AE23" s="604"/>
      <c r="AF23" s="88">
        <f>+Y23/AD23</f>
        <v>32.583333333333336</v>
      </c>
      <c r="AG23" s="88">
        <f>+AA23/AD23</f>
        <v>32.56111111111111</v>
      </c>
      <c r="AH23" s="88">
        <f t="shared" si="19"/>
        <v>32.916666666666664</v>
      </c>
      <c r="AI23" s="358">
        <v>0</v>
      </c>
      <c r="AJ23" s="358">
        <v>0</v>
      </c>
      <c r="AK23" s="83"/>
      <c r="AL23" s="199"/>
      <c r="AM23" s="84"/>
    </row>
    <row r="24" spans="1:45" ht="15.95" hidden="1" customHeight="1" thickBot="1" x14ac:dyDescent="0.3">
      <c r="D24" s="243"/>
      <c r="E24" s="244"/>
      <c r="F24" s="240"/>
      <c r="G24" s="40"/>
      <c r="H24" s="40"/>
      <c r="I24" s="40"/>
      <c r="J24" s="40"/>
      <c r="K24" s="262"/>
      <c r="L24" s="40"/>
      <c r="M24" s="40"/>
      <c r="N24" s="40"/>
      <c r="O24" s="40"/>
      <c r="P24" s="262"/>
      <c r="Q24" s="40"/>
      <c r="R24" s="40"/>
      <c r="S24" s="40"/>
      <c r="T24" s="40"/>
      <c r="U24" s="262">
        <f t="shared" si="8"/>
        <v>0</v>
      </c>
      <c r="V24" s="262"/>
      <c r="W24" s="262">
        <f>+FRESCO!BP23</f>
        <v>0</v>
      </c>
      <c r="X24" s="440"/>
      <c r="Y24" s="387">
        <f t="shared" si="17"/>
        <v>0</v>
      </c>
      <c r="Z24" s="25">
        <f t="shared" si="10"/>
        <v>0</v>
      </c>
      <c r="AA24" s="25">
        <f t="shared" si="18"/>
        <v>0</v>
      </c>
      <c r="AB24" s="473">
        <f>IF((AA24-($AD24*(NETWORKDAYS($AJ$3,$AJ$3)/$O$2))+AJ24)&lt;=0,0,AA24-($AD24*(NETWORKDAYS($AJ$3,$AJ$3)/$O$2))+AJ24)</f>
        <v>0</v>
      </c>
      <c r="AC24" s="390"/>
      <c r="AD24" s="139"/>
      <c r="AE24" s="139"/>
      <c r="AF24" s="143"/>
      <c r="AG24" s="143"/>
      <c r="AH24" s="88" t="e">
        <f t="shared" si="19"/>
        <v>#DIV/0!</v>
      </c>
      <c r="AI24" s="358"/>
      <c r="AJ24" s="358"/>
      <c r="AK24" s="81">
        <v>120</v>
      </c>
      <c r="AL24" s="151"/>
      <c r="AM24" s="82">
        <f t="shared" ref="AM24:AM25" si="21">+AL24*AK24</f>
        <v>0</v>
      </c>
    </row>
    <row r="25" spans="1:45" ht="15.95" hidden="1" customHeight="1" thickBot="1" x14ac:dyDescent="0.3">
      <c r="D25" s="243"/>
      <c r="E25" s="244"/>
      <c r="F25" s="240"/>
      <c r="G25" s="40"/>
      <c r="H25" s="40"/>
      <c r="I25" s="40"/>
      <c r="J25" s="40"/>
      <c r="K25" s="262"/>
      <c r="L25" s="40"/>
      <c r="M25" s="40"/>
      <c r="N25" s="40"/>
      <c r="O25" s="40"/>
      <c r="P25" s="262"/>
      <c r="Q25" s="40"/>
      <c r="R25" s="40"/>
      <c r="S25" s="40"/>
      <c r="T25" s="40"/>
      <c r="U25" s="262">
        <f t="shared" si="8"/>
        <v>0</v>
      </c>
      <c r="V25" s="262"/>
      <c r="W25" s="262">
        <f>+FRESCO!BP24</f>
        <v>0</v>
      </c>
      <c r="X25" s="440"/>
      <c r="Y25" s="387">
        <f t="shared" si="17"/>
        <v>0</v>
      </c>
      <c r="Z25" s="25">
        <f t="shared" si="10"/>
        <v>0</v>
      </c>
      <c r="AA25" s="25">
        <f t="shared" si="18"/>
        <v>0</v>
      </c>
      <c r="AB25" s="473">
        <f>IF((AA25-($AD25*(NETWORKDAYS($AJ$3,$AJ$3)/$O$2))+AJ25)&lt;=0,0,AA25-($AD25*(NETWORKDAYS($AJ$3,$AJ$3)/$O$2))+AJ25)</f>
        <v>0</v>
      </c>
      <c r="AC25" s="390"/>
      <c r="AD25" s="139"/>
      <c r="AE25" s="139"/>
      <c r="AF25" s="143"/>
      <c r="AG25" s="143"/>
      <c r="AH25" s="88" t="e">
        <f t="shared" si="19"/>
        <v>#DIV/0!</v>
      </c>
      <c r="AI25" s="38"/>
      <c r="AJ25" s="38"/>
      <c r="AK25" s="81">
        <v>108</v>
      </c>
      <c r="AL25" s="151"/>
      <c r="AM25" s="82">
        <f t="shared" si="21"/>
        <v>0</v>
      </c>
    </row>
    <row r="26" spans="1:45" ht="24" customHeight="1" thickBot="1" x14ac:dyDescent="0.3">
      <c r="D26" s="626" t="s">
        <v>224</v>
      </c>
      <c r="E26" s="627"/>
      <c r="F26" s="247">
        <f t="shared" ref="F26:Z26" si="22">+SUM(F4:F25)</f>
        <v>2101</v>
      </c>
      <c r="G26" s="247">
        <f t="shared" si="22"/>
        <v>0</v>
      </c>
      <c r="H26" s="247">
        <f t="shared" si="22"/>
        <v>144</v>
      </c>
      <c r="I26" s="247">
        <f t="shared" si="22"/>
        <v>230</v>
      </c>
      <c r="J26" s="247">
        <f t="shared" si="22"/>
        <v>529.20000000000005</v>
      </c>
      <c r="K26" s="247">
        <f t="shared" si="22"/>
        <v>1485.8</v>
      </c>
      <c r="L26" s="247">
        <f t="shared" si="22"/>
        <v>0</v>
      </c>
      <c r="M26" s="247">
        <f t="shared" si="22"/>
        <v>0</v>
      </c>
      <c r="N26" s="247">
        <f t="shared" si="22"/>
        <v>0</v>
      </c>
      <c r="O26" s="247">
        <f t="shared" si="22"/>
        <v>240</v>
      </c>
      <c r="P26" s="247">
        <f t="shared" si="22"/>
        <v>1245.8</v>
      </c>
      <c r="Q26" s="247">
        <f t="shared" si="22"/>
        <v>0</v>
      </c>
      <c r="R26" s="247">
        <f t="shared" si="22"/>
        <v>0</v>
      </c>
      <c r="S26" s="247">
        <f t="shared" si="22"/>
        <v>1227.8</v>
      </c>
      <c r="T26" s="247">
        <f t="shared" si="22"/>
        <v>18</v>
      </c>
      <c r="U26" s="247">
        <f t="shared" si="22"/>
        <v>0</v>
      </c>
      <c r="V26" s="247">
        <f t="shared" si="22"/>
        <v>930.80000000000018</v>
      </c>
      <c r="W26" s="247">
        <f t="shared" si="22"/>
        <v>1614</v>
      </c>
      <c r="X26" s="247">
        <f t="shared" si="22"/>
        <v>3087</v>
      </c>
      <c r="Y26" s="291">
        <f>+SUM(Y4:Y25)</f>
        <v>5631.8</v>
      </c>
      <c r="Z26" s="388">
        <f t="shared" si="22"/>
        <v>5631.8</v>
      </c>
      <c r="AA26" s="290"/>
      <c r="AB26" s="290"/>
      <c r="AC26" s="290">
        <f>SUM(AC4:AC25)</f>
        <v>411</v>
      </c>
      <c r="AD26" s="247">
        <f>+SUM(AD4:AD25)</f>
        <v>3166</v>
      </c>
      <c r="AE26" s="247">
        <f>+SUM(AE4:AE25)</f>
        <v>0</v>
      </c>
      <c r="AF26" s="247">
        <f>+SUM(AF4:AF25)</f>
        <v>77.948677156177155</v>
      </c>
      <c r="AG26" s="247"/>
      <c r="AH26" s="247"/>
      <c r="AI26" s="247">
        <f>+SUM(AI4:AI25)</f>
        <v>1476</v>
      </c>
      <c r="AJ26" s="247">
        <f>+SUM(AJ4:AJ25)</f>
        <v>1548</v>
      </c>
      <c r="AK26" s="247">
        <f>+SUM(AK4:AK25)</f>
        <v>1728</v>
      </c>
      <c r="AL26" s="247">
        <f>+SUM(AL4:AL25)</f>
        <v>0</v>
      </c>
      <c r="AM26" s="247">
        <f>+SUM(AM4:AM25)</f>
        <v>0</v>
      </c>
    </row>
    <row r="27" spans="1:45" ht="14.25" thickBot="1" x14ac:dyDescent="0.3"/>
    <row r="28" spans="1:45" ht="15.75" thickBot="1" x14ac:dyDescent="0.3">
      <c r="F28" s="242">
        <f>+F26</f>
        <v>2101</v>
      </c>
      <c r="G28" s="242">
        <f t="shared" ref="G28:W28" si="23">+G26</f>
        <v>0</v>
      </c>
      <c r="H28" s="242">
        <f t="shared" si="23"/>
        <v>144</v>
      </c>
      <c r="I28" s="242">
        <f t="shared" si="23"/>
        <v>230</v>
      </c>
      <c r="J28" s="242">
        <f>+J26</f>
        <v>529.20000000000005</v>
      </c>
      <c r="K28" s="242">
        <f>+K26</f>
        <v>1485.8</v>
      </c>
      <c r="L28" s="242"/>
      <c r="M28" s="242"/>
      <c r="N28" s="242"/>
      <c r="O28" s="242"/>
      <c r="P28" s="242">
        <f t="shared" si="23"/>
        <v>1245.8</v>
      </c>
      <c r="Q28" s="242"/>
      <c r="R28" s="242"/>
      <c r="S28" s="242"/>
      <c r="T28" s="242"/>
      <c r="U28" s="242"/>
      <c r="V28" s="242">
        <f t="shared" si="23"/>
        <v>930.80000000000018</v>
      </c>
      <c r="W28" s="242">
        <f t="shared" si="23"/>
        <v>1614</v>
      </c>
      <c r="X28" s="242"/>
      <c r="Y28" s="242">
        <f>+Y26</f>
        <v>5631.8</v>
      </c>
    </row>
    <row r="29" spans="1:45" ht="15.75" thickBot="1" x14ac:dyDescent="0.3">
      <c r="F29" s="242">
        <f>+F28/50</f>
        <v>42.02</v>
      </c>
      <c r="J29" s="242" t="s">
        <v>219</v>
      </c>
      <c r="K29"/>
      <c r="L29"/>
      <c r="M29"/>
      <c r="N29"/>
      <c r="O29"/>
      <c r="Q29"/>
      <c r="R29"/>
      <c r="S29"/>
      <c r="T29"/>
      <c r="Y29" s="533">
        <f>+Y28/1576</f>
        <v>3.5734771573604061</v>
      </c>
    </row>
    <row r="30" spans="1:45" x14ac:dyDescent="0.25">
      <c r="Y30" s="478"/>
      <c r="AA30" s="392"/>
    </row>
    <row r="31" spans="1:45" x14ac:dyDescent="0.25">
      <c r="Y31" s="614"/>
      <c r="AS31" s="468"/>
    </row>
    <row r="32" spans="1:45" x14ac:dyDescent="0.25">
      <c r="AS32" s="468"/>
    </row>
  </sheetData>
  <mergeCells count="9">
    <mergeCell ref="AI1:AJ1"/>
    <mergeCell ref="AK1:AM1"/>
    <mergeCell ref="D26:E26"/>
    <mergeCell ref="AL2:AM2"/>
    <mergeCell ref="AK2:AK3"/>
    <mergeCell ref="Z2:AB2"/>
    <mergeCell ref="AF2:AH2"/>
    <mergeCell ref="AD2:AD3"/>
    <mergeCell ref="AE2:AE3"/>
  </mergeCells>
  <conditionalFormatting sqref="AF4:AH15 AF17:AG23 AH17:AH25">
    <cfRule type="cellIs" dxfId="7" priority="1" operator="lessThan">
      <formula>1.5</formula>
    </cfRule>
    <cfRule type="cellIs" dxfId="6" priority="2" operator="lessThan">
      <formula>1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F437E-D1DA-4E07-94AA-63860C3492C4}">
  <sheetPr>
    <tabColor rgb="FFFF3300"/>
  </sheetPr>
  <dimension ref="A1:AB27"/>
  <sheetViews>
    <sheetView showGridLines="0" zoomScale="85" zoomScaleNormal="85" workbookViewId="0">
      <pane xSplit="2" ySplit="1" topLeftCell="I2" activePane="bottomRight" state="frozen"/>
      <selection pane="topRight" activeCell="D1" sqref="D1"/>
      <selection pane="bottomLeft" activeCell="A2" sqref="A2"/>
      <selection pane="bottomRight" activeCell="AA13" sqref="AA13"/>
    </sheetView>
  </sheetViews>
  <sheetFormatPr baseColWidth="10" defaultColWidth="11.42578125" defaultRowHeight="13.5" x14ac:dyDescent="0.25"/>
  <cols>
    <col min="1" max="1" width="9.85546875" style="34" customWidth="1"/>
    <col min="2" max="2" width="51.5703125" style="33" customWidth="1"/>
    <col min="3" max="3" width="11.42578125" style="347"/>
    <col min="4" max="4" width="9" style="347" bestFit="1" customWidth="1"/>
    <col min="5" max="5" width="9.5703125" style="347" customWidth="1"/>
    <col min="6" max="6" width="7.85546875" style="347" customWidth="1"/>
    <col min="7" max="7" width="10.5703125" style="347" bestFit="1" customWidth="1"/>
    <col min="8" max="8" width="10.85546875" style="347" bestFit="1" customWidth="1"/>
    <col min="9" max="9" width="9" style="347" bestFit="1" customWidth="1"/>
    <col min="10" max="10" width="9.5703125" style="347" customWidth="1"/>
    <col min="11" max="11" width="7.85546875" style="347" customWidth="1"/>
    <col min="12" max="12" width="10.5703125" style="347" bestFit="1" customWidth="1"/>
    <col min="13" max="13" width="10.85546875" style="347" bestFit="1" customWidth="1"/>
    <col min="14" max="14" width="9" style="347" bestFit="1" customWidth="1"/>
    <col min="15" max="15" width="9.5703125" style="347" customWidth="1"/>
    <col min="16" max="16" width="7.85546875" style="347" customWidth="1"/>
    <col min="17" max="17" width="10.5703125" style="347" bestFit="1" customWidth="1"/>
    <col min="18" max="18" width="10.85546875" style="347" bestFit="1" customWidth="1"/>
    <col min="19" max="23" width="10.85546875" style="347" customWidth="1"/>
    <col min="24" max="16384" width="11.42578125" style="15"/>
  </cols>
  <sheetData>
    <row r="1" spans="1:28" ht="45" customHeight="1" x14ac:dyDescent="0.25">
      <c r="A1"/>
      <c r="B1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328"/>
    </row>
    <row r="2" spans="1:28" ht="45" x14ac:dyDescent="0.25">
      <c r="A2" s="1" t="s">
        <v>52</v>
      </c>
      <c r="B2" s="6" t="s">
        <v>53</v>
      </c>
      <c r="C2" s="329" t="s">
        <v>192</v>
      </c>
      <c r="D2" s="334" t="s">
        <v>193</v>
      </c>
      <c r="E2" s="334" t="s">
        <v>194</v>
      </c>
      <c r="F2" s="334" t="s">
        <v>195</v>
      </c>
      <c r="G2" s="335" t="s">
        <v>196</v>
      </c>
      <c r="H2" s="317" t="s">
        <v>197</v>
      </c>
      <c r="I2" s="334" t="s">
        <v>193</v>
      </c>
      <c r="J2" s="334" t="s">
        <v>194</v>
      </c>
      <c r="K2" s="334" t="s">
        <v>195</v>
      </c>
      <c r="L2" s="335" t="s">
        <v>196</v>
      </c>
      <c r="M2" s="317" t="s">
        <v>220</v>
      </c>
      <c r="N2" s="334" t="s">
        <v>193</v>
      </c>
      <c r="O2" s="334" t="s">
        <v>194</v>
      </c>
      <c r="P2" s="334" t="s">
        <v>195</v>
      </c>
      <c r="Q2" s="335" t="s">
        <v>196</v>
      </c>
      <c r="R2" s="317" t="s">
        <v>199</v>
      </c>
      <c r="S2" s="334" t="s">
        <v>193</v>
      </c>
      <c r="T2" s="334" t="s">
        <v>194</v>
      </c>
      <c r="U2" s="334" t="s">
        <v>195</v>
      </c>
      <c r="V2" s="335" t="s">
        <v>196</v>
      </c>
      <c r="W2" s="317" t="s">
        <v>200</v>
      </c>
      <c r="X2" s="334" t="s">
        <v>193</v>
      </c>
      <c r="Y2" s="334" t="s">
        <v>194</v>
      </c>
      <c r="Z2" s="334" t="s">
        <v>195</v>
      </c>
      <c r="AA2" s="335" t="s">
        <v>196</v>
      </c>
      <c r="AB2" s="317" t="s">
        <v>201</v>
      </c>
    </row>
    <row r="3" spans="1:28" ht="15.95" customHeight="1" x14ac:dyDescent="0.25">
      <c r="A3" s="243">
        <v>806685</v>
      </c>
      <c r="B3" s="244" t="s">
        <v>57</v>
      </c>
      <c r="C3" s="240">
        <v>45.3</v>
      </c>
      <c r="D3" s="357"/>
      <c r="E3" s="357">
        <v>2004</v>
      </c>
      <c r="F3" s="357"/>
      <c r="G3" s="357">
        <v>607</v>
      </c>
      <c r="H3" s="262">
        <f>+C3+D3+E3-F3-G3</f>
        <v>1442.3000000000002</v>
      </c>
      <c r="I3" s="357"/>
      <c r="J3" s="357"/>
      <c r="K3" s="357"/>
      <c r="L3" s="357">
        <v>753</v>
      </c>
      <c r="M3" s="262">
        <f>+H3+I3+J3-K3-L3</f>
        <v>689.30000000000018</v>
      </c>
      <c r="N3" s="357"/>
      <c r="O3" s="357">
        <v>25</v>
      </c>
      <c r="P3" s="357"/>
      <c r="Q3" s="357">
        <v>687</v>
      </c>
      <c r="R3" s="262">
        <f>+M3+N3+O3-P3-Q3</f>
        <v>27.300000000000182</v>
      </c>
      <c r="S3" s="357"/>
      <c r="T3" s="357"/>
      <c r="U3" s="357"/>
      <c r="V3" s="357">
        <v>25</v>
      </c>
      <c r="W3" s="262">
        <f>+R3+S3+T3-U3-V3</f>
        <v>2.3000000000001819</v>
      </c>
      <c r="X3" s="357"/>
      <c r="Y3" s="357"/>
      <c r="Z3" s="357"/>
      <c r="AA3" s="357"/>
      <c r="AB3" s="262">
        <f>+W3+X3+Y3-Z3-AA3</f>
        <v>2.3000000000001819</v>
      </c>
    </row>
    <row r="4" spans="1:28" ht="15.95" customHeight="1" x14ac:dyDescent="0.25">
      <c r="A4" s="243">
        <v>806939</v>
      </c>
      <c r="B4" s="244" t="s">
        <v>67</v>
      </c>
      <c r="C4" s="240">
        <v>72</v>
      </c>
      <c r="D4" s="357"/>
      <c r="E4" s="357"/>
      <c r="F4" s="357"/>
      <c r="G4" s="357">
        <v>58</v>
      </c>
      <c r="H4" s="262">
        <f t="shared" ref="H4:H20" si="0">+C4+D4+E4-F4-G4</f>
        <v>14</v>
      </c>
      <c r="I4" s="357"/>
      <c r="J4" s="357"/>
      <c r="K4" s="357"/>
      <c r="L4" s="357">
        <v>5</v>
      </c>
      <c r="M4" s="262">
        <f t="shared" ref="M4:M20" si="1">+H4+I4+J4-K4-L4</f>
        <v>9</v>
      </c>
      <c r="N4" s="357"/>
      <c r="O4" s="357"/>
      <c r="P4" s="357"/>
      <c r="Q4" s="357"/>
      <c r="R4" s="262">
        <f t="shared" ref="R4:R20" si="2">+M4+N4+O4-P4-Q4</f>
        <v>9</v>
      </c>
      <c r="S4" s="357"/>
      <c r="T4" s="357"/>
      <c r="U4" s="357"/>
      <c r="V4" s="357"/>
      <c r="W4" s="262">
        <f t="shared" ref="W4:W20" si="3">+R4+S4+T4-U4-V4</f>
        <v>9</v>
      </c>
      <c r="X4" s="357"/>
      <c r="Y4" s="357"/>
      <c r="Z4" s="357"/>
      <c r="AA4" s="357"/>
      <c r="AB4" s="262">
        <f t="shared" ref="AB4:AB14" si="4">+W4+X4+Y4-Z4-AA4</f>
        <v>9</v>
      </c>
    </row>
    <row r="5" spans="1:28" ht="15.95" hidden="1" customHeight="1" x14ac:dyDescent="0.25">
      <c r="A5" s="243">
        <v>806694</v>
      </c>
      <c r="B5" s="244" t="s">
        <v>68</v>
      </c>
      <c r="C5" s="240">
        <v>74</v>
      </c>
      <c r="D5" s="357"/>
      <c r="E5" s="357"/>
      <c r="F5" s="357"/>
      <c r="G5" s="357">
        <v>74</v>
      </c>
      <c r="H5" s="262">
        <f t="shared" si="0"/>
        <v>0</v>
      </c>
      <c r="I5" s="357"/>
      <c r="J5" s="357"/>
      <c r="K5" s="357"/>
      <c r="L5" s="357"/>
      <c r="M5" s="262">
        <f t="shared" si="1"/>
        <v>0</v>
      </c>
      <c r="N5" s="357"/>
      <c r="O5" s="357"/>
      <c r="P5" s="357"/>
      <c r="Q5" s="357"/>
      <c r="R5" s="262">
        <f t="shared" si="2"/>
        <v>0</v>
      </c>
      <c r="S5" s="357"/>
      <c r="T5" s="357"/>
      <c r="U5" s="357"/>
      <c r="V5" s="357"/>
      <c r="W5" s="262">
        <f t="shared" si="3"/>
        <v>0</v>
      </c>
      <c r="X5" s="357"/>
      <c r="Y5" s="357"/>
      <c r="Z5" s="357"/>
      <c r="AA5" s="357"/>
      <c r="AB5" s="262">
        <f t="shared" si="4"/>
        <v>0</v>
      </c>
    </row>
    <row r="6" spans="1:28" ht="15.95" customHeight="1" x14ac:dyDescent="0.25">
      <c r="A6" s="243">
        <v>804104</v>
      </c>
      <c r="B6" s="244" t="s">
        <v>69</v>
      </c>
      <c r="C6" s="240">
        <v>22</v>
      </c>
      <c r="D6" s="357"/>
      <c r="E6" s="357"/>
      <c r="F6" s="357"/>
      <c r="G6" s="357">
        <v>1</v>
      </c>
      <c r="H6" s="262">
        <f t="shared" si="0"/>
        <v>21</v>
      </c>
      <c r="I6" s="357"/>
      <c r="J6" s="357"/>
      <c r="K6" s="357"/>
      <c r="L6" s="357">
        <v>2</v>
      </c>
      <c r="M6" s="262">
        <f t="shared" si="1"/>
        <v>19</v>
      </c>
      <c r="N6" s="357"/>
      <c r="O6" s="357"/>
      <c r="P6" s="357"/>
      <c r="Q6" s="357">
        <v>12</v>
      </c>
      <c r="R6" s="262">
        <f t="shared" si="2"/>
        <v>7</v>
      </c>
      <c r="S6" s="357"/>
      <c r="T6" s="357"/>
      <c r="U6" s="357"/>
      <c r="V6" s="357"/>
      <c r="W6" s="262">
        <f t="shared" si="3"/>
        <v>7</v>
      </c>
      <c r="X6" s="357"/>
      <c r="Y6" s="357"/>
      <c r="Z6" s="357"/>
      <c r="AA6" s="357"/>
      <c r="AB6" s="262">
        <f t="shared" si="4"/>
        <v>7</v>
      </c>
    </row>
    <row r="7" spans="1:28" ht="15.95" customHeight="1" x14ac:dyDescent="0.25">
      <c r="A7" s="243">
        <v>806686</v>
      </c>
      <c r="B7" s="244" t="s">
        <v>70</v>
      </c>
      <c r="C7" s="240">
        <v>5</v>
      </c>
      <c r="D7" s="357"/>
      <c r="E7" s="357">
        <v>72</v>
      </c>
      <c r="F7" s="357"/>
      <c r="G7" s="357">
        <v>30</v>
      </c>
      <c r="H7" s="262">
        <f t="shared" si="0"/>
        <v>47</v>
      </c>
      <c r="I7" s="357"/>
      <c r="J7" s="357"/>
      <c r="K7" s="357"/>
      <c r="L7" s="357">
        <v>0</v>
      </c>
      <c r="M7" s="262">
        <f t="shared" si="1"/>
        <v>47</v>
      </c>
      <c r="N7" s="357"/>
      <c r="O7" s="357"/>
      <c r="P7" s="357"/>
      <c r="Q7" s="357"/>
      <c r="R7" s="262">
        <f t="shared" si="2"/>
        <v>47</v>
      </c>
      <c r="S7" s="357"/>
      <c r="T7" s="357"/>
      <c r="U7" s="357"/>
      <c r="V7" s="357"/>
      <c r="W7" s="262">
        <f t="shared" si="3"/>
        <v>47</v>
      </c>
      <c r="X7" s="357"/>
      <c r="Y7" s="357"/>
      <c r="Z7" s="357"/>
      <c r="AA7" s="357"/>
      <c r="AB7" s="262">
        <f t="shared" si="4"/>
        <v>47</v>
      </c>
    </row>
    <row r="8" spans="1:28" ht="15" customHeight="1" x14ac:dyDescent="0.25">
      <c r="A8" s="243">
        <v>804109</v>
      </c>
      <c r="B8" s="244" t="s">
        <v>71</v>
      </c>
      <c r="C8" s="240">
        <v>71</v>
      </c>
      <c r="D8" s="357"/>
      <c r="E8" s="357">
        <v>87</v>
      </c>
      <c r="F8" s="357"/>
      <c r="G8" s="357">
        <v>90.5</v>
      </c>
      <c r="H8" s="262">
        <f t="shared" si="0"/>
        <v>67.5</v>
      </c>
      <c r="I8" s="357"/>
      <c r="J8" s="357"/>
      <c r="K8" s="357"/>
      <c r="L8" s="357">
        <v>61</v>
      </c>
      <c r="M8" s="262">
        <f t="shared" si="1"/>
        <v>6.5</v>
      </c>
      <c r="N8" s="357"/>
      <c r="O8" s="357"/>
      <c r="P8" s="357"/>
      <c r="Q8" s="357"/>
      <c r="R8" s="262">
        <f t="shared" si="2"/>
        <v>6.5</v>
      </c>
      <c r="S8" s="357"/>
      <c r="T8" s="357"/>
      <c r="U8" s="357"/>
      <c r="V8" s="357">
        <v>0</v>
      </c>
      <c r="W8" s="262">
        <f t="shared" si="3"/>
        <v>6.5</v>
      </c>
      <c r="X8" s="357"/>
      <c r="Y8" s="357"/>
      <c r="Z8" s="357"/>
      <c r="AA8" s="357"/>
      <c r="AB8" s="262">
        <f t="shared" si="4"/>
        <v>6.5</v>
      </c>
    </row>
    <row r="9" spans="1:28" ht="15.95" customHeight="1" x14ac:dyDescent="0.25">
      <c r="A9" s="243">
        <v>806980</v>
      </c>
      <c r="B9" s="244" t="s">
        <v>72</v>
      </c>
      <c r="C9" s="240">
        <v>46</v>
      </c>
      <c r="D9" s="357"/>
      <c r="E9" s="357">
        <v>71</v>
      </c>
      <c r="F9" s="357"/>
      <c r="G9" s="357">
        <v>48</v>
      </c>
      <c r="H9" s="262">
        <f t="shared" si="0"/>
        <v>69</v>
      </c>
      <c r="I9" s="357"/>
      <c r="J9" s="357"/>
      <c r="K9" s="357"/>
      <c r="L9" s="357">
        <v>60</v>
      </c>
      <c r="M9" s="262">
        <f t="shared" si="1"/>
        <v>9</v>
      </c>
      <c r="N9" s="357"/>
      <c r="O9" s="357"/>
      <c r="P9" s="357"/>
      <c r="Q9" s="357">
        <v>7</v>
      </c>
      <c r="R9" s="262">
        <f t="shared" si="2"/>
        <v>2</v>
      </c>
      <c r="S9" s="357"/>
      <c r="T9" s="357"/>
      <c r="U9" s="357"/>
      <c r="V9" s="357"/>
      <c r="W9" s="262">
        <f t="shared" si="3"/>
        <v>2</v>
      </c>
      <c r="X9" s="357"/>
      <c r="Y9" s="357"/>
      <c r="Z9" s="357"/>
      <c r="AA9" s="357"/>
      <c r="AB9" s="262">
        <f t="shared" si="4"/>
        <v>2</v>
      </c>
    </row>
    <row r="10" spans="1:28" ht="15.95" customHeight="1" x14ac:dyDescent="0.25">
      <c r="A10" s="243">
        <v>806982</v>
      </c>
      <c r="B10" s="244" t="s">
        <v>73</v>
      </c>
      <c r="C10" s="240">
        <v>95</v>
      </c>
      <c r="D10" s="357"/>
      <c r="E10" s="357"/>
      <c r="F10" s="357"/>
      <c r="G10" s="357"/>
      <c r="H10" s="262">
        <f t="shared" si="0"/>
        <v>95</v>
      </c>
      <c r="I10" s="357"/>
      <c r="J10" s="357"/>
      <c r="K10" s="357"/>
      <c r="L10" s="357">
        <v>50</v>
      </c>
      <c r="M10" s="262">
        <f t="shared" si="1"/>
        <v>45</v>
      </c>
      <c r="N10" s="357"/>
      <c r="O10" s="357"/>
      <c r="P10" s="357"/>
      <c r="Q10" s="357">
        <v>8</v>
      </c>
      <c r="R10" s="262">
        <f t="shared" si="2"/>
        <v>37</v>
      </c>
      <c r="S10" s="357"/>
      <c r="T10" s="357"/>
      <c r="U10" s="357"/>
      <c r="V10" s="357"/>
      <c r="W10" s="262">
        <f t="shared" si="3"/>
        <v>37</v>
      </c>
      <c r="X10" s="357"/>
      <c r="Y10" s="357"/>
      <c r="Z10" s="357"/>
      <c r="AA10" s="357"/>
      <c r="AB10" s="262">
        <f t="shared" si="4"/>
        <v>37</v>
      </c>
    </row>
    <row r="11" spans="1:28" ht="15.95" customHeight="1" x14ac:dyDescent="0.25">
      <c r="A11" s="243">
        <v>260612</v>
      </c>
      <c r="B11" s="244" t="s">
        <v>74</v>
      </c>
      <c r="C11" s="240">
        <v>102</v>
      </c>
      <c r="D11" s="357"/>
      <c r="E11" s="357"/>
      <c r="F11" s="357"/>
      <c r="G11" s="357">
        <v>35</v>
      </c>
      <c r="H11" s="262">
        <f t="shared" si="0"/>
        <v>67</v>
      </c>
      <c r="I11" s="357"/>
      <c r="J11" s="357"/>
      <c r="K11" s="357"/>
      <c r="L11" s="357">
        <v>63</v>
      </c>
      <c r="M11" s="262">
        <f t="shared" si="1"/>
        <v>4</v>
      </c>
      <c r="N11" s="357"/>
      <c r="O11" s="357"/>
      <c r="P11" s="357"/>
      <c r="Q11" s="357"/>
      <c r="R11" s="262">
        <f t="shared" si="2"/>
        <v>4</v>
      </c>
      <c r="S11" s="357"/>
      <c r="T11" s="357"/>
      <c r="U11" s="357"/>
      <c r="V11" s="357"/>
      <c r="W11" s="262">
        <f t="shared" si="3"/>
        <v>4</v>
      </c>
      <c r="X11" s="357"/>
      <c r="Y11" s="357"/>
      <c r="Z11" s="357"/>
      <c r="AA11" s="357"/>
      <c r="AB11" s="262">
        <f t="shared" si="4"/>
        <v>4</v>
      </c>
    </row>
    <row r="12" spans="1:28" ht="15.95" customHeight="1" x14ac:dyDescent="0.25">
      <c r="A12" s="243">
        <v>804661</v>
      </c>
      <c r="B12" s="244" t="s">
        <v>75</v>
      </c>
      <c r="C12" s="240">
        <v>633</v>
      </c>
      <c r="D12" s="357"/>
      <c r="E12" s="357"/>
      <c r="F12" s="357"/>
      <c r="G12" s="357">
        <v>20</v>
      </c>
      <c r="H12" s="262">
        <f t="shared" si="0"/>
        <v>613</v>
      </c>
      <c r="I12" s="357"/>
      <c r="J12" s="357"/>
      <c r="K12" s="357"/>
      <c r="L12" s="357">
        <v>30</v>
      </c>
      <c r="M12" s="262">
        <f t="shared" si="1"/>
        <v>583</v>
      </c>
      <c r="N12" s="357"/>
      <c r="O12" s="357"/>
      <c r="P12" s="357"/>
      <c r="Q12" s="357">
        <v>33</v>
      </c>
      <c r="R12" s="262">
        <f t="shared" si="2"/>
        <v>550</v>
      </c>
      <c r="S12" s="357"/>
      <c r="T12" s="357"/>
      <c r="U12" s="357"/>
      <c r="V12" s="357">
        <v>20</v>
      </c>
      <c r="W12" s="262">
        <f t="shared" si="3"/>
        <v>530</v>
      </c>
      <c r="X12" s="357"/>
      <c r="Y12" s="357"/>
      <c r="Z12" s="357"/>
      <c r="AA12" s="357">
        <v>20</v>
      </c>
      <c r="AB12" s="262">
        <f t="shared" si="4"/>
        <v>510</v>
      </c>
    </row>
    <row r="13" spans="1:28" ht="15.95" customHeight="1" x14ac:dyDescent="0.25">
      <c r="A13" s="243">
        <v>808540</v>
      </c>
      <c r="B13" s="244" t="s">
        <v>76</v>
      </c>
      <c r="C13" s="240">
        <v>0</v>
      </c>
      <c r="D13" s="357"/>
      <c r="E13" s="357">
        <v>216</v>
      </c>
      <c r="F13" s="357"/>
      <c r="G13" s="357"/>
      <c r="H13" s="262">
        <f t="shared" si="0"/>
        <v>216</v>
      </c>
      <c r="I13" s="357"/>
      <c r="J13" s="357"/>
      <c r="K13" s="357"/>
      <c r="L13" s="357">
        <v>54</v>
      </c>
      <c r="M13" s="262">
        <f t="shared" si="1"/>
        <v>162</v>
      </c>
      <c r="N13" s="357"/>
      <c r="O13" s="357"/>
      <c r="P13" s="357"/>
      <c r="Q13" s="357">
        <v>57</v>
      </c>
      <c r="R13" s="262">
        <f t="shared" si="2"/>
        <v>105</v>
      </c>
      <c r="S13" s="357"/>
      <c r="T13" s="357"/>
      <c r="U13" s="357"/>
      <c r="V13" s="357">
        <v>18</v>
      </c>
      <c r="W13" s="262">
        <f t="shared" si="3"/>
        <v>87</v>
      </c>
      <c r="X13" s="357"/>
      <c r="Y13" s="357"/>
      <c r="Z13" s="357"/>
      <c r="AA13" s="357"/>
      <c r="AB13" s="262">
        <f t="shared" si="4"/>
        <v>87</v>
      </c>
    </row>
    <row r="14" spans="1:28" ht="15.95" customHeight="1" thickBot="1" x14ac:dyDescent="0.3">
      <c r="A14" s="267">
        <v>807769</v>
      </c>
      <c r="B14" s="268" t="s">
        <v>77</v>
      </c>
      <c r="C14" s="241">
        <v>232</v>
      </c>
      <c r="D14" s="359"/>
      <c r="E14" s="359"/>
      <c r="F14" s="359"/>
      <c r="G14" s="359">
        <v>3</v>
      </c>
      <c r="H14" s="262">
        <f t="shared" si="0"/>
        <v>229</v>
      </c>
      <c r="I14" s="359"/>
      <c r="J14" s="359"/>
      <c r="K14" s="359"/>
      <c r="L14" s="359">
        <v>2</v>
      </c>
      <c r="M14" s="262">
        <f t="shared" si="1"/>
        <v>227</v>
      </c>
      <c r="N14" s="359"/>
      <c r="O14" s="359"/>
      <c r="P14" s="359"/>
      <c r="Q14" s="359">
        <v>6</v>
      </c>
      <c r="R14" s="262">
        <f t="shared" si="2"/>
        <v>221</v>
      </c>
      <c r="S14" s="359"/>
      <c r="T14" s="359"/>
      <c r="U14" s="359"/>
      <c r="V14" s="359">
        <v>2</v>
      </c>
      <c r="W14" s="262">
        <f t="shared" si="3"/>
        <v>219</v>
      </c>
      <c r="X14" s="359"/>
      <c r="Y14" s="359"/>
      <c r="Z14" s="359"/>
      <c r="AA14" s="359"/>
      <c r="AB14" s="262">
        <f t="shared" si="4"/>
        <v>219</v>
      </c>
    </row>
    <row r="15" spans="1:28" ht="15.95" hidden="1" customHeight="1" x14ac:dyDescent="0.25">
      <c r="A15" s="243">
        <v>807329</v>
      </c>
      <c r="B15" s="244" t="s">
        <v>78</v>
      </c>
      <c r="C15" s="241">
        <v>0</v>
      </c>
      <c r="D15" s="359"/>
      <c r="E15" s="359"/>
      <c r="F15" s="359"/>
      <c r="G15" s="359"/>
      <c r="H15" s="262">
        <f t="shared" si="0"/>
        <v>0</v>
      </c>
      <c r="I15" s="359"/>
      <c r="J15" s="359"/>
      <c r="K15" s="359"/>
      <c r="L15" s="359"/>
      <c r="M15" s="262">
        <f t="shared" si="1"/>
        <v>0</v>
      </c>
      <c r="N15" s="359"/>
      <c r="O15" s="359"/>
      <c r="P15" s="359"/>
      <c r="Q15" s="359"/>
      <c r="R15" s="262">
        <f t="shared" si="2"/>
        <v>0</v>
      </c>
      <c r="S15" s="359"/>
      <c r="T15" s="359"/>
      <c r="U15" s="359"/>
      <c r="V15" s="359"/>
      <c r="W15" s="262">
        <f t="shared" si="3"/>
        <v>0</v>
      </c>
      <c r="X15" s="359"/>
      <c r="Y15" s="359"/>
      <c r="Z15" s="359"/>
      <c r="AA15" s="359"/>
      <c r="AB15" s="262">
        <f t="shared" ref="AB15:AB20" si="5">+W15+X15+Y15-Z15-AA15</f>
        <v>0</v>
      </c>
    </row>
    <row r="16" spans="1:28" ht="15.95" hidden="1" customHeight="1" x14ac:dyDescent="0.25">
      <c r="A16" s="243">
        <v>805411</v>
      </c>
      <c r="B16" s="244" t="s">
        <v>79</v>
      </c>
      <c r="C16" s="241">
        <v>0</v>
      </c>
      <c r="D16" s="359"/>
      <c r="E16" s="359"/>
      <c r="F16" s="359"/>
      <c r="G16" s="359"/>
      <c r="H16" s="262">
        <f t="shared" si="0"/>
        <v>0</v>
      </c>
      <c r="I16" s="359"/>
      <c r="J16" s="359"/>
      <c r="K16" s="359"/>
      <c r="L16" s="359"/>
      <c r="M16" s="262">
        <f t="shared" si="1"/>
        <v>0</v>
      </c>
      <c r="N16" s="359"/>
      <c r="O16" s="359"/>
      <c r="P16" s="359"/>
      <c r="Q16" s="359"/>
      <c r="R16" s="262">
        <f t="shared" si="2"/>
        <v>0</v>
      </c>
      <c r="S16" s="359"/>
      <c r="T16" s="359"/>
      <c r="U16" s="359"/>
      <c r="V16" s="359"/>
      <c r="W16" s="262">
        <f t="shared" si="3"/>
        <v>0</v>
      </c>
      <c r="X16" s="359"/>
      <c r="Y16" s="359"/>
      <c r="Z16" s="359"/>
      <c r="AA16" s="359"/>
      <c r="AB16" s="262">
        <f t="shared" si="5"/>
        <v>0</v>
      </c>
    </row>
    <row r="17" spans="1:28" ht="15.95" hidden="1" customHeight="1" x14ac:dyDescent="0.25">
      <c r="A17" s="243">
        <v>807679</v>
      </c>
      <c r="B17" s="244" t="s">
        <v>80</v>
      </c>
      <c r="C17" s="241">
        <v>0</v>
      </c>
      <c r="D17" s="359"/>
      <c r="E17" s="359"/>
      <c r="F17" s="359"/>
      <c r="G17" s="359"/>
      <c r="H17" s="262">
        <f t="shared" si="0"/>
        <v>0</v>
      </c>
      <c r="I17" s="359"/>
      <c r="J17" s="359"/>
      <c r="K17" s="359"/>
      <c r="L17" s="359"/>
      <c r="M17" s="262">
        <f t="shared" si="1"/>
        <v>0</v>
      </c>
      <c r="N17" s="359"/>
      <c r="O17" s="359"/>
      <c r="P17" s="359"/>
      <c r="Q17" s="359"/>
      <c r="R17" s="262">
        <f t="shared" si="2"/>
        <v>0</v>
      </c>
      <c r="S17" s="359"/>
      <c r="T17" s="359"/>
      <c r="U17" s="359"/>
      <c r="V17" s="359"/>
      <c r="W17" s="262">
        <f t="shared" si="3"/>
        <v>0</v>
      </c>
      <c r="X17" s="359"/>
      <c r="Y17" s="359"/>
      <c r="Z17" s="359"/>
      <c r="AA17" s="359"/>
      <c r="AB17" s="262">
        <f t="shared" si="5"/>
        <v>0</v>
      </c>
    </row>
    <row r="18" spans="1:28" ht="15.95" hidden="1" customHeight="1" x14ac:dyDescent="0.25">
      <c r="A18" s="243">
        <v>805168</v>
      </c>
      <c r="B18" s="244" t="s">
        <v>81</v>
      </c>
      <c r="C18" s="241">
        <v>0</v>
      </c>
      <c r="D18" s="359"/>
      <c r="E18" s="359"/>
      <c r="F18" s="359"/>
      <c r="G18" s="359"/>
      <c r="H18" s="262">
        <f t="shared" si="0"/>
        <v>0</v>
      </c>
      <c r="I18" s="359"/>
      <c r="J18" s="359"/>
      <c r="K18" s="359"/>
      <c r="L18" s="359"/>
      <c r="M18" s="262">
        <f t="shared" si="1"/>
        <v>0</v>
      </c>
      <c r="N18" s="359"/>
      <c r="O18" s="359"/>
      <c r="P18" s="359"/>
      <c r="Q18" s="359"/>
      <c r="R18" s="262">
        <f t="shared" si="2"/>
        <v>0</v>
      </c>
      <c r="S18" s="359"/>
      <c r="T18" s="359"/>
      <c r="U18" s="359"/>
      <c r="V18" s="359"/>
      <c r="W18" s="262">
        <f t="shared" si="3"/>
        <v>0</v>
      </c>
      <c r="X18" s="359"/>
      <c r="Y18" s="359"/>
      <c r="Z18" s="359"/>
      <c r="AA18" s="359"/>
      <c r="AB18" s="262">
        <f t="shared" si="5"/>
        <v>0</v>
      </c>
    </row>
    <row r="19" spans="1:28" ht="15.95" hidden="1" customHeight="1" x14ac:dyDescent="0.25">
      <c r="A19" s="243">
        <v>807363</v>
      </c>
      <c r="B19" s="244" t="s">
        <v>82</v>
      </c>
      <c r="C19" s="241">
        <v>0</v>
      </c>
      <c r="D19" s="359"/>
      <c r="E19" s="359"/>
      <c r="F19" s="359"/>
      <c r="G19" s="359"/>
      <c r="H19" s="262">
        <f t="shared" si="0"/>
        <v>0</v>
      </c>
      <c r="I19" s="359"/>
      <c r="J19" s="359"/>
      <c r="K19" s="359"/>
      <c r="L19" s="359"/>
      <c r="M19" s="262">
        <f t="shared" si="1"/>
        <v>0</v>
      </c>
      <c r="N19" s="359"/>
      <c r="O19" s="359"/>
      <c r="P19" s="359"/>
      <c r="Q19" s="359"/>
      <c r="R19" s="262">
        <f t="shared" si="2"/>
        <v>0</v>
      </c>
      <c r="S19" s="359"/>
      <c r="T19" s="359"/>
      <c r="U19" s="359"/>
      <c r="V19" s="359"/>
      <c r="W19" s="262">
        <f t="shared" si="3"/>
        <v>0</v>
      </c>
      <c r="X19" s="359"/>
      <c r="Y19" s="359"/>
      <c r="Z19" s="359"/>
      <c r="AA19" s="359"/>
      <c r="AB19" s="262">
        <f t="shared" si="5"/>
        <v>0</v>
      </c>
    </row>
    <row r="20" spans="1:28" ht="15.95" hidden="1" customHeight="1" thickBot="1" x14ac:dyDescent="0.3">
      <c r="A20" s="263">
        <v>809529</v>
      </c>
      <c r="B20" s="264" t="s">
        <v>83</v>
      </c>
      <c r="C20" s="241">
        <v>0</v>
      </c>
      <c r="D20" s="359"/>
      <c r="E20" s="359"/>
      <c r="F20" s="359"/>
      <c r="G20" s="359"/>
      <c r="H20" s="262">
        <f t="shared" si="0"/>
        <v>0</v>
      </c>
      <c r="I20" s="359"/>
      <c r="J20" s="359"/>
      <c r="K20" s="359"/>
      <c r="L20" s="359"/>
      <c r="M20" s="262">
        <f t="shared" si="1"/>
        <v>0</v>
      </c>
      <c r="N20" s="359"/>
      <c r="O20" s="359"/>
      <c r="P20" s="359"/>
      <c r="Q20" s="359"/>
      <c r="R20" s="262">
        <f t="shared" si="2"/>
        <v>0</v>
      </c>
      <c r="S20" s="359"/>
      <c r="T20" s="359"/>
      <c r="U20" s="359"/>
      <c r="V20" s="359"/>
      <c r="W20" s="262">
        <f t="shared" si="3"/>
        <v>0</v>
      </c>
      <c r="X20" s="359"/>
      <c r="Y20" s="359"/>
      <c r="Z20" s="359"/>
      <c r="AA20" s="359"/>
      <c r="AB20" s="262">
        <f t="shared" si="5"/>
        <v>0</v>
      </c>
    </row>
    <row r="21" spans="1:28" ht="15.95" hidden="1" customHeight="1" x14ac:dyDescent="0.25">
      <c r="A21" s="263"/>
      <c r="B21" s="264"/>
      <c r="C21" s="241"/>
      <c r="D21" s="359"/>
      <c r="E21" s="359"/>
      <c r="F21" s="359"/>
      <c r="G21" s="359"/>
      <c r="H21" s="266"/>
      <c r="I21" s="359"/>
      <c r="J21" s="359"/>
      <c r="K21" s="359"/>
      <c r="L21" s="359"/>
      <c r="M21" s="266"/>
      <c r="N21" s="359"/>
      <c r="O21" s="359"/>
      <c r="P21" s="359"/>
      <c r="Q21" s="359"/>
      <c r="R21" s="266"/>
      <c r="S21" s="359"/>
      <c r="T21" s="359"/>
      <c r="U21" s="359"/>
      <c r="V21" s="359"/>
      <c r="W21" s="266"/>
      <c r="X21" s="359"/>
      <c r="Y21" s="359"/>
      <c r="Z21" s="359"/>
      <c r="AA21" s="359"/>
      <c r="AB21" s="266"/>
    </row>
    <row r="22" spans="1:28" ht="15.95" hidden="1" customHeight="1" x14ac:dyDescent="0.25">
      <c r="A22" s="243"/>
      <c r="B22" s="244"/>
      <c r="C22" s="240"/>
      <c r="D22" s="357"/>
      <c r="E22" s="357"/>
      <c r="F22" s="357"/>
      <c r="G22" s="357"/>
      <c r="H22" s="262"/>
      <c r="I22" s="357"/>
      <c r="J22" s="357"/>
      <c r="K22" s="357"/>
      <c r="L22" s="357"/>
      <c r="M22" s="262"/>
      <c r="N22" s="357"/>
      <c r="O22" s="357"/>
      <c r="P22" s="357"/>
      <c r="Q22" s="357"/>
      <c r="R22" s="262"/>
      <c r="S22" s="357"/>
      <c r="T22" s="357"/>
      <c r="U22" s="357"/>
      <c r="V22" s="357"/>
      <c r="W22" s="262"/>
      <c r="X22" s="357"/>
      <c r="Y22" s="357"/>
      <c r="Z22" s="357"/>
      <c r="AA22" s="357"/>
      <c r="AB22" s="262"/>
    </row>
    <row r="23" spans="1:28" ht="15.95" hidden="1" customHeight="1" thickBot="1" x14ac:dyDescent="0.3">
      <c r="A23" s="243"/>
      <c r="B23" s="244"/>
      <c r="C23" s="240"/>
      <c r="D23" s="357"/>
      <c r="E23" s="357"/>
      <c r="F23" s="357"/>
      <c r="G23" s="357"/>
      <c r="H23" s="262"/>
      <c r="I23" s="357"/>
      <c r="J23" s="357"/>
      <c r="K23" s="357"/>
      <c r="L23" s="357"/>
      <c r="M23" s="262"/>
      <c r="N23" s="357"/>
      <c r="O23" s="357"/>
      <c r="P23" s="357"/>
      <c r="Q23" s="357"/>
      <c r="R23" s="262"/>
      <c r="S23" s="357"/>
      <c r="T23" s="357"/>
      <c r="U23" s="357"/>
      <c r="V23" s="357"/>
      <c r="W23" s="262"/>
      <c r="X23" s="357"/>
      <c r="Y23" s="357"/>
      <c r="Z23" s="357"/>
      <c r="AA23" s="357"/>
      <c r="AB23" s="262"/>
    </row>
    <row r="24" spans="1:28" ht="24" customHeight="1" thickBot="1" x14ac:dyDescent="0.3">
      <c r="A24" s="626" t="s">
        <v>224</v>
      </c>
      <c r="B24" s="627"/>
      <c r="C24" s="247">
        <f t="shared" ref="C24:M24" si="6">+SUM(C3:C23)</f>
        <v>1397.3</v>
      </c>
      <c r="D24" s="247">
        <f t="shared" si="6"/>
        <v>0</v>
      </c>
      <c r="E24" s="247">
        <f t="shared" si="6"/>
        <v>2450</v>
      </c>
      <c r="F24" s="247">
        <f t="shared" si="6"/>
        <v>0</v>
      </c>
      <c r="G24" s="247">
        <f t="shared" si="6"/>
        <v>966.5</v>
      </c>
      <c r="H24" s="247">
        <f t="shared" si="6"/>
        <v>2880.8</v>
      </c>
      <c r="I24" s="247">
        <f t="shared" si="6"/>
        <v>0</v>
      </c>
      <c r="J24" s="247">
        <f t="shared" si="6"/>
        <v>0</v>
      </c>
      <c r="K24" s="247">
        <f t="shared" si="6"/>
        <v>0</v>
      </c>
      <c r="L24" s="247">
        <f>+SUM(L3:L23)</f>
        <v>1080</v>
      </c>
      <c r="M24" s="247">
        <f t="shared" si="6"/>
        <v>1800.8000000000002</v>
      </c>
      <c r="N24" s="247"/>
      <c r="O24" s="247"/>
      <c r="P24" s="247"/>
      <c r="Q24" s="247">
        <f>+SUM(Q3:Q23)</f>
        <v>810</v>
      </c>
      <c r="R24" s="247">
        <f t="shared" ref="R24" si="7">+SUM(R3:R23)</f>
        <v>1015.8000000000002</v>
      </c>
      <c r="S24" s="247"/>
      <c r="T24" s="247"/>
      <c r="U24" s="247"/>
      <c r="V24" s="247">
        <f>+SUM(V3:V23)</f>
        <v>65</v>
      </c>
      <c r="W24" s="247">
        <f t="shared" ref="W24" si="8">+SUM(W3:W23)</f>
        <v>950.80000000000018</v>
      </c>
      <c r="X24" s="247"/>
      <c r="Y24" s="247"/>
      <c r="Z24" s="247"/>
      <c r="AA24" s="247">
        <f>+SUM(AA3:AA23)</f>
        <v>20</v>
      </c>
      <c r="AB24" s="247">
        <f t="shared" ref="AB24" si="9">+SUM(AB3:AB23)</f>
        <v>930.80000000000018</v>
      </c>
    </row>
    <row r="25" spans="1:28" ht="14.25" thickBot="1" x14ac:dyDescent="0.3">
      <c r="X25" s="347"/>
      <c r="Y25" s="347"/>
      <c r="Z25" s="347"/>
      <c r="AA25" s="347"/>
      <c r="AB25" s="347"/>
    </row>
    <row r="26" spans="1:28" ht="15.75" thickBot="1" x14ac:dyDescent="0.3">
      <c r="C26" s="355">
        <f>+C24</f>
        <v>1397.3</v>
      </c>
      <c r="D26" s="355">
        <f t="shared" ref="D26:G26" si="10">+D24</f>
        <v>0</v>
      </c>
      <c r="E26" s="355">
        <f t="shared" si="10"/>
        <v>2450</v>
      </c>
      <c r="F26" s="355">
        <f t="shared" si="10"/>
        <v>0</v>
      </c>
      <c r="G26" s="355">
        <f t="shared" si="10"/>
        <v>966.5</v>
      </c>
      <c r="H26" s="355">
        <f>+H24</f>
        <v>2880.8</v>
      </c>
      <c r="I26" s="355"/>
      <c r="J26" s="355"/>
      <c r="K26" s="355"/>
      <c r="L26" s="355">
        <f t="shared" ref="L26" si="11">+L24</f>
        <v>1080</v>
      </c>
      <c r="M26" s="355">
        <f>+M24</f>
        <v>1800.8000000000002</v>
      </c>
      <c r="N26" s="355"/>
      <c r="O26" s="355"/>
      <c r="P26" s="355"/>
      <c r="Q26" s="355">
        <f t="shared" ref="Q26:W26" si="12">+Q24</f>
        <v>810</v>
      </c>
      <c r="R26" s="355">
        <f>+R24</f>
        <v>1015.8000000000002</v>
      </c>
      <c r="S26" s="355">
        <f t="shared" si="12"/>
        <v>0</v>
      </c>
      <c r="T26" s="355">
        <f>+T24</f>
        <v>0</v>
      </c>
      <c r="U26" s="355">
        <f t="shared" si="12"/>
        <v>0</v>
      </c>
      <c r="V26" s="355">
        <f t="shared" si="12"/>
        <v>65</v>
      </c>
      <c r="W26" s="355">
        <f t="shared" si="12"/>
        <v>950.80000000000018</v>
      </c>
      <c r="X26" s="355">
        <f t="shared" ref="X26" si="13">+X24</f>
        <v>0</v>
      </c>
      <c r="Y26" s="355">
        <f>+Y24</f>
        <v>0</v>
      </c>
      <c r="Z26" s="355">
        <f t="shared" ref="Z26:AB26" si="14">+Z24</f>
        <v>0</v>
      </c>
      <c r="AA26" s="355">
        <f t="shared" si="14"/>
        <v>20</v>
      </c>
      <c r="AB26" s="355">
        <f t="shared" si="14"/>
        <v>930.80000000000018</v>
      </c>
    </row>
    <row r="27" spans="1:28" ht="15.75" thickBot="1" x14ac:dyDescent="0.3">
      <c r="C27" s="355">
        <f>+C26/50</f>
        <v>27.945999999999998</v>
      </c>
      <c r="G27" s="355" t="s">
        <v>219</v>
      </c>
      <c r="H27" s="355">
        <f>+H26/50</f>
        <v>57.616000000000007</v>
      </c>
      <c r="L27" s="355"/>
      <c r="M27" s="355">
        <f>+M26/50</f>
        <v>36.016000000000005</v>
      </c>
      <c r="Q27" s="355"/>
      <c r="R27" s="355"/>
      <c r="V27" s="355"/>
      <c r="W27" s="355"/>
      <c r="X27" s="347"/>
      <c r="Y27" s="347"/>
      <c r="Z27" s="347"/>
      <c r="AA27" s="355"/>
      <c r="AB27" s="355"/>
    </row>
  </sheetData>
  <mergeCells count="1">
    <mergeCell ref="A24:B24"/>
  </mergeCells>
  <pageMargins left="0.7" right="0.7" top="0.75" bottom="0.75" header="0.3" footer="0.3"/>
  <pageSetup orientation="portrait" verticalDpi="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1421B-371B-4120-84CE-0B7A24946720}">
  <sheetPr>
    <tabColor rgb="FFFF3300"/>
  </sheetPr>
  <dimension ref="A1:BU28"/>
  <sheetViews>
    <sheetView showGridLines="0" zoomScaleNormal="100" workbookViewId="0">
      <pane xSplit="2" ySplit="1" topLeftCell="J2" activePane="bottomRight" state="frozen"/>
      <selection pane="topRight" activeCell="D1" sqref="D1"/>
      <selection pane="bottomLeft" activeCell="A2" sqref="A2"/>
      <selection pane="bottomRight" activeCell="BR34" sqref="BR34"/>
    </sheetView>
  </sheetViews>
  <sheetFormatPr baseColWidth="10" defaultColWidth="11.42578125" defaultRowHeight="13.5" x14ac:dyDescent="0.25"/>
  <cols>
    <col min="1" max="1" width="9.85546875" style="34" customWidth="1"/>
    <col min="2" max="2" width="51.5703125" style="33" customWidth="1"/>
    <col min="3" max="3" width="11.42578125" style="347"/>
    <col min="4" max="4" width="8.7109375" style="347" bestFit="1" customWidth="1"/>
    <col min="5" max="5" width="7.85546875" style="347" bestFit="1" customWidth="1"/>
    <col min="6" max="6" width="7.85546875" style="347" customWidth="1"/>
    <col min="7" max="7" width="10.5703125" style="347" bestFit="1" customWidth="1"/>
    <col min="8" max="8" width="10.85546875" style="347" bestFit="1" customWidth="1"/>
    <col min="9" max="9" width="8.7109375" style="80" customWidth="1"/>
    <col min="10" max="11" width="7.85546875" style="80" customWidth="1"/>
    <col min="12" max="12" width="10.5703125" style="80" customWidth="1"/>
    <col min="13" max="13" width="10.85546875" style="80" customWidth="1"/>
    <col min="14" max="14" width="8.7109375" style="80" customWidth="1"/>
    <col min="15" max="15" width="9.140625" style="80" customWidth="1"/>
    <col min="16" max="16" width="7.85546875" style="80" customWidth="1"/>
    <col min="17" max="17" width="10.5703125" style="80" customWidth="1"/>
    <col min="18" max="18" width="10.85546875" style="80" customWidth="1"/>
    <col min="19" max="19" width="8.7109375" style="80" hidden="1" customWidth="1"/>
    <col min="20" max="21" width="7.85546875" style="80" hidden="1" customWidth="1"/>
    <col min="22" max="22" width="10.5703125" style="80" hidden="1" customWidth="1"/>
    <col min="23" max="23" width="10.85546875" style="80" hidden="1" customWidth="1"/>
    <col min="24" max="24" width="8.7109375" style="80" hidden="1" customWidth="1"/>
    <col min="25" max="26" width="7.85546875" style="80" hidden="1" customWidth="1"/>
    <col min="27" max="27" width="10.5703125" style="80" hidden="1" customWidth="1"/>
    <col min="28" max="28" width="10.85546875" style="80" hidden="1" customWidth="1"/>
    <col min="29" max="29" width="8.7109375" style="80" hidden="1" customWidth="1"/>
    <col min="30" max="31" width="7.85546875" style="80" hidden="1" customWidth="1"/>
    <col min="32" max="32" width="10.5703125" style="80" hidden="1" customWidth="1"/>
    <col min="33" max="33" width="10.85546875" style="80" hidden="1" customWidth="1"/>
    <col min="34" max="34" width="8.7109375" style="80" hidden="1" customWidth="1"/>
    <col min="35" max="36" width="7.85546875" style="80" hidden="1" customWidth="1"/>
    <col min="37" max="37" width="10.5703125" style="80" hidden="1" customWidth="1"/>
    <col min="38" max="38" width="10.85546875" style="80" hidden="1" customWidth="1"/>
    <col min="39" max="39" width="8.7109375" style="80" hidden="1" customWidth="1"/>
    <col min="40" max="41" width="7.85546875" style="80" hidden="1" customWidth="1"/>
    <col min="42" max="42" width="10.5703125" style="80" hidden="1" customWidth="1"/>
    <col min="43" max="43" width="10.85546875" style="80" hidden="1" customWidth="1"/>
    <col min="44" max="44" width="8.7109375" style="80" hidden="1" customWidth="1"/>
    <col min="45" max="46" width="7.85546875" style="80" hidden="1" customWidth="1"/>
    <col min="47" max="47" width="10.5703125" style="80" hidden="1" customWidth="1"/>
    <col min="48" max="48" width="12.28515625" style="80" hidden="1" customWidth="1"/>
    <col min="49" max="49" width="8.7109375" style="80" hidden="1" customWidth="1"/>
    <col min="50" max="51" width="7.85546875" style="80" hidden="1" customWidth="1"/>
    <col min="52" max="52" width="10.5703125" style="80" hidden="1" customWidth="1"/>
    <col min="53" max="53" width="10.85546875" style="80" hidden="1" customWidth="1"/>
    <col min="54" max="54" width="8.7109375" style="80" hidden="1" customWidth="1"/>
    <col min="55" max="56" width="7.85546875" style="80" hidden="1" customWidth="1"/>
    <col min="57" max="57" width="10.5703125" style="80" hidden="1" customWidth="1"/>
    <col min="58" max="58" width="11.85546875" style="80" hidden="1" customWidth="1"/>
    <col min="59" max="59" width="8.7109375" style="80" hidden="1" customWidth="1"/>
    <col min="60" max="61" width="7.85546875" style="80" hidden="1" customWidth="1"/>
    <col min="62" max="62" width="10.5703125" style="80" hidden="1" customWidth="1"/>
    <col min="63" max="63" width="11.28515625" style="80" hidden="1" customWidth="1"/>
    <col min="64" max="16384" width="11.42578125" style="15"/>
  </cols>
  <sheetData>
    <row r="1" spans="1:73" ht="45" customHeight="1" x14ac:dyDescent="0.25">
      <c r="A1"/>
      <c r="B1"/>
      <c r="C1" s="328"/>
      <c r="D1" s="328"/>
      <c r="E1" s="328"/>
      <c r="F1" s="328"/>
      <c r="G1" s="328"/>
      <c r="H1" s="328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</row>
    <row r="2" spans="1:73" ht="48.75" customHeight="1" x14ac:dyDescent="0.25">
      <c r="A2" s="1" t="s">
        <v>52</v>
      </c>
      <c r="B2" s="6" t="s">
        <v>53</v>
      </c>
      <c r="C2" s="329" t="s">
        <v>192</v>
      </c>
      <c r="D2" s="334" t="s">
        <v>193</v>
      </c>
      <c r="E2" s="334" t="s">
        <v>194</v>
      </c>
      <c r="F2" s="334" t="s">
        <v>195</v>
      </c>
      <c r="G2" s="335" t="s">
        <v>196</v>
      </c>
      <c r="H2" s="317" t="s">
        <v>197</v>
      </c>
      <c r="I2" s="74" t="s">
        <v>193</v>
      </c>
      <c r="J2" s="74" t="s">
        <v>194</v>
      </c>
      <c r="K2" s="74" t="s">
        <v>195</v>
      </c>
      <c r="L2" s="44" t="s">
        <v>196</v>
      </c>
      <c r="M2" s="261" t="s">
        <v>198</v>
      </c>
      <c r="N2" s="74" t="s">
        <v>193</v>
      </c>
      <c r="O2" s="74" t="s">
        <v>194</v>
      </c>
      <c r="P2" s="74" t="s">
        <v>195</v>
      </c>
      <c r="Q2" s="44" t="s">
        <v>196</v>
      </c>
      <c r="R2" s="261" t="s">
        <v>199</v>
      </c>
      <c r="S2" s="74" t="s">
        <v>193</v>
      </c>
      <c r="T2" s="74" t="s">
        <v>194</v>
      </c>
      <c r="U2" s="74" t="s">
        <v>195</v>
      </c>
      <c r="V2" s="44" t="s">
        <v>196</v>
      </c>
      <c r="W2" s="261" t="s">
        <v>200</v>
      </c>
      <c r="X2" s="74" t="s">
        <v>193</v>
      </c>
      <c r="Y2" s="74" t="s">
        <v>194</v>
      </c>
      <c r="Z2" s="74" t="s">
        <v>195</v>
      </c>
      <c r="AA2" s="44" t="s">
        <v>196</v>
      </c>
      <c r="AB2" s="261" t="s">
        <v>201</v>
      </c>
      <c r="AC2" s="74" t="s">
        <v>193</v>
      </c>
      <c r="AD2" s="74" t="s">
        <v>194</v>
      </c>
      <c r="AE2" s="74" t="s">
        <v>195</v>
      </c>
      <c r="AF2" s="44" t="s">
        <v>196</v>
      </c>
      <c r="AG2" s="261" t="s">
        <v>225</v>
      </c>
      <c r="AH2" s="74" t="s">
        <v>193</v>
      </c>
      <c r="AI2" s="74" t="s">
        <v>194</v>
      </c>
      <c r="AJ2" s="74" t="s">
        <v>195</v>
      </c>
      <c r="AK2" s="44" t="s">
        <v>196</v>
      </c>
      <c r="AL2" s="261" t="s">
        <v>203</v>
      </c>
      <c r="AM2" s="74" t="s">
        <v>193</v>
      </c>
      <c r="AN2" s="74" t="s">
        <v>194</v>
      </c>
      <c r="AO2" s="74" t="s">
        <v>195</v>
      </c>
      <c r="AP2" s="44" t="s">
        <v>196</v>
      </c>
      <c r="AQ2" s="261" t="s">
        <v>204</v>
      </c>
      <c r="AR2" s="74" t="s">
        <v>193</v>
      </c>
      <c r="AS2" s="74" t="s">
        <v>194</v>
      </c>
      <c r="AT2" s="74" t="s">
        <v>195</v>
      </c>
      <c r="AU2" s="44" t="s">
        <v>196</v>
      </c>
      <c r="AV2" s="261" t="s">
        <v>205</v>
      </c>
      <c r="AW2" s="74" t="s">
        <v>193</v>
      </c>
      <c r="AX2" s="74" t="s">
        <v>194</v>
      </c>
      <c r="AY2" s="74" t="s">
        <v>195</v>
      </c>
      <c r="AZ2" s="44" t="s">
        <v>196</v>
      </c>
      <c r="BA2" s="261" t="s">
        <v>206</v>
      </c>
      <c r="BB2" s="74" t="s">
        <v>193</v>
      </c>
      <c r="BC2" s="74" t="s">
        <v>194</v>
      </c>
      <c r="BD2" s="74" t="s">
        <v>195</v>
      </c>
      <c r="BE2" s="44" t="s">
        <v>196</v>
      </c>
      <c r="BF2" s="261" t="s">
        <v>207</v>
      </c>
      <c r="BG2" s="74" t="s">
        <v>193</v>
      </c>
      <c r="BH2" s="74" t="s">
        <v>194</v>
      </c>
      <c r="BI2" s="74" t="s">
        <v>195</v>
      </c>
      <c r="BJ2" s="44" t="s">
        <v>196</v>
      </c>
      <c r="BK2" s="261" t="s">
        <v>208</v>
      </c>
      <c r="BL2" s="74" t="s">
        <v>193</v>
      </c>
      <c r="BM2" s="74" t="s">
        <v>194</v>
      </c>
      <c r="BN2" s="74" t="s">
        <v>195</v>
      </c>
      <c r="BO2" s="44" t="s">
        <v>196</v>
      </c>
      <c r="BP2" s="261" t="s">
        <v>200</v>
      </c>
      <c r="BQ2" s="74" t="s">
        <v>193</v>
      </c>
      <c r="BR2" s="74" t="s">
        <v>194</v>
      </c>
      <c r="BS2" s="74" t="s">
        <v>195</v>
      </c>
      <c r="BT2" s="44" t="s">
        <v>196</v>
      </c>
      <c r="BU2" s="261" t="s">
        <v>201</v>
      </c>
    </row>
    <row r="3" spans="1:73" ht="15.95" hidden="1" customHeight="1" x14ac:dyDescent="0.25">
      <c r="A3" s="243">
        <v>806685</v>
      </c>
      <c r="B3" s="244" t="s">
        <v>57</v>
      </c>
      <c r="C3" s="240">
        <v>0</v>
      </c>
      <c r="D3" s="357"/>
      <c r="E3" s="357"/>
      <c r="F3" s="357"/>
      <c r="G3" s="357"/>
      <c r="H3" s="262">
        <f>+C3+D3+E3-F3-G3</f>
        <v>0</v>
      </c>
      <c r="I3" s="40"/>
      <c r="J3" s="40"/>
      <c r="K3" s="40"/>
      <c r="L3" s="40"/>
      <c r="M3" s="262">
        <f>+H3+I3+J3-K3-L3</f>
        <v>0</v>
      </c>
      <c r="N3" s="40"/>
      <c r="O3" s="40"/>
      <c r="P3" s="40"/>
      <c r="Q3" s="40"/>
      <c r="R3" s="262"/>
      <c r="S3" s="40"/>
      <c r="T3" s="40"/>
      <c r="U3" s="40"/>
      <c r="V3" s="40"/>
      <c r="W3" s="262"/>
      <c r="X3" s="40"/>
      <c r="Y3" s="40"/>
      <c r="Z3" s="40"/>
      <c r="AA3" s="40"/>
      <c r="AB3" s="262"/>
      <c r="AC3" s="40"/>
      <c r="AD3" s="40"/>
      <c r="AE3" s="40"/>
      <c r="AF3" s="40"/>
      <c r="AG3" s="262"/>
      <c r="AH3" s="40"/>
      <c r="AI3" s="40"/>
      <c r="AJ3" s="40"/>
      <c r="AK3" s="40"/>
      <c r="AL3" s="262"/>
      <c r="AM3" s="40"/>
      <c r="AN3" s="40"/>
      <c r="AO3" s="40"/>
      <c r="AP3" s="40"/>
      <c r="AQ3" s="262"/>
      <c r="AR3" s="40"/>
      <c r="AS3" s="40"/>
      <c r="AT3" s="40"/>
      <c r="AU3" s="40"/>
      <c r="AV3" s="262"/>
      <c r="AW3" s="40"/>
      <c r="AX3" s="40"/>
      <c r="AY3" s="40"/>
      <c r="AZ3" s="40"/>
      <c r="BA3" s="262"/>
      <c r="BB3" s="40"/>
      <c r="BC3" s="40"/>
      <c r="BD3" s="40"/>
      <c r="BE3" s="40"/>
      <c r="BF3" s="262"/>
      <c r="BG3" s="40"/>
      <c r="BH3" s="40"/>
      <c r="BI3" s="40"/>
      <c r="BJ3" s="40"/>
      <c r="BK3" s="262"/>
      <c r="BL3" s="40"/>
      <c r="BM3" s="40"/>
      <c r="BN3" s="40"/>
      <c r="BO3" s="40"/>
      <c r="BP3" s="262"/>
      <c r="BQ3" s="40"/>
      <c r="BR3" s="40"/>
      <c r="BS3" s="40"/>
      <c r="BT3" s="40"/>
      <c r="BU3" s="262"/>
    </row>
    <row r="4" spans="1:73" ht="15.95" customHeight="1" x14ac:dyDescent="0.25">
      <c r="A4" s="243">
        <v>806939</v>
      </c>
      <c r="B4" s="244" t="s">
        <v>67</v>
      </c>
      <c r="C4" s="240">
        <v>2</v>
      </c>
      <c r="D4" s="357"/>
      <c r="E4" s="357"/>
      <c r="F4" s="357"/>
      <c r="G4" s="357"/>
      <c r="H4" s="262">
        <f t="shared" ref="H4:H24" si="0">+C4+D4+E4-F4-G4</f>
        <v>2</v>
      </c>
      <c r="I4" s="40"/>
      <c r="J4" s="40"/>
      <c r="K4" s="40"/>
      <c r="L4" s="40"/>
      <c r="M4" s="262">
        <f t="shared" ref="M4:M24" si="1">+H4+I4+J4-K4-L4</f>
        <v>2</v>
      </c>
      <c r="N4" s="40"/>
      <c r="O4" s="40"/>
      <c r="P4" s="40"/>
      <c r="Q4" s="40"/>
      <c r="R4" s="262">
        <f>+M4+N4+O4-P4-Q4</f>
        <v>2</v>
      </c>
      <c r="S4" s="40"/>
      <c r="T4" s="40"/>
      <c r="U4" s="40"/>
      <c r="V4" s="40"/>
      <c r="W4" s="262"/>
      <c r="X4" s="40"/>
      <c r="Y4" s="40"/>
      <c r="Z4" s="40"/>
      <c r="AA4" s="40"/>
      <c r="AB4" s="262"/>
      <c r="AC4" s="40"/>
      <c r="AD4" s="40"/>
      <c r="AE4" s="40"/>
      <c r="AF4" s="40"/>
      <c r="AG4" s="262"/>
      <c r="AH4" s="40"/>
      <c r="AI4" s="40"/>
      <c r="AJ4" s="40"/>
      <c r="AK4" s="40"/>
      <c r="AL4" s="262"/>
      <c r="AM4" s="40"/>
      <c r="AN4" s="40"/>
      <c r="AO4" s="40"/>
      <c r="AP4" s="40"/>
      <c r="AQ4" s="262"/>
      <c r="AR4" s="40"/>
      <c r="AS4" s="40"/>
      <c r="AT4" s="40"/>
      <c r="AU4" s="40"/>
      <c r="AV4" s="262"/>
      <c r="AW4" s="40"/>
      <c r="AX4" s="40"/>
      <c r="AY4" s="40"/>
      <c r="AZ4" s="40"/>
      <c r="BA4" s="262"/>
      <c r="BB4" s="40"/>
      <c r="BC4" s="40"/>
      <c r="BD4" s="40"/>
      <c r="BE4" s="40"/>
      <c r="BF4" s="262"/>
      <c r="BG4" s="40"/>
      <c r="BH4" s="40"/>
      <c r="BI4" s="40"/>
      <c r="BJ4" s="40"/>
      <c r="BK4" s="262"/>
      <c r="BL4" s="40"/>
      <c r="BM4" s="40"/>
      <c r="BN4" s="40"/>
      <c r="BO4" s="40"/>
      <c r="BP4" s="262">
        <f>+R4+BL4+BM4-BN4-BO4</f>
        <v>2</v>
      </c>
      <c r="BQ4" s="40"/>
      <c r="BR4" s="40"/>
      <c r="BS4" s="40"/>
      <c r="BT4" s="40"/>
      <c r="BU4" s="262">
        <f>+BP4+BQ4+BR4-BS4-BT4</f>
        <v>2</v>
      </c>
    </row>
    <row r="5" spans="1:73" ht="15.95" hidden="1" customHeight="1" x14ac:dyDescent="0.25">
      <c r="A5" s="243">
        <v>806694</v>
      </c>
      <c r="B5" s="244" t="s">
        <v>68</v>
      </c>
      <c r="C5" s="240">
        <v>0</v>
      </c>
      <c r="D5" s="357"/>
      <c r="E5" s="357"/>
      <c r="F5" s="357"/>
      <c r="G5" s="357"/>
      <c r="H5" s="262">
        <f t="shared" si="0"/>
        <v>0</v>
      </c>
      <c r="I5" s="40"/>
      <c r="J5" s="40"/>
      <c r="K5" s="40"/>
      <c r="L5" s="40"/>
      <c r="M5" s="262">
        <f t="shared" si="1"/>
        <v>0</v>
      </c>
      <c r="N5" s="40"/>
      <c r="O5" s="40"/>
      <c r="P5" s="40"/>
      <c r="Q5" s="40"/>
      <c r="R5" s="262">
        <f t="shared" ref="R5:R24" si="2">+M5+N5+O5-P5-Q5</f>
        <v>0</v>
      </c>
      <c r="S5" s="40"/>
      <c r="T5" s="40"/>
      <c r="U5" s="40"/>
      <c r="V5" s="40"/>
      <c r="W5" s="262"/>
      <c r="X5" s="40"/>
      <c r="Y5" s="40"/>
      <c r="Z5" s="40"/>
      <c r="AA5" s="40"/>
      <c r="AB5" s="262"/>
      <c r="AC5" s="40"/>
      <c r="AD5" s="40"/>
      <c r="AE5" s="40"/>
      <c r="AF5" s="40"/>
      <c r="AG5" s="262"/>
      <c r="AH5" s="40"/>
      <c r="AI5" s="40"/>
      <c r="AJ5" s="40"/>
      <c r="AK5" s="40"/>
      <c r="AL5" s="262"/>
      <c r="AM5" s="40"/>
      <c r="AN5" s="40"/>
      <c r="AO5" s="40"/>
      <c r="AP5" s="40"/>
      <c r="AQ5" s="262"/>
      <c r="AR5" s="40"/>
      <c r="AS5" s="40"/>
      <c r="AT5" s="40"/>
      <c r="AU5" s="40"/>
      <c r="AV5" s="262"/>
      <c r="AW5" s="40"/>
      <c r="AX5" s="40"/>
      <c r="AY5" s="40"/>
      <c r="AZ5" s="40"/>
      <c r="BA5" s="262"/>
      <c r="BB5" s="40"/>
      <c r="BC5" s="40"/>
      <c r="BD5" s="40"/>
      <c r="BE5" s="40"/>
      <c r="BF5" s="262"/>
      <c r="BG5" s="40"/>
      <c r="BH5" s="40"/>
      <c r="BI5" s="40"/>
      <c r="BJ5" s="40"/>
      <c r="BK5" s="262"/>
      <c r="BL5" s="40"/>
      <c r="BM5" s="40"/>
      <c r="BN5" s="40"/>
      <c r="BO5" s="40"/>
      <c r="BP5" s="262">
        <f t="shared" ref="BP5:BP24" si="3">+R5+BL5+BM5-BN5-BO5</f>
        <v>0</v>
      </c>
      <c r="BQ5" s="40"/>
      <c r="BR5" s="40"/>
      <c r="BS5" s="40"/>
      <c r="BT5" s="40"/>
      <c r="BU5" s="262">
        <f t="shared" ref="BU5:BU24" si="4">+BP5+BQ5+BR5-BS5-BT5</f>
        <v>0</v>
      </c>
    </row>
    <row r="6" spans="1:73" ht="15.95" hidden="1" customHeight="1" x14ac:dyDescent="0.25">
      <c r="A6" s="243">
        <v>804104</v>
      </c>
      <c r="B6" s="244" t="s">
        <v>69</v>
      </c>
      <c r="C6" s="240">
        <v>0</v>
      </c>
      <c r="D6" s="357"/>
      <c r="E6" s="357"/>
      <c r="F6" s="357"/>
      <c r="G6" s="357"/>
      <c r="H6" s="262">
        <f t="shared" si="0"/>
        <v>0</v>
      </c>
      <c r="I6" s="40"/>
      <c r="J6" s="40"/>
      <c r="K6" s="40"/>
      <c r="L6" s="40"/>
      <c r="M6" s="262">
        <f t="shared" si="1"/>
        <v>0</v>
      </c>
      <c r="N6" s="40"/>
      <c r="O6" s="40"/>
      <c r="P6" s="40"/>
      <c r="Q6" s="40"/>
      <c r="R6" s="262">
        <f t="shared" si="2"/>
        <v>0</v>
      </c>
      <c r="S6" s="40"/>
      <c r="T6" s="40"/>
      <c r="U6" s="40"/>
      <c r="V6" s="40"/>
      <c r="W6" s="262"/>
      <c r="X6" s="40"/>
      <c r="Y6" s="40"/>
      <c r="Z6" s="40"/>
      <c r="AA6" s="40"/>
      <c r="AB6" s="262"/>
      <c r="AC6" s="40"/>
      <c r="AD6" s="40"/>
      <c r="AE6" s="40"/>
      <c r="AF6" s="40"/>
      <c r="AG6" s="262"/>
      <c r="AH6" s="40"/>
      <c r="AI6" s="40"/>
      <c r="AJ6" s="40"/>
      <c r="AK6" s="40"/>
      <c r="AL6" s="262"/>
      <c r="AM6" s="40"/>
      <c r="AN6" s="40"/>
      <c r="AO6" s="40"/>
      <c r="AP6" s="40"/>
      <c r="AQ6" s="262"/>
      <c r="AR6" s="40"/>
      <c r="AS6" s="40"/>
      <c r="AT6" s="40"/>
      <c r="AU6" s="40"/>
      <c r="AV6" s="262"/>
      <c r="AW6" s="40"/>
      <c r="AX6" s="40"/>
      <c r="AY6" s="40"/>
      <c r="AZ6" s="40"/>
      <c r="BA6" s="262"/>
      <c r="BB6" s="40"/>
      <c r="BC6" s="40"/>
      <c r="BD6" s="40"/>
      <c r="BE6" s="40"/>
      <c r="BF6" s="262"/>
      <c r="BG6" s="40"/>
      <c r="BH6" s="40"/>
      <c r="BI6" s="40"/>
      <c r="BJ6" s="40"/>
      <c r="BK6" s="262"/>
      <c r="BL6" s="40"/>
      <c r="BM6" s="40"/>
      <c r="BN6" s="40"/>
      <c r="BO6" s="40"/>
      <c r="BP6" s="262">
        <f t="shared" si="3"/>
        <v>0</v>
      </c>
      <c r="BQ6" s="40"/>
      <c r="BR6" s="40"/>
      <c r="BS6" s="40"/>
      <c r="BT6" s="40"/>
      <c r="BU6" s="262">
        <f t="shared" si="4"/>
        <v>0</v>
      </c>
    </row>
    <row r="7" spans="1:73" ht="15.95" customHeight="1" x14ac:dyDescent="0.25">
      <c r="A7" s="243">
        <v>806686</v>
      </c>
      <c r="B7" s="244" t="s">
        <v>70</v>
      </c>
      <c r="C7" s="240">
        <v>12</v>
      </c>
      <c r="D7" s="357"/>
      <c r="E7" s="357"/>
      <c r="F7" s="357"/>
      <c r="G7" s="357"/>
      <c r="H7" s="262">
        <f t="shared" si="0"/>
        <v>12</v>
      </c>
      <c r="I7" s="40"/>
      <c r="J7" s="40"/>
      <c r="K7" s="40"/>
      <c r="L7" s="40"/>
      <c r="M7" s="262">
        <f t="shared" si="1"/>
        <v>12</v>
      </c>
      <c r="N7" s="40"/>
      <c r="O7" s="40"/>
      <c r="P7" s="40"/>
      <c r="Q7" s="40"/>
      <c r="R7" s="262">
        <f t="shared" si="2"/>
        <v>12</v>
      </c>
      <c r="S7" s="40"/>
      <c r="T7" s="40"/>
      <c r="U7" s="40"/>
      <c r="V7" s="40"/>
      <c r="W7" s="262"/>
      <c r="X7" s="40"/>
      <c r="Y7" s="40"/>
      <c r="Z7" s="40"/>
      <c r="AA7" s="40"/>
      <c r="AB7" s="262"/>
      <c r="AC7" s="40"/>
      <c r="AD7" s="40"/>
      <c r="AE7" s="40"/>
      <c r="AF7" s="40"/>
      <c r="AG7" s="262"/>
      <c r="AH7" s="40"/>
      <c r="AI7" s="40"/>
      <c r="AJ7" s="40"/>
      <c r="AK7" s="40"/>
      <c r="AL7" s="262"/>
      <c r="AM7" s="40"/>
      <c r="AN7" s="40"/>
      <c r="AO7" s="40"/>
      <c r="AP7" s="40"/>
      <c r="AQ7" s="262"/>
      <c r="AR7" s="40"/>
      <c r="AS7" s="40"/>
      <c r="AT7" s="40"/>
      <c r="AU7" s="40"/>
      <c r="AV7" s="262"/>
      <c r="AW7" s="40"/>
      <c r="AX7" s="40"/>
      <c r="AY7" s="40"/>
      <c r="AZ7" s="40"/>
      <c r="BA7" s="262"/>
      <c r="BB7" s="40"/>
      <c r="BC7" s="40"/>
      <c r="BD7" s="40"/>
      <c r="BE7" s="40"/>
      <c r="BF7" s="262"/>
      <c r="BG7" s="40"/>
      <c r="BH7" s="40"/>
      <c r="BI7" s="40"/>
      <c r="BJ7" s="40"/>
      <c r="BK7" s="262"/>
      <c r="BL7" s="40"/>
      <c r="BM7" s="40"/>
      <c r="BN7" s="40"/>
      <c r="BO7" s="40"/>
      <c r="BP7" s="262">
        <f t="shared" si="3"/>
        <v>12</v>
      </c>
      <c r="BQ7" s="40"/>
      <c r="BR7" s="40"/>
      <c r="BS7" s="40"/>
      <c r="BT7" s="40"/>
      <c r="BU7" s="262">
        <f t="shared" si="4"/>
        <v>12</v>
      </c>
    </row>
    <row r="8" spans="1:73" ht="15.95" hidden="1" customHeight="1" x14ac:dyDescent="0.25">
      <c r="A8" s="243">
        <v>804109</v>
      </c>
      <c r="B8" s="244" t="s">
        <v>71</v>
      </c>
      <c r="C8" s="240">
        <v>0</v>
      </c>
      <c r="D8" s="357"/>
      <c r="E8" s="357"/>
      <c r="F8" s="357"/>
      <c r="G8" s="357"/>
      <c r="H8" s="262">
        <f t="shared" si="0"/>
        <v>0</v>
      </c>
      <c r="I8" s="40"/>
      <c r="J8" s="40"/>
      <c r="K8" s="40"/>
      <c r="L8" s="40"/>
      <c r="M8" s="262">
        <f t="shared" si="1"/>
        <v>0</v>
      </c>
      <c r="N8" s="40"/>
      <c r="O8" s="40"/>
      <c r="P8" s="40"/>
      <c r="Q8" s="40"/>
      <c r="R8" s="262">
        <f t="shared" si="2"/>
        <v>0</v>
      </c>
      <c r="S8" s="40"/>
      <c r="T8" s="40"/>
      <c r="U8" s="40"/>
      <c r="V8" s="40"/>
      <c r="W8" s="262"/>
      <c r="X8" s="40"/>
      <c r="Y8" s="40"/>
      <c r="Z8" s="40"/>
      <c r="AA8" s="40"/>
      <c r="AB8" s="262"/>
      <c r="AC8" s="40"/>
      <c r="AD8" s="40"/>
      <c r="AE8" s="40"/>
      <c r="AF8" s="40"/>
      <c r="AG8" s="262"/>
      <c r="AH8" s="40"/>
      <c r="AI8" s="40"/>
      <c r="AJ8" s="40"/>
      <c r="AK8" s="40"/>
      <c r="AL8" s="262"/>
      <c r="AM8" s="40"/>
      <c r="AN8" s="40"/>
      <c r="AO8" s="40"/>
      <c r="AP8" s="40"/>
      <c r="AQ8" s="262"/>
      <c r="AR8" s="40"/>
      <c r="AS8" s="40"/>
      <c r="AT8" s="40"/>
      <c r="AU8" s="40"/>
      <c r="AV8" s="262"/>
      <c r="AW8" s="40"/>
      <c r="AX8" s="40"/>
      <c r="AY8" s="40"/>
      <c r="AZ8" s="40"/>
      <c r="BA8" s="262"/>
      <c r="BB8" s="40"/>
      <c r="BC8" s="40"/>
      <c r="BD8" s="40"/>
      <c r="BE8" s="40"/>
      <c r="BF8" s="262"/>
      <c r="BG8" s="40"/>
      <c r="BH8" s="40"/>
      <c r="BI8" s="40"/>
      <c r="BJ8" s="40"/>
      <c r="BK8" s="262"/>
      <c r="BL8" s="40"/>
      <c r="BM8" s="40"/>
      <c r="BN8" s="40"/>
      <c r="BO8" s="40"/>
      <c r="BP8" s="262">
        <f t="shared" si="3"/>
        <v>0</v>
      </c>
      <c r="BQ8" s="40"/>
      <c r="BR8" s="40"/>
      <c r="BS8" s="40"/>
      <c r="BT8" s="40"/>
      <c r="BU8" s="262">
        <f t="shared" si="4"/>
        <v>0</v>
      </c>
    </row>
    <row r="9" spans="1:73" ht="15.95" hidden="1" customHeight="1" x14ac:dyDescent="0.25">
      <c r="A9" s="243">
        <v>806980</v>
      </c>
      <c r="B9" s="244" t="s">
        <v>72</v>
      </c>
      <c r="C9" s="240"/>
      <c r="D9" s="357"/>
      <c r="E9" s="357"/>
      <c r="F9" s="357"/>
      <c r="G9" s="357"/>
      <c r="H9" s="262">
        <f t="shared" si="0"/>
        <v>0</v>
      </c>
      <c r="I9" s="40"/>
      <c r="J9" s="40"/>
      <c r="K9" s="40"/>
      <c r="L9" s="40"/>
      <c r="M9" s="262">
        <f t="shared" si="1"/>
        <v>0</v>
      </c>
      <c r="N9" s="40"/>
      <c r="O9" s="40"/>
      <c r="P9" s="40"/>
      <c r="Q9" s="40"/>
      <c r="R9" s="262">
        <f t="shared" si="2"/>
        <v>0</v>
      </c>
      <c r="S9" s="40"/>
      <c r="T9" s="40"/>
      <c r="U9" s="40"/>
      <c r="V9" s="40"/>
      <c r="W9" s="262"/>
      <c r="X9" s="40"/>
      <c r="Y9" s="40"/>
      <c r="Z9" s="40"/>
      <c r="AA9" s="40"/>
      <c r="AB9" s="262"/>
      <c r="AC9" s="40"/>
      <c r="AD9" s="40"/>
      <c r="AE9" s="40"/>
      <c r="AF9" s="40"/>
      <c r="AG9" s="262"/>
      <c r="AH9" s="40"/>
      <c r="AI9" s="40"/>
      <c r="AJ9" s="40"/>
      <c r="AK9" s="40"/>
      <c r="AL9" s="262"/>
      <c r="AM9" s="40"/>
      <c r="AN9" s="40"/>
      <c r="AO9" s="40"/>
      <c r="AP9" s="40"/>
      <c r="AQ9" s="262"/>
      <c r="AR9" s="40"/>
      <c r="AS9" s="40"/>
      <c r="AT9" s="40"/>
      <c r="AU9" s="40"/>
      <c r="AV9" s="262"/>
      <c r="AW9" s="40"/>
      <c r="AX9" s="40"/>
      <c r="AY9" s="40"/>
      <c r="AZ9" s="40"/>
      <c r="BA9" s="262"/>
      <c r="BB9" s="40"/>
      <c r="BC9" s="40"/>
      <c r="BD9" s="40"/>
      <c r="BE9" s="40"/>
      <c r="BF9" s="262"/>
      <c r="BG9" s="40"/>
      <c r="BH9" s="40"/>
      <c r="BI9" s="40"/>
      <c r="BJ9" s="40"/>
      <c r="BK9" s="262"/>
      <c r="BL9" s="40"/>
      <c r="BM9" s="40"/>
      <c r="BN9" s="40"/>
      <c r="BO9" s="40"/>
      <c r="BP9" s="262">
        <f t="shared" si="3"/>
        <v>0</v>
      </c>
      <c r="BQ9" s="40"/>
      <c r="BR9" s="40"/>
      <c r="BS9" s="40"/>
      <c r="BT9" s="40"/>
      <c r="BU9" s="262">
        <f t="shared" si="4"/>
        <v>0</v>
      </c>
    </row>
    <row r="10" spans="1:73" ht="15.95" hidden="1" customHeight="1" x14ac:dyDescent="0.25">
      <c r="A10" s="243">
        <v>806982</v>
      </c>
      <c r="B10" s="244" t="s">
        <v>73</v>
      </c>
      <c r="C10" s="240">
        <v>0</v>
      </c>
      <c r="D10" s="357"/>
      <c r="E10" s="357"/>
      <c r="F10" s="357"/>
      <c r="G10" s="357"/>
      <c r="H10" s="262">
        <f t="shared" si="0"/>
        <v>0</v>
      </c>
      <c r="I10" s="40"/>
      <c r="J10" s="40"/>
      <c r="K10" s="40"/>
      <c r="L10" s="40"/>
      <c r="M10" s="262">
        <f t="shared" si="1"/>
        <v>0</v>
      </c>
      <c r="N10" s="40"/>
      <c r="O10" s="40"/>
      <c r="P10" s="40"/>
      <c r="Q10" s="40"/>
      <c r="R10" s="262">
        <f t="shared" si="2"/>
        <v>0</v>
      </c>
      <c r="S10" s="40"/>
      <c r="T10" s="40"/>
      <c r="U10" s="40"/>
      <c r="V10" s="40"/>
      <c r="W10" s="262"/>
      <c r="X10" s="40"/>
      <c r="Y10" s="40"/>
      <c r="Z10" s="40"/>
      <c r="AA10" s="40"/>
      <c r="AB10" s="262"/>
      <c r="AC10" s="40"/>
      <c r="AD10" s="40"/>
      <c r="AE10" s="40"/>
      <c r="AF10" s="40"/>
      <c r="AG10" s="262"/>
      <c r="AH10" s="40"/>
      <c r="AI10" s="40"/>
      <c r="AJ10" s="40"/>
      <c r="AK10" s="40"/>
      <c r="AL10" s="262"/>
      <c r="AM10" s="40"/>
      <c r="AN10" s="40"/>
      <c r="AO10" s="40"/>
      <c r="AP10" s="40"/>
      <c r="AQ10" s="262"/>
      <c r="AR10" s="40"/>
      <c r="AS10" s="40"/>
      <c r="AT10" s="40"/>
      <c r="AU10" s="40"/>
      <c r="AV10" s="262"/>
      <c r="AW10" s="40"/>
      <c r="AX10" s="40"/>
      <c r="AY10" s="40"/>
      <c r="AZ10" s="40"/>
      <c r="BA10" s="262"/>
      <c r="BB10" s="40"/>
      <c r="BC10" s="40"/>
      <c r="BD10" s="40"/>
      <c r="BE10" s="40"/>
      <c r="BF10" s="262"/>
      <c r="BG10" s="40"/>
      <c r="BH10" s="40"/>
      <c r="BI10" s="40"/>
      <c r="BJ10" s="40"/>
      <c r="BK10" s="262"/>
      <c r="BL10" s="40"/>
      <c r="BM10" s="40"/>
      <c r="BN10" s="40"/>
      <c r="BO10" s="40"/>
      <c r="BP10" s="262">
        <f t="shared" si="3"/>
        <v>0</v>
      </c>
      <c r="BQ10" s="40"/>
      <c r="BR10" s="40"/>
      <c r="BS10" s="40"/>
      <c r="BT10" s="40"/>
      <c r="BU10" s="262">
        <f t="shared" si="4"/>
        <v>0</v>
      </c>
    </row>
    <row r="11" spans="1:73" ht="15.95" hidden="1" customHeight="1" x14ac:dyDescent="0.25">
      <c r="A11" s="243">
        <v>260612</v>
      </c>
      <c r="B11" s="244" t="s">
        <v>74</v>
      </c>
      <c r="C11" s="240">
        <v>0</v>
      </c>
      <c r="D11" s="357"/>
      <c r="E11" s="357"/>
      <c r="F11" s="357"/>
      <c r="G11" s="357"/>
      <c r="H11" s="262">
        <f t="shared" si="0"/>
        <v>0</v>
      </c>
      <c r="I11" s="40"/>
      <c r="J11" s="40"/>
      <c r="K11" s="40"/>
      <c r="L11" s="40"/>
      <c r="M11" s="262">
        <f t="shared" si="1"/>
        <v>0</v>
      </c>
      <c r="N11" s="40"/>
      <c r="O11" s="40"/>
      <c r="P11" s="40"/>
      <c r="Q11" s="40"/>
      <c r="R11" s="262">
        <f t="shared" si="2"/>
        <v>0</v>
      </c>
      <c r="S11" s="40"/>
      <c r="T11" s="40"/>
      <c r="U11" s="40"/>
      <c r="V11" s="40"/>
      <c r="W11" s="262"/>
      <c r="X11" s="40"/>
      <c r="Y11" s="40"/>
      <c r="Z11" s="40"/>
      <c r="AA11" s="40"/>
      <c r="AB11" s="262"/>
      <c r="AC11" s="40"/>
      <c r="AD11" s="40"/>
      <c r="AE11" s="40"/>
      <c r="AF11" s="40"/>
      <c r="AG11" s="262"/>
      <c r="AH11" s="40"/>
      <c r="AI11" s="40"/>
      <c r="AJ11" s="40"/>
      <c r="AK11" s="40"/>
      <c r="AL11" s="262"/>
      <c r="AM11" s="40"/>
      <c r="AN11" s="40"/>
      <c r="AO11" s="40"/>
      <c r="AP11" s="40"/>
      <c r="AQ11" s="262"/>
      <c r="AR11" s="40"/>
      <c r="AS11" s="40"/>
      <c r="AT11" s="40"/>
      <c r="AU11" s="40"/>
      <c r="AV11" s="262"/>
      <c r="AW11" s="40"/>
      <c r="AX11" s="40"/>
      <c r="AY11" s="40"/>
      <c r="AZ11" s="40"/>
      <c r="BA11" s="262"/>
      <c r="BB11" s="40"/>
      <c r="BC11" s="40"/>
      <c r="BD11" s="40"/>
      <c r="BE11" s="40"/>
      <c r="BF11" s="262"/>
      <c r="BG11" s="40"/>
      <c r="BH11" s="40"/>
      <c r="BI11" s="40"/>
      <c r="BJ11" s="40"/>
      <c r="BK11" s="262"/>
      <c r="BL11" s="40"/>
      <c r="BM11" s="40"/>
      <c r="BN11" s="40"/>
      <c r="BO11" s="40"/>
      <c r="BP11" s="262">
        <f t="shared" si="3"/>
        <v>0</v>
      </c>
      <c r="BQ11" s="40"/>
      <c r="BR11" s="40"/>
      <c r="BS11" s="40"/>
      <c r="BT11" s="40"/>
      <c r="BU11" s="262">
        <f t="shared" si="4"/>
        <v>0</v>
      </c>
    </row>
    <row r="12" spans="1:73" ht="15.95" hidden="1" customHeight="1" x14ac:dyDescent="0.25">
      <c r="A12" s="243">
        <v>804661</v>
      </c>
      <c r="B12" s="244" t="s">
        <v>75</v>
      </c>
      <c r="C12" s="240">
        <v>0</v>
      </c>
      <c r="D12" s="357"/>
      <c r="E12" s="357"/>
      <c r="F12" s="357"/>
      <c r="G12" s="357"/>
      <c r="H12" s="262">
        <f t="shared" si="0"/>
        <v>0</v>
      </c>
      <c r="I12" s="40"/>
      <c r="J12" s="40"/>
      <c r="K12" s="40"/>
      <c r="L12" s="40"/>
      <c r="M12" s="262">
        <f t="shared" si="1"/>
        <v>0</v>
      </c>
      <c r="N12" s="40"/>
      <c r="O12" s="40"/>
      <c r="P12" s="40"/>
      <c r="Q12" s="40"/>
      <c r="R12" s="262">
        <f t="shared" si="2"/>
        <v>0</v>
      </c>
      <c r="S12" s="40"/>
      <c r="T12" s="40"/>
      <c r="U12" s="40"/>
      <c r="V12" s="40"/>
      <c r="W12" s="262"/>
      <c r="X12" s="40"/>
      <c r="Y12" s="40"/>
      <c r="Z12" s="40"/>
      <c r="AA12" s="40"/>
      <c r="AB12" s="262"/>
      <c r="AC12" s="40"/>
      <c r="AD12" s="40"/>
      <c r="AE12" s="40"/>
      <c r="AF12" s="40"/>
      <c r="AG12" s="262"/>
      <c r="AH12" s="40"/>
      <c r="AI12" s="40"/>
      <c r="AJ12" s="40"/>
      <c r="AK12" s="40"/>
      <c r="AL12" s="262"/>
      <c r="AM12" s="40"/>
      <c r="AN12" s="40"/>
      <c r="AO12" s="40"/>
      <c r="AP12" s="40"/>
      <c r="AQ12" s="262"/>
      <c r="AR12" s="40"/>
      <c r="AS12" s="40"/>
      <c r="AT12" s="40"/>
      <c r="AU12" s="40"/>
      <c r="AV12" s="262"/>
      <c r="AW12" s="40"/>
      <c r="AX12" s="40"/>
      <c r="AY12" s="40"/>
      <c r="AZ12" s="40"/>
      <c r="BA12" s="262"/>
      <c r="BB12" s="40"/>
      <c r="BC12" s="40"/>
      <c r="BD12" s="40"/>
      <c r="BE12" s="40"/>
      <c r="BF12" s="262"/>
      <c r="BG12" s="40"/>
      <c r="BH12" s="40"/>
      <c r="BI12" s="40"/>
      <c r="BJ12" s="40"/>
      <c r="BK12" s="262"/>
      <c r="BL12" s="40"/>
      <c r="BM12" s="40"/>
      <c r="BN12" s="40"/>
      <c r="BO12" s="40"/>
      <c r="BP12" s="262">
        <f t="shared" si="3"/>
        <v>0</v>
      </c>
      <c r="BQ12" s="40"/>
      <c r="BR12" s="40"/>
      <c r="BS12" s="40"/>
      <c r="BT12" s="40"/>
      <c r="BU12" s="262">
        <f t="shared" si="4"/>
        <v>0</v>
      </c>
    </row>
    <row r="13" spans="1:73" ht="15.95" hidden="1" customHeight="1" x14ac:dyDescent="0.25">
      <c r="A13" s="243">
        <v>806702</v>
      </c>
      <c r="B13" s="244" t="s">
        <v>76</v>
      </c>
      <c r="C13" s="240">
        <v>0</v>
      </c>
      <c r="D13" s="357"/>
      <c r="E13" s="357"/>
      <c r="F13" s="357"/>
      <c r="G13" s="357"/>
      <c r="H13" s="262">
        <f t="shared" si="0"/>
        <v>0</v>
      </c>
      <c r="I13" s="40"/>
      <c r="J13" s="40"/>
      <c r="K13" s="40"/>
      <c r="L13" s="40"/>
      <c r="M13" s="262">
        <f t="shared" si="1"/>
        <v>0</v>
      </c>
      <c r="N13" s="40"/>
      <c r="O13" s="40"/>
      <c r="P13" s="40"/>
      <c r="Q13" s="40"/>
      <c r="R13" s="262">
        <f t="shared" si="2"/>
        <v>0</v>
      </c>
      <c r="S13" s="40"/>
      <c r="T13" s="40"/>
      <c r="U13" s="40"/>
      <c r="V13" s="40"/>
      <c r="W13" s="262"/>
      <c r="X13" s="40"/>
      <c r="Y13" s="40"/>
      <c r="Z13" s="40"/>
      <c r="AA13" s="40"/>
      <c r="AB13" s="262"/>
      <c r="AC13" s="40"/>
      <c r="AD13" s="40"/>
      <c r="AE13" s="40"/>
      <c r="AF13" s="40"/>
      <c r="AG13" s="262"/>
      <c r="AH13" s="40"/>
      <c r="AI13" s="40"/>
      <c r="AJ13" s="40"/>
      <c r="AK13" s="40"/>
      <c r="AL13" s="262"/>
      <c r="AM13" s="40"/>
      <c r="AN13" s="40"/>
      <c r="AO13" s="40"/>
      <c r="AP13" s="40"/>
      <c r="AQ13" s="262"/>
      <c r="AR13" s="40"/>
      <c r="AS13" s="40"/>
      <c r="AT13" s="40"/>
      <c r="AU13" s="40"/>
      <c r="AV13" s="262"/>
      <c r="AW13" s="40"/>
      <c r="AX13" s="40"/>
      <c r="AY13" s="40"/>
      <c r="AZ13" s="40"/>
      <c r="BA13" s="262"/>
      <c r="BB13" s="40"/>
      <c r="BC13" s="40"/>
      <c r="BD13" s="40"/>
      <c r="BE13" s="40"/>
      <c r="BF13" s="262"/>
      <c r="BG13" s="40"/>
      <c r="BH13" s="40"/>
      <c r="BI13" s="40"/>
      <c r="BJ13" s="40"/>
      <c r="BK13" s="262"/>
      <c r="BL13" s="40"/>
      <c r="BM13" s="40"/>
      <c r="BN13" s="40"/>
      <c r="BO13" s="40"/>
      <c r="BP13" s="262">
        <f t="shared" si="3"/>
        <v>0</v>
      </c>
      <c r="BQ13" s="40"/>
      <c r="BR13" s="40"/>
      <c r="BS13" s="40"/>
      <c r="BT13" s="40"/>
      <c r="BU13" s="262">
        <f t="shared" si="4"/>
        <v>0</v>
      </c>
    </row>
    <row r="14" spans="1:73" ht="15.95" hidden="1" customHeight="1" x14ac:dyDescent="0.25">
      <c r="A14" s="243">
        <v>804661</v>
      </c>
      <c r="B14" s="244" t="s">
        <v>75</v>
      </c>
      <c r="C14" s="240">
        <v>0</v>
      </c>
      <c r="D14" s="357"/>
      <c r="E14" s="357"/>
      <c r="F14" s="357"/>
      <c r="G14" s="357"/>
      <c r="H14" s="262">
        <f t="shared" si="0"/>
        <v>0</v>
      </c>
      <c r="I14" s="40"/>
      <c r="J14" s="40"/>
      <c r="K14" s="40"/>
      <c r="L14" s="40"/>
      <c r="M14" s="262">
        <f t="shared" si="1"/>
        <v>0</v>
      </c>
      <c r="N14" s="40"/>
      <c r="O14" s="40"/>
      <c r="P14" s="40"/>
      <c r="Q14" s="40"/>
      <c r="R14" s="262">
        <f t="shared" si="2"/>
        <v>0</v>
      </c>
      <c r="S14" s="40"/>
      <c r="T14" s="40"/>
      <c r="U14" s="40"/>
      <c r="V14" s="40"/>
      <c r="W14" s="262"/>
      <c r="X14" s="40"/>
      <c r="Y14" s="40"/>
      <c r="Z14" s="40"/>
      <c r="AA14" s="40"/>
      <c r="AB14" s="262"/>
      <c r="AC14" s="40"/>
      <c r="AD14" s="40"/>
      <c r="AE14" s="40"/>
      <c r="AF14" s="40"/>
      <c r="AG14" s="262"/>
      <c r="AH14" s="40"/>
      <c r="AI14" s="40"/>
      <c r="AJ14" s="40"/>
      <c r="AK14" s="40"/>
      <c r="AL14" s="262"/>
      <c r="AM14" s="40"/>
      <c r="AN14" s="40"/>
      <c r="AO14" s="40"/>
      <c r="AP14" s="40"/>
      <c r="AQ14" s="262"/>
      <c r="AR14" s="40"/>
      <c r="AS14" s="40"/>
      <c r="AT14" s="40"/>
      <c r="AU14" s="40"/>
      <c r="AV14" s="262"/>
      <c r="AW14" s="40"/>
      <c r="AX14" s="40"/>
      <c r="AY14" s="40"/>
      <c r="AZ14" s="40"/>
      <c r="BA14" s="262"/>
      <c r="BB14" s="40"/>
      <c r="BC14" s="40"/>
      <c r="BD14" s="40"/>
      <c r="BE14" s="40"/>
      <c r="BF14" s="262"/>
      <c r="BG14" s="40"/>
      <c r="BH14" s="40"/>
      <c r="BI14" s="40"/>
      <c r="BJ14" s="40"/>
      <c r="BK14" s="262"/>
      <c r="BL14" s="40"/>
      <c r="BM14" s="40"/>
      <c r="BN14" s="40"/>
      <c r="BO14" s="40"/>
      <c r="BP14" s="262">
        <f t="shared" si="3"/>
        <v>0</v>
      </c>
      <c r="BQ14" s="40"/>
      <c r="BR14" s="40"/>
      <c r="BS14" s="40"/>
      <c r="BT14" s="40"/>
      <c r="BU14" s="262">
        <f t="shared" si="4"/>
        <v>0</v>
      </c>
    </row>
    <row r="15" spans="1:73" ht="15.95" customHeight="1" x14ac:dyDescent="0.25">
      <c r="A15" s="267">
        <v>807769</v>
      </c>
      <c r="B15" s="268" t="s">
        <v>77</v>
      </c>
      <c r="C15" s="241">
        <v>165</v>
      </c>
      <c r="D15" s="359"/>
      <c r="E15" s="359"/>
      <c r="F15" s="359"/>
      <c r="G15" s="359"/>
      <c r="H15" s="262">
        <f t="shared" si="0"/>
        <v>165</v>
      </c>
      <c r="I15" s="265"/>
      <c r="J15" s="265"/>
      <c r="K15" s="265"/>
      <c r="L15" s="265"/>
      <c r="M15" s="262">
        <f t="shared" si="1"/>
        <v>165</v>
      </c>
      <c r="N15" s="265"/>
      <c r="O15" s="265"/>
      <c r="P15" s="265"/>
      <c r="Q15" s="265">
        <v>47</v>
      </c>
      <c r="R15" s="262">
        <f t="shared" si="2"/>
        <v>118</v>
      </c>
      <c r="S15" s="265"/>
      <c r="T15" s="265"/>
      <c r="U15" s="265"/>
      <c r="V15" s="265"/>
      <c r="W15" s="266"/>
      <c r="X15" s="265"/>
      <c r="Y15" s="265"/>
      <c r="Z15" s="265"/>
      <c r="AA15" s="265"/>
      <c r="AB15" s="266"/>
      <c r="AC15" s="265"/>
      <c r="AD15" s="265"/>
      <c r="AE15" s="265"/>
      <c r="AF15" s="265"/>
      <c r="AG15" s="266"/>
      <c r="AH15" s="265"/>
      <c r="AI15" s="265"/>
      <c r="AJ15" s="265"/>
      <c r="AK15" s="265"/>
      <c r="AL15" s="266"/>
      <c r="AM15" s="265"/>
      <c r="AN15" s="265"/>
      <c r="AO15" s="265"/>
      <c r="AP15" s="265"/>
      <c r="AQ15" s="266"/>
      <c r="AR15" s="265"/>
      <c r="AS15" s="265"/>
      <c r="AT15" s="265"/>
      <c r="AU15" s="265"/>
      <c r="AV15" s="266"/>
      <c r="AW15" s="265"/>
      <c r="AX15" s="265"/>
      <c r="AY15" s="265"/>
      <c r="AZ15" s="265"/>
      <c r="BA15" s="266"/>
      <c r="BB15" s="265"/>
      <c r="BC15" s="265"/>
      <c r="BD15" s="265"/>
      <c r="BE15" s="265"/>
      <c r="BF15" s="266"/>
      <c r="BG15" s="265"/>
      <c r="BH15" s="265"/>
      <c r="BI15" s="265"/>
      <c r="BJ15" s="265"/>
      <c r="BK15" s="266"/>
      <c r="BL15" s="265"/>
      <c r="BM15" s="265">
        <v>697</v>
      </c>
      <c r="BN15" s="265"/>
      <c r="BO15" s="265">
        <v>78</v>
      </c>
      <c r="BP15" s="262">
        <f t="shared" si="3"/>
        <v>737</v>
      </c>
      <c r="BQ15" s="265"/>
      <c r="BR15" s="265"/>
      <c r="BS15" s="265"/>
      <c r="BT15" s="265"/>
      <c r="BU15" s="262">
        <f t="shared" si="4"/>
        <v>737</v>
      </c>
    </row>
    <row r="16" spans="1:73" ht="15.95" customHeight="1" x14ac:dyDescent="0.25">
      <c r="A16" s="243">
        <v>807329</v>
      </c>
      <c r="B16" s="244" t="s">
        <v>78</v>
      </c>
      <c r="C16" s="241">
        <v>0</v>
      </c>
      <c r="D16" s="359"/>
      <c r="E16" s="359"/>
      <c r="F16" s="359"/>
      <c r="G16" s="359"/>
      <c r="H16" s="262">
        <f t="shared" si="0"/>
        <v>0</v>
      </c>
      <c r="I16" s="265"/>
      <c r="J16" s="265"/>
      <c r="K16" s="265"/>
      <c r="L16" s="265"/>
      <c r="M16" s="262">
        <f t="shared" si="1"/>
        <v>0</v>
      </c>
      <c r="N16" s="265"/>
      <c r="O16" s="265">
        <v>149</v>
      </c>
      <c r="P16" s="265"/>
      <c r="Q16" s="265">
        <v>46</v>
      </c>
      <c r="R16" s="262">
        <f t="shared" si="2"/>
        <v>103</v>
      </c>
      <c r="S16" s="265"/>
      <c r="T16" s="265"/>
      <c r="U16" s="265"/>
      <c r="V16" s="265"/>
      <c r="W16" s="266"/>
      <c r="X16" s="265"/>
      <c r="Y16" s="265"/>
      <c r="Z16" s="265"/>
      <c r="AA16" s="265"/>
      <c r="AB16" s="266"/>
      <c r="AC16" s="265"/>
      <c r="AD16" s="265"/>
      <c r="AE16" s="265"/>
      <c r="AF16" s="265"/>
      <c r="AG16" s="266"/>
      <c r="AH16" s="265"/>
      <c r="AI16" s="265"/>
      <c r="AJ16" s="265"/>
      <c r="AK16" s="265"/>
      <c r="AL16" s="266"/>
      <c r="AM16" s="265"/>
      <c r="AN16" s="265"/>
      <c r="AO16" s="265"/>
      <c r="AP16" s="265"/>
      <c r="AQ16" s="266"/>
      <c r="AR16" s="265"/>
      <c r="AS16" s="265"/>
      <c r="AT16" s="265"/>
      <c r="AU16" s="265"/>
      <c r="AV16" s="266"/>
      <c r="AW16" s="265"/>
      <c r="AX16" s="265"/>
      <c r="AY16" s="265"/>
      <c r="AZ16" s="265"/>
      <c r="BA16" s="266"/>
      <c r="BB16" s="265"/>
      <c r="BC16" s="265"/>
      <c r="BD16" s="265"/>
      <c r="BE16" s="265"/>
      <c r="BF16" s="266"/>
      <c r="BG16" s="265"/>
      <c r="BH16" s="265"/>
      <c r="BI16" s="265"/>
      <c r="BJ16" s="265"/>
      <c r="BK16" s="266"/>
      <c r="BL16" s="265"/>
      <c r="BM16" s="265">
        <v>109</v>
      </c>
      <c r="BN16" s="265"/>
      <c r="BO16" s="265">
        <v>33</v>
      </c>
      <c r="BP16" s="262">
        <f t="shared" si="3"/>
        <v>179</v>
      </c>
      <c r="BQ16" s="265"/>
      <c r="BR16" s="265"/>
      <c r="BS16" s="265"/>
      <c r="BT16" s="265"/>
      <c r="BU16" s="262">
        <f t="shared" si="4"/>
        <v>179</v>
      </c>
    </row>
    <row r="17" spans="1:73" ht="15.95" customHeight="1" x14ac:dyDescent="0.25">
      <c r="A17" s="243">
        <v>805411</v>
      </c>
      <c r="B17" s="244" t="s">
        <v>79</v>
      </c>
      <c r="C17" s="241">
        <v>41</v>
      </c>
      <c r="D17" s="359"/>
      <c r="E17" s="359"/>
      <c r="F17" s="359"/>
      <c r="G17" s="359"/>
      <c r="H17" s="262">
        <f t="shared" si="0"/>
        <v>41</v>
      </c>
      <c r="I17" s="265"/>
      <c r="J17" s="265"/>
      <c r="K17" s="265"/>
      <c r="L17" s="265"/>
      <c r="M17" s="262">
        <f t="shared" si="1"/>
        <v>41</v>
      </c>
      <c r="N17" s="265"/>
      <c r="O17" s="265">
        <v>168</v>
      </c>
      <c r="P17" s="265"/>
      <c r="Q17" s="265">
        <v>36</v>
      </c>
      <c r="R17" s="262">
        <f t="shared" si="2"/>
        <v>173</v>
      </c>
      <c r="S17" s="265"/>
      <c r="T17" s="265"/>
      <c r="U17" s="265"/>
      <c r="V17" s="265"/>
      <c r="W17" s="266"/>
      <c r="X17" s="265"/>
      <c r="Y17" s="265"/>
      <c r="Z17" s="265"/>
      <c r="AA17" s="265"/>
      <c r="AB17" s="266"/>
      <c r="AC17" s="265"/>
      <c r="AD17" s="265"/>
      <c r="AE17" s="265"/>
      <c r="AF17" s="265"/>
      <c r="AG17" s="266"/>
      <c r="AH17" s="265"/>
      <c r="AI17" s="265"/>
      <c r="AJ17" s="265"/>
      <c r="AK17" s="265"/>
      <c r="AL17" s="266"/>
      <c r="AM17" s="265"/>
      <c r="AN17" s="265"/>
      <c r="AO17" s="265"/>
      <c r="AP17" s="265"/>
      <c r="AQ17" s="266"/>
      <c r="AR17" s="265"/>
      <c r="AS17" s="265"/>
      <c r="AT17" s="265"/>
      <c r="AU17" s="265"/>
      <c r="AV17" s="266"/>
      <c r="AW17" s="265"/>
      <c r="AX17" s="265"/>
      <c r="AY17" s="265"/>
      <c r="AZ17" s="265"/>
      <c r="BA17" s="266"/>
      <c r="BB17" s="265"/>
      <c r="BC17" s="265"/>
      <c r="BD17" s="265"/>
      <c r="BE17" s="265"/>
      <c r="BF17" s="266"/>
      <c r="BG17" s="265"/>
      <c r="BH17" s="265"/>
      <c r="BI17" s="265"/>
      <c r="BJ17" s="265"/>
      <c r="BK17" s="266"/>
      <c r="BL17" s="265"/>
      <c r="BM17" s="265">
        <v>27</v>
      </c>
      <c r="BN17" s="265"/>
      <c r="BO17" s="265">
        <v>36</v>
      </c>
      <c r="BP17" s="262">
        <f t="shared" si="3"/>
        <v>164</v>
      </c>
      <c r="BQ17" s="265"/>
      <c r="BR17" s="265"/>
      <c r="BS17" s="265"/>
      <c r="BT17" s="265"/>
      <c r="BU17" s="262">
        <f t="shared" si="4"/>
        <v>164</v>
      </c>
    </row>
    <row r="18" spans="1:73" ht="15.95" customHeight="1" x14ac:dyDescent="0.25">
      <c r="A18" s="243">
        <v>807679</v>
      </c>
      <c r="B18" s="244" t="s">
        <v>80</v>
      </c>
      <c r="C18" s="241">
        <v>0</v>
      </c>
      <c r="D18" s="359"/>
      <c r="E18" s="359"/>
      <c r="F18" s="359"/>
      <c r="G18" s="359"/>
      <c r="H18" s="262">
        <f t="shared" si="0"/>
        <v>0</v>
      </c>
      <c r="I18" s="265"/>
      <c r="J18" s="265"/>
      <c r="K18" s="265"/>
      <c r="L18" s="265"/>
      <c r="M18" s="262">
        <v>99</v>
      </c>
      <c r="N18" s="265"/>
      <c r="O18" s="265"/>
      <c r="P18" s="265"/>
      <c r="Q18" s="265">
        <v>48</v>
      </c>
      <c r="R18" s="262">
        <f t="shared" si="2"/>
        <v>51</v>
      </c>
      <c r="S18" s="265"/>
      <c r="T18" s="265"/>
      <c r="U18" s="265"/>
      <c r="V18" s="265"/>
      <c r="W18" s="266"/>
      <c r="X18" s="265"/>
      <c r="Y18" s="265"/>
      <c r="Z18" s="265"/>
      <c r="AA18" s="265"/>
      <c r="AB18" s="266"/>
      <c r="AC18" s="265"/>
      <c r="AD18" s="265"/>
      <c r="AE18" s="265"/>
      <c r="AF18" s="265"/>
      <c r="AG18" s="266"/>
      <c r="AH18" s="265"/>
      <c r="AI18" s="265"/>
      <c r="AJ18" s="265"/>
      <c r="AK18" s="265"/>
      <c r="AL18" s="266"/>
      <c r="AM18" s="265"/>
      <c r="AN18" s="265"/>
      <c r="AO18" s="265"/>
      <c r="AP18" s="265"/>
      <c r="AQ18" s="266"/>
      <c r="AR18" s="265"/>
      <c r="AS18" s="265"/>
      <c r="AT18" s="265"/>
      <c r="AU18" s="265"/>
      <c r="AV18" s="266"/>
      <c r="AW18" s="265"/>
      <c r="AX18" s="265"/>
      <c r="AY18" s="265"/>
      <c r="AZ18" s="265"/>
      <c r="BA18" s="266"/>
      <c r="BB18" s="265"/>
      <c r="BC18" s="265"/>
      <c r="BD18" s="265"/>
      <c r="BE18" s="265"/>
      <c r="BF18" s="266"/>
      <c r="BG18" s="265"/>
      <c r="BH18" s="265"/>
      <c r="BI18" s="265"/>
      <c r="BJ18" s="265"/>
      <c r="BK18" s="266"/>
      <c r="BL18" s="265"/>
      <c r="BM18" s="265"/>
      <c r="BN18" s="265"/>
      <c r="BO18" s="265">
        <v>18</v>
      </c>
      <c r="BP18" s="262">
        <f t="shared" si="3"/>
        <v>33</v>
      </c>
      <c r="BQ18" s="265"/>
      <c r="BR18" s="265"/>
      <c r="BS18" s="265"/>
      <c r="BT18" s="265"/>
      <c r="BU18" s="262">
        <f t="shared" si="4"/>
        <v>33</v>
      </c>
    </row>
    <row r="19" spans="1:73" ht="15.95" customHeight="1" x14ac:dyDescent="0.25">
      <c r="A19" s="243">
        <v>805168</v>
      </c>
      <c r="B19" s="244" t="s">
        <v>81</v>
      </c>
      <c r="C19" s="241">
        <v>8</v>
      </c>
      <c r="D19" s="359"/>
      <c r="E19" s="359"/>
      <c r="F19" s="359"/>
      <c r="G19" s="359"/>
      <c r="H19" s="262">
        <f t="shared" si="0"/>
        <v>8</v>
      </c>
      <c r="I19" s="265"/>
      <c r="J19" s="265"/>
      <c r="K19" s="265"/>
      <c r="L19" s="265"/>
      <c r="M19" s="262">
        <f t="shared" si="1"/>
        <v>8</v>
      </c>
      <c r="N19" s="265"/>
      <c r="O19" s="265">
        <v>96</v>
      </c>
      <c r="P19" s="265"/>
      <c r="Q19" s="265">
        <v>8</v>
      </c>
      <c r="R19" s="262">
        <f t="shared" si="2"/>
        <v>96</v>
      </c>
      <c r="S19" s="265"/>
      <c r="T19" s="265"/>
      <c r="U19" s="265"/>
      <c r="V19" s="265"/>
      <c r="W19" s="266"/>
      <c r="X19" s="265"/>
      <c r="Y19" s="265"/>
      <c r="Z19" s="265"/>
      <c r="AA19" s="265"/>
      <c r="AB19" s="266"/>
      <c r="AC19" s="265"/>
      <c r="AD19" s="265"/>
      <c r="AE19" s="265"/>
      <c r="AF19" s="265"/>
      <c r="AG19" s="266"/>
      <c r="AH19" s="265"/>
      <c r="AI19" s="265"/>
      <c r="AJ19" s="265"/>
      <c r="AK19" s="265"/>
      <c r="AL19" s="266"/>
      <c r="AM19" s="265"/>
      <c r="AN19" s="265"/>
      <c r="AO19" s="265"/>
      <c r="AP19" s="265"/>
      <c r="AQ19" s="266"/>
      <c r="AR19" s="265"/>
      <c r="AS19" s="265"/>
      <c r="AT19" s="265"/>
      <c r="AU19" s="265"/>
      <c r="AV19" s="266"/>
      <c r="AW19" s="265"/>
      <c r="AX19" s="265"/>
      <c r="AY19" s="265"/>
      <c r="AZ19" s="265"/>
      <c r="BA19" s="266"/>
      <c r="BB19" s="265"/>
      <c r="BC19" s="265"/>
      <c r="BD19" s="265"/>
      <c r="BE19" s="265"/>
      <c r="BF19" s="266"/>
      <c r="BG19" s="265"/>
      <c r="BH19" s="265"/>
      <c r="BI19" s="265"/>
      <c r="BJ19" s="265"/>
      <c r="BK19" s="266"/>
      <c r="BL19" s="265"/>
      <c r="BM19" s="265">
        <v>8</v>
      </c>
      <c r="BN19" s="265"/>
      <c r="BO19" s="265">
        <v>8</v>
      </c>
      <c r="BP19" s="262">
        <f t="shared" si="3"/>
        <v>96</v>
      </c>
      <c r="BQ19" s="265"/>
      <c r="BR19" s="265"/>
      <c r="BS19" s="265"/>
      <c r="BT19" s="265"/>
      <c r="BU19" s="262">
        <f t="shared" si="4"/>
        <v>96</v>
      </c>
    </row>
    <row r="20" spans="1:73" ht="15.95" hidden="1" customHeight="1" x14ac:dyDescent="0.25">
      <c r="A20" s="243">
        <v>807363</v>
      </c>
      <c r="B20" s="244" t="s">
        <v>82</v>
      </c>
      <c r="C20" s="241">
        <v>0</v>
      </c>
      <c r="D20" s="359"/>
      <c r="E20" s="359"/>
      <c r="F20" s="359"/>
      <c r="G20" s="359"/>
      <c r="H20" s="262">
        <f t="shared" si="0"/>
        <v>0</v>
      </c>
      <c r="I20" s="265"/>
      <c r="J20" s="265"/>
      <c r="K20" s="265"/>
      <c r="L20" s="265"/>
      <c r="M20" s="262">
        <f t="shared" si="1"/>
        <v>0</v>
      </c>
      <c r="N20" s="265"/>
      <c r="O20" s="265"/>
      <c r="P20" s="265"/>
      <c r="Q20" s="265"/>
      <c r="R20" s="262">
        <f t="shared" si="2"/>
        <v>0</v>
      </c>
      <c r="S20" s="265"/>
      <c r="T20" s="265"/>
      <c r="U20" s="265"/>
      <c r="V20" s="265"/>
      <c r="W20" s="266"/>
      <c r="X20" s="265"/>
      <c r="Y20" s="265"/>
      <c r="Z20" s="265"/>
      <c r="AA20" s="265"/>
      <c r="AB20" s="266"/>
      <c r="AC20" s="265"/>
      <c r="AD20" s="265"/>
      <c r="AE20" s="265"/>
      <c r="AF20" s="265"/>
      <c r="AG20" s="266"/>
      <c r="AH20" s="265"/>
      <c r="AI20" s="265"/>
      <c r="AJ20" s="265"/>
      <c r="AK20" s="265"/>
      <c r="AL20" s="266"/>
      <c r="AM20" s="265"/>
      <c r="AN20" s="265"/>
      <c r="AO20" s="265"/>
      <c r="AP20" s="265"/>
      <c r="AQ20" s="266"/>
      <c r="AR20" s="265"/>
      <c r="AS20" s="265"/>
      <c r="AT20" s="265"/>
      <c r="AU20" s="265"/>
      <c r="AV20" s="266"/>
      <c r="AW20" s="265"/>
      <c r="AX20" s="265"/>
      <c r="AY20" s="265"/>
      <c r="AZ20" s="265"/>
      <c r="BA20" s="266"/>
      <c r="BB20" s="265"/>
      <c r="BC20" s="265"/>
      <c r="BD20" s="265"/>
      <c r="BE20" s="265"/>
      <c r="BF20" s="266"/>
      <c r="BG20" s="265"/>
      <c r="BH20" s="265"/>
      <c r="BI20" s="265"/>
      <c r="BJ20" s="265"/>
      <c r="BK20" s="266"/>
      <c r="BL20" s="265"/>
      <c r="BM20" s="265"/>
      <c r="BN20" s="265"/>
      <c r="BO20" s="265"/>
      <c r="BP20" s="262">
        <f t="shared" si="3"/>
        <v>0</v>
      </c>
      <c r="BQ20" s="265"/>
      <c r="BR20" s="265"/>
      <c r="BS20" s="265"/>
      <c r="BT20" s="265"/>
      <c r="BU20" s="262">
        <f t="shared" si="4"/>
        <v>0</v>
      </c>
    </row>
    <row r="21" spans="1:73" ht="15.95" customHeight="1" thickBot="1" x14ac:dyDescent="0.3">
      <c r="A21" s="263">
        <v>809529</v>
      </c>
      <c r="B21" s="264" t="s">
        <v>83</v>
      </c>
      <c r="C21" s="241">
        <v>404</v>
      </c>
      <c r="D21" s="359"/>
      <c r="E21" s="359"/>
      <c r="F21" s="359"/>
      <c r="G21" s="359">
        <v>12</v>
      </c>
      <c r="H21" s="262">
        <f t="shared" si="0"/>
        <v>392</v>
      </c>
      <c r="I21" s="265"/>
      <c r="J21" s="265"/>
      <c r="K21" s="265"/>
      <c r="L21" s="265"/>
      <c r="M21" s="262">
        <f t="shared" si="1"/>
        <v>392</v>
      </c>
      <c r="N21" s="265"/>
      <c r="O21" s="265"/>
      <c r="P21" s="265"/>
      <c r="Q21" s="265">
        <v>1</v>
      </c>
      <c r="R21" s="262">
        <f t="shared" si="2"/>
        <v>391</v>
      </c>
      <c r="S21" s="265"/>
      <c r="T21" s="265"/>
      <c r="U21" s="265"/>
      <c r="V21" s="265"/>
      <c r="W21" s="266"/>
      <c r="X21" s="265"/>
      <c r="Y21" s="265"/>
      <c r="Z21" s="265"/>
      <c r="AA21" s="265"/>
      <c r="AB21" s="266"/>
      <c r="AC21" s="265"/>
      <c r="AD21" s="265"/>
      <c r="AE21" s="265"/>
      <c r="AF21" s="265"/>
      <c r="AG21" s="266"/>
      <c r="AH21" s="265"/>
      <c r="AI21" s="265"/>
      <c r="AJ21" s="265"/>
      <c r="AK21" s="265"/>
      <c r="AL21" s="266"/>
      <c r="AM21" s="265"/>
      <c r="AN21" s="265"/>
      <c r="AO21" s="265"/>
      <c r="AP21" s="265"/>
      <c r="AQ21" s="266"/>
      <c r="AR21" s="265"/>
      <c r="AS21" s="265"/>
      <c r="AT21" s="265"/>
      <c r="AU21" s="265"/>
      <c r="AV21" s="266"/>
      <c r="AW21" s="265"/>
      <c r="AX21" s="265"/>
      <c r="AY21" s="265"/>
      <c r="AZ21" s="265"/>
      <c r="BA21" s="266"/>
      <c r="BB21" s="265"/>
      <c r="BC21" s="265"/>
      <c r="BD21" s="265"/>
      <c r="BE21" s="265"/>
      <c r="BF21" s="266"/>
      <c r="BG21" s="265"/>
      <c r="BH21" s="265"/>
      <c r="BI21" s="265"/>
      <c r="BJ21" s="265"/>
      <c r="BK21" s="266"/>
      <c r="BL21" s="265"/>
      <c r="BM21" s="265">
        <v>24</v>
      </c>
      <c r="BN21" s="265"/>
      <c r="BO21" s="265">
        <v>24</v>
      </c>
      <c r="BP21" s="262">
        <f t="shared" si="3"/>
        <v>391</v>
      </c>
      <c r="BQ21" s="265"/>
      <c r="BR21" s="265"/>
      <c r="BS21" s="265"/>
      <c r="BT21" s="265"/>
      <c r="BU21" s="262">
        <f t="shared" si="4"/>
        <v>391</v>
      </c>
    </row>
    <row r="22" spans="1:73" ht="15.95" hidden="1" customHeight="1" x14ac:dyDescent="0.25">
      <c r="A22" s="263"/>
      <c r="B22" s="264"/>
      <c r="C22" s="241"/>
      <c r="D22" s="359"/>
      <c r="E22" s="359"/>
      <c r="F22" s="359"/>
      <c r="G22" s="359"/>
      <c r="H22" s="262">
        <f t="shared" si="0"/>
        <v>0</v>
      </c>
      <c r="I22" s="265"/>
      <c r="J22" s="265"/>
      <c r="K22" s="265"/>
      <c r="L22" s="265"/>
      <c r="M22" s="262">
        <f t="shared" si="1"/>
        <v>0</v>
      </c>
      <c r="N22" s="265"/>
      <c r="O22" s="265"/>
      <c r="P22" s="265"/>
      <c r="Q22" s="265"/>
      <c r="R22" s="262">
        <f t="shared" si="2"/>
        <v>0</v>
      </c>
      <c r="S22" s="265"/>
      <c r="T22" s="265"/>
      <c r="U22" s="265"/>
      <c r="V22" s="265"/>
      <c r="W22" s="266"/>
      <c r="X22" s="265"/>
      <c r="Y22" s="265"/>
      <c r="Z22" s="265"/>
      <c r="AA22" s="265"/>
      <c r="AB22" s="266"/>
      <c r="AC22" s="265"/>
      <c r="AD22" s="265"/>
      <c r="AE22" s="265"/>
      <c r="AF22" s="265"/>
      <c r="AG22" s="266"/>
      <c r="AH22" s="265"/>
      <c r="AI22" s="265"/>
      <c r="AJ22" s="265"/>
      <c r="AK22" s="265"/>
      <c r="AL22" s="266"/>
      <c r="AM22" s="265"/>
      <c r="AN22" s="265"/>
      <c r="AO22" s="265"/>
      <c r="AP22" s="265"/>
      <c r="AQ22" s="266"/>
      <c r="AR22" s="265"/>
      <c r="AS22" s="265"/>
      <c r="AT22" s="265"/>
      <c r="AU22" s="265"/>
      <c r="AV22" s="266"/>
      <c r="AW22" s="265"/>
      <c r="AX22" s="265"/>
      <c r="AY22" s="265"/>
      <c r="AZ22" s="265"/>
      <c r="BA22" s="266"/>
      <c r="BB22" s="265"/>
      <c r="BC22" s="265"/>
      <c r="BD22" s="265"/>
      <c r="BE22" s="265"/>
      <c r="BF22" s="266"/>
      <c r="BG22" s="265"/>
      <c r="BH22" s="265"/>
      <c r="BI22" s="265"/>
      <c r="BJ22" s="265"/>
      <c r="BK22" s="266"/>
      <c r="BL22" s="265"/>
      <c r="BM22" s="265"/>
      <c r="BN22" s="265"/>
      <c r="BO22" s="265"/>
      <c r="BP22" s="262">
        <f t="shared" si="3"/>
        <v>0</v>
      </c>
      <c r="BQ22" s="265"/>
      <c r="BR22" s="265"/>
      <c r="BS22" s="265"/>
      <c r="BT22" s="265"/>
      <c r="BU22" s="262">
        <f t="shared" si="4"/>
        <v>0</v>
      </c>
    </row>
    <row r="23" spans="1:73" ht="15.95" hidden="1" customHeight="1" x14ac:dyDescent="0.25">
      <c r="A23" s="243"/>
      <c r="B23" s="244"/>
      <c r="C23" s="240"/>
      <c r="D23" s="357"/>
      <c r="E23" s="357"/>
      <c r="F23" s="357"/>
      <c r="G23" s="357"/>
      <c r="H23" s="262">
        <f t="shared" si="0"/>
        <v>0</v>
      </c>
      <c r="I23" s="40"/>
      <c r="J23" s="40"/>
      <c r="K23" s="40"/>
      <c r="L23" s="40"/>
      <c r="M23" s="262">
        <f t="shared" si="1"/>
        <v>0</v>
      </c>
      <c r="N23" s="40"/>
      <c r="O23" s="40"/>
      <c r="P23" s="40"/>
      <c r="Q23" s="40"/>
      <c r="R23" s="262">
        <f t="shared" si="2"/>
        <v>0</v>
      </c>
      <c r="S23" s="40"/>
      <c r="T23" s="40"/>
      <c r="U23" s="40"/>
      <c r="V23" s="40"/>
      <c r="W23" s="262"/>
      <c r="X23" s="40"/>
      <c r="Y23" s="40"/>
      <c r="Z23" s="40"/>
      <c r="AA23" s="40"/>
      <c r="AB23" s="262"/>
      <c r="AC23" s="40"/>
      <c r="AD23" s="40"/>
      <c r="AE23" s="40"/>
      <c r="AF23" s="40"/>
      <c r="AG23" s="262"/>
      <c r="AH23" s="40"/>
      <c r="AI23" s="40"/>
      <c r="AJ23" s="40"/>
      <c r="AK23" s="40"/>
      <c r="AL23" s="262"/>
      <c r="AM23" s="40"/>
      <c r="AN23" s="40"/>
      <c r="AO23" s="40"/>
      <c r="AP23" s="40"/>
      <c r="AQ23" s="262"/>
      <c r="AR23" s="40"/>
      <c r="AS23" s="40"/>
      <c r="AT23" s="40"/>
      <c r="AU23" s="40"/>
      <c r="AV23" s="262"/>
      <c r="AW23" s="40"/>
      <c r="AX23" s="40"/>
      <c r="AY23" s="40"/>
      <c r="AZ23" s="40"/>
      <c r="BA23" s="262"/>
      <c r="BB23" s="40"/>
      <c r="BC23" s="40"/>
      <c r="BD23" s="40"/>
      <c r="BE23" s="40"/>
      <c r="BF23" s="262"/>
      <c r="BG23" s="40"/>
      <c r="BH23" s="40"/>
      <c r="BI23" s="40"/>
      <c r="BJ23" s="40"/>
      <c r="BK23" s="262"/>
      <c r="BL23" s="40"/>
      <c r="BM23" s="40"/>
      <c r="BN23" s="40"/>
      <c r="BO23" s="40"/>
      <c r="BP23" s="262">
        <f t="shared" si="3"/>
        <v>0</v>
      </c>
      <c r="BQ23" s="40"/>
      <c r="BR23" s="40"/>
      <c r="BS23" s="40"/>
      <c r="BT23" s="40"/>
      <c r="BU23" s="262">
        <f t="shared" si="4"/>
        <v>0</v>
      </c>
    </row>
    <row r="24" spans="1:73" ht="15.95" hidden="1" customHeight="1" thickBot="1" x14ac:dyDescent="0.3">
      <c r="A24" s="243"/>
      <c r="B24" s="244"/>
      <c r="C24" s="240"/>
      <c r="D24" s="357"/>
      <c r="E24" s="357"/>
      <c r="F24" s="357"/>
      <c r="G24" s="357"/>
      <c r="H24" s="262">
        <f t="shared" si="0"/>
        <v>0</v>
      </c>
      <c r="I24" s="40"/>
      <c r="J24" s="40"/>
      <c r="K24" s="40"/>
      <c r="L24" s="40"/>
      <c r="M24" s="262">
        <f t="shared" si="1"/>
        <v>0</v>
      </c>
      <c r="N24" s="40"/>
      <c r="O24" s="40"/>
      <c r="P24" s="40"/>
      <c r="Q24" s="40"/>
      <c r="R24" s="262">
        <f t="shared" si="2"/>
        <v>0</v>
      </c>
      <c r="S24" s="40"/>
      <c r="T24" s="40"/>
      <c r="U24" s="40"/>
      <c r="V24" s="40"/>
      <c r="W24" s="262"/>
      <c r="X24" s="40"/>
      <c r="Y24" s="40"/>
      <c r="Z24" s="40"/>
      <c r="AA24" s="40"/>
      <c r="AB24" s="262"/>
      <c r="AC24" s="40"/>
      <c r="AD24" s="40"/>
      <c r="AE24" s="40"/>
      <c r="AF24" s="40"/>
      <c r="AG24" s="262"/>
      <c r="AH24" s="40"/>
      <c r="AI24" s="40"/>
      <c r="AJ24" s="40"/>
      <c r="AK24" s="40"/>
      <c r="AL24" s="262"/>
      <c r="AM24" s="40"/>
      <c r="AN24" s="40"/>
      <c r="AO24" s="40"/>
      <c r="AP24" s="40"/>
      <c r="AQ24" s="262"/>
      <c r="AR24" s="40"/>
      <c r="AS24" s="40"/>
      <c r="AT24" s="40"/>
      <c r="AU24" s="40"/>
      <c r="AV24" s="262"/>
      <c r="AW24" s="40"/>
      <c r="AX24" s="40"/>
      <c r="AY24" s="40"/>
      <c r="AZ24" s="40"/>
      <c r="BA24" s="262"/>
      <c r="BB24" s="40"/>
      <c r="BC24" s="40"/>
      <c r="BD24" s="40"/>
      <c r="BE24" s="40"/>
      <c r="BF24" s="262"/>
      <c r="BG24" s="40"/>
      <c r="BH24" s="40"/>
      <c r="BI24" s="40"/>
      <c r="BJ24" s="40"/>
      <c r="BK24" s="262"/>
      <c r="BL24" s="40"/>
      <c r="BM24" s="40"/>
      <c r="BN24" s="40"/>
      <c r="BO24" s="40"/>
      <c r="BP24" s="262">
        <f t="shared" si="3"/>
        <v>0</v>
      </c>
      <c r="BQ24" s="40"/>
      <c r="BR24" s="40"/>
      <c r="BS24" s="40"/>
      <c r="BT24" s="40"/>
      <c r="BU24" s="262">
        <f t="shared" si="4"/>
        <v>0</v>
      </c>
    </row>
    <row r="25" spans="1:73" ht="24" customHeight="1" thickBot="1" x14ac:dyDescent="0.3">
      <c r="A25" s="626" t="s">
        <v>224</v>
      </c>
      <c r="B25" s="627"/>
      <c r="C25" s="247">
        <f t="shared" ref="C25:H25" si="5">+SUM(C3:C24)</f>
        <v>632</v>
      </c>
      <c r="D25" s="247">
        <f t="shared" si="5"/>
        <v>0</v>
      </c>
      <c r="E25" s="247">
        <f t="shared" si="5"/>
        <v>0</v>
      </c>
      <c r="F25" s="247">
        <f t="shared" si="5"/>
        <v>0</v>
      </c>
      <c r="G25" s="247">
        <f t="shared" si="5"/>
        <v>12</v>
      </c>
      <c r="H25" s="247">
        <f t="shared" si="5"/>
        <v>620</v>
      </c>
      <c r="I25" s="247">
        <f t="shared" ref="I25" si="6">+SUM(I3:I24)</f>
        <v>0</v>
      </c>
      <c r="J25" s="247">
        <f t="shared" ref="J25" si="7">+SUM(J3:J24)</f>
        <v>0</v>
      </c>
      <c r="K25" s="247">
        <f t="shared" ref="K25" si="8">+SUM(K3:K24)</f>
        <v>0</v>
      </c>
      <c r="L25" s="247">
        <f t="shared" ref="L25" si="9">+SUM(L3:L24)</f>
        <v>0</v>
      </c>
      <c r="M25" s="247">
        <f t="shared" ref="M25" si="10">+SUM(M3:M24)</f>
        <v>719</v>
      </c>
      <c r="N25" s="247">
        <f t="shared" ref="N25" si="11">+SUM(N3:N24)</f>
        <v>0</v>
      </c>
      <c r="O25" s="470">
        <f t="shared" ref="O25" si="12">+SUM(O3:O24)</f>
        <v>413</v>
      </c>
      <c r="P25" s="247">
        <f t="shared" ref="P25" si="13">+SUM(P3:P24)</f>
        <v>0</v>
      </c>
      <c r="Q25" s="247">
        <f>+SUM(Q3:Q24)</f>
        <v>186</v>
      </c>
      <c r="R25" s="247">
        <f t="shared" ref="R25" si="14">+SUM(R3:R24)</f>
        <v>946</v>
      </c>
      <c r="S25" s="247">
        <f t="shared" ref="S25" si="15">+SUM(S3:S24)</f>
        <v>0</v>
      </c>
      <c r="T25" s="247">
        <f t="shared" ref="T25" si="16">+SUM(T3:T24)</f>
        <v>0</v>
      </c>
      <c r="U25" s="247">
        <f t="shared" ref="U25" si="17">+SUM(U3:U24)</f>
        <v>0</v>
      </c>
      <c r="V25" s="247">
        <f t="shared" ref="V25" si="18">+SUM(V3:V24)</f>
        <v>0</v>
      </c>
      <c r="W25" s="247">
        <f t="shared" ref="W25" si="19">+SUM(W3:W24)</f>
        <v>0</v>
      </c>
      <c r="X25" s="247">
        <f t="shared" ref="X25" si="20">+SUM(X3:X24)</f>
        <v>0</v>
      </c>
      <c r="Y25" s="247">
        <f t="shared" ref="Y25" si="21">+SUM(Y3:Y24)</f>
        <v>0</v>
      </c>
      <c r="Z25" s="247">
        <f t="shared" ref="Z25" si="22">+SUM(Z3:Z24)</f>
        <v>0</v>
      </c>
      <c r="AA25" s="247">
        <f t="shared" ref="AA25" si="23">+SUM(AA3:AA24)</f>
        <v>0</v>
      </c>
      <c r="AB25" s="247">
        <f t="shared" ref="AB25" si="24">+SUM(AB3:AB24)</f>
        <v>0</v>
      </c>
      <c r="AC25" s="247">
        <f t="shared" ref="AC25" si="25">+SUM(AC3:AC24)</f>
        <v>0</v>
      </c>
      <c r="AD25" s="247">
        <f t="shared" ref="AD25" si="26">+SUM(AD3:AD24)</f>
        <v>0</v>
      </c>
      <c r="AE25" s="247">
        <f t="shared" ref="AE25" si="27">+SUM(AE3:AE24)</f>
        <v>0</v>
      </c>
      <c r="AF25" s="247">
        <f t="shared" ref="AF25" si="28">+SUM(AF3:AF24)</f>
        <v>0</v>
      </c>
      <c r="AG25" s="247">
        <f t="shared" ref="AG25" si="29">+SUM(AG3:AG24)</f>
        <v>0</v>
      </c>
      <c r="AH25" s="247">
        <f t="shared" ref="AH25" si="30">+SUM(AH3:AH24)</f>
        <v>0</v>
      </c>
      <c r="AI25" s="247">
        <f t="shared" ref="AI25" si="31">+SUM(AI3:AI24)</f>
        <v>0</v>
      </c>
      <c r="AJ25" s="247">
        <f t="shared" ref="AJ25" si="32">+SUM(AJ3:AJ24)</f>
        <v>0</v>
      </c>
      <c r="AK25" s="247">
        <f t="shared" ref="AK25" si="33">+SUM(AK3:AK24)</f>
        <v>0</v>
      </c>
      <c r="AL25" s="247">
        <f t="shared" ref="AL25" si="34">+SUM(AL3:AL24)</f>
        <v>0</v>
      </c>
      <c r="AM25" s="247">
        <f t="shared" ref="AM25" si="35">+SUM(AM3:AM24)</f>
        <v>0</v>
      </c>
      <c r="AN25" s="247">
        <f t="shared" ref="AN25" si="36">+SUM(AN3:AN24)</f>
        <v>0</v>
      </c>
      <c r="AO25" s="247">
        <f t="shared" ref="AO25" si="37">+SUM(AO3:AO24)</f>
        <v>0</v>
      </c>
      <c r="AP25" s="247">
        <f t="shared" ref="AP25" si="38">+SUM(AP3:AP24)</f>
        <v>0</v>
      </c>
      <c r="AQ25" s="247">
        <f t="shared" ref="AQ25" si="39">+SUM(AQ3:AQ24)</f>
        <v>0</v>
      </c>
      <c r="AR25" s="247">
        <f t="shared" ref="AR25" si="40">+SUM(AR3:AR24)</f>
        <v>0</v>
      </c>
      <c r="AS25" s="247">
        <f t="shared" ref="AS25" si="41">+SUM(AS3:AS24)</f>
        <v>0</v>
      </c>
      <c r="AT25" s="247">
        <f t="shared" ref="AT25" si="42">+SUM(AT3:AT24)</f>
        <v>0</v>
      </c>
      <c r="AU25" s="247">
        <f t="shared" ref="AU25" si="43">+SUM(AU3:AU24)</f>
        <v>0</v>
      </c>
      <c r="AV25" s="247">
        <f t="shared" ref="AV25" si="44">+SUM(AV3:AV24)</f>
        <v>0</v>
      </c>
      <c r="AW25" s="247">
        <f t="shared" ref="AW25" si="45">+SUM(AW3:AW24)</f>
        <v>0</v>
      </c>
      <c r="AX25" s="247">
        <f t="shared" ref="AX25" si="46">+SUM(AX3:AX24)</f>
        <v>0</v>
      </c>
      <c r="AY25" s="247">
        <f t="shared" ref="AY25" si="47">+SUM(AY3:AY24)</f>
        <v>0</v>
      </c>
      <c r="AZ25" s="247">
        <f t="shared" ref="AZ25" si="48">+SUM(AZ3:AZ24)</f>
        <v>0</v>
      </c>
      <c r="BA25" s="247">
        <f t="shared" ref="BA25" si="49">+SUM(BA3:BA24)</f>
        <v>0</v>
      </c>
      <c r="BB25" s="247">
        <f t="shared" ref="BB25" si="50">+SUM(BB3:BB24)</f>
        <v>0</v>
      </c>
      <c r="BC25" s="247">
        <f t="shared" ref="BC25" si="51">+SUM(BC3:BC24)</f>
        <v>0</v>
      </c>
      <c r="BD25" s="247">
        <f t="shared" ref="BD25" si="52">+SUM(BD3:BD24)</f>
        <v>0</v>
      </c>
      <c r="BE25" s="247">
        <f t="shared" ref="BE25" si="53">+SUM(BE3:BE24)</f>
        <v>0</v>
      </c>
      <c r="BF25" s="247">
        <f t="shared" ref="BF25" si="54">+SUM(BF3:BF24)</f>
        <v>0</v>
      </c>
      <c r="BG25" s="247">
        <f t="shared" ref="BG25" si="55">+SUM(BG3:BG24)</f>
        <v>0</v>
      </c>
      <c r="BH25" s="247">
        <f t="shared" ref="BH25" si="56">+SUM(BH3:BH24)</f>
        <v>0</v>
      </c>
      <c r="BI25" s="247">
        <f t="shared" ref="BI25" si="57">+SUM(BI3:BI24)</f>
        <v>0</v>
      </c>
      <c r="BJ25" s="247">
        <f t="shared" ref="BJ25" si="58">+SUM(BJ3:BJ24)</f>
        <v>0</v>
      </c>
      <c r="BK25" s="247">
        <f t="shared" ref="BK25:BN25" si="59">+SUM(BK3:BK24)</f>
        <v>0</v>
      </c>
      <c r="BL25" s="247">
        <f t="shared" si="59"/>
        <v>0</v>
      </c>
      <c r="BM25" s="470">
        <f t="shared" si="59"/>
        <v>865</v>
      </c>
      <c r="BN25" s="247">
        <f t="shared" si="59"/>
        <v>0</v>
      </c>
      <c r="BO25" s="247">
        <f>+SUM(BO3:BO24)</f>
        <v>197</v>
      </c>
      <c r="BP25" s="247">
        <f t="shared" ref="BP25:BS25" si="60">+SUM(BP3:BP24)</f>
        <v>1614</v>
      </c>
      <c r="BQ25" s="247">
        <f t="shared" si="60"/>
        <v>0</v>
      </c>
      <c r="BR25" s="470">
        <f t="shared" si="60"/>
        <v>0</v>
      </c>
      <c r="BS25" s="247">
        <f t="shared" si="60"/>
        <v>0</v>
      </c>
      <c r="BT25" s="247">
        <f>+SUM(BT3:BT24)</f>
        <v>0</v>
      </c>
      <c r="BU25" s="247">
        <f t="shared" ref="BU25" si="61">+SUM(BU3:BU24)</f>
        <v>1614</v>
      </c>
    </row>
    <row r="26" spans="1:73" ht="14.25" thickBot="1" x14ac:dyDescent="0.3"/>
    <row r="27" spans="1:73" ht="15.75" thickBot="1" x14ac:dyDescent="0.3">
      <c r="C27" s="355">
        <f t="shared" ref="C27:H27" si="62">+C25+C14</f>
        <v>632</v>
      </c>
      <c r="D27" s="355">
        <f t="shared" si="62"/>
        <v>0</v>
      </c>
      <c r="E27" s="355">
        <f t="shared" si="62"/>
        <v>0</v>
      </c>
      <c r="F27" s="355">
        <f t="shared" si="62"/>
        <v>0</v>
      </c>
      <c r="G27" s="355">
        <f t="shared" si="62"/>
        <v>12</v>
      </c>
      <c r="H27" s="355">
        <f t="shared" si="62"/>
        <v>620</v>
      </c>
      <c r="I27" s="242">
        <f t="shared" ref="I27:R27" si="63">+I25+I14</f>
        <v>0</v>
      </c>
      <c r="J27" s="242">
        <f t="shared" si="63"/>
        <v>0</v>
      </c>
      <c r="K27" s="242">
        <f t="shared" si="63"/>
        <v>0</v>
      </c>
      <c r="L27" s="242">
        <f t="shared" si="63"/>
        <v>0</v>
      </c>
      <c r="M27" s="242">
        <f t="shared" si="63"/>
        <v>719</v>
      </c>
      <c r="N27" s="242">
        <f t="shared" si="63"/>
        <v>0</v>
      </c>
      <c r="O27" s="242">
        <f t="shared" si="63"/>
        <v>413</v>
      </c>
      <c r="P27" s="242">
        <f t="shared" si="63"/>
        <v>0</v>
      </c>
      <c r="Q27" s="242">
        <f t="shared" si="63"/>
        <v>186</v>
      </c>
      <c r="R27" s="242">
        <f t="shared" si="63"/>
        <v>946</v>
      </c>
      <c r="S27" s="242">
        <f t="shared" ref="S27:AL27" si="64">+S25+S14</f>
        <v>0</v>
      </c>
      <c r="T27" s="242">
        <f t="shared" si="64"/>
        <v>0</v>
      </c>
      <c r="U27" s="242">
        <f t="shared" si="64"/>
        <v>0</v>
      </c>
      <c r="V27" s="242">
        <f t="shared" si="64"/>
        <v>0</v>
      </c>
      <c r="W27" s="242">
        <f t="shared" si="64"/>
        <v>0</v>
      </c>
      <c r="X27" s="242">
        <f t="shared" si="64"/>
        <v>0</v>
      </c>
      <c r="Y27" s="242">
        <f t="shared" si="64"/>
        <v>0</v>
      </c>
      <c r="Z27" s="242">
        <f t="shared" si="64"/>
        <v>0</v>
      </c>
      <c r="AA27" s="242">
        <f t="shared" si="64"/>
        <v>0</v>
      </c>
      <c r="AB27" s="242">
        <f t="shared" si="64"/>
        <v>0</v>
      </c>
      <c r="AC27" s="242">
        <f t="shared" si="64"/>
        <v>0</v>
      </c>
      <c r="AD27" s="242">
        <f t="shared" si="64"/>
        <v>0</v>
      </c>
      <c r="AE27" s="242">
        <f t="shared" si="64"/>
        <v>0</v>
      </c>
      <c r="AF27" s="242">
        <f t="shared" si="64"/>
        <v>0</v>
      </c>
      <c r="AG27" s="242">
        <f t="shared" si="64"/>
        <v>0</v>
      </c>
      <c r="AH27" s="242">
        <f t="shared" si="64"/>
        <v>0</v>
      </c>
      <c r="AI27" s="242">
        <f t="shared" si="64"/>
        <v>0</v>
      </c>
      <c r="AJ27" s="242">
        <f t="shared" si="64"/>
        <v>0</v>
      </c>
      <c r="AK27" s="242">
        <f t="shared" si="64"/>
        <v>0</v>
      </c>
      <c r="AL27" s="242">
        <f t="shared" si="64"/>
        <v>0</v>
      </c>
      <c r="AM27" s="242">
        <f t="shared" ref="AM27:BF27" si="65">+AM25+AM14</f>
        <v>0</v>
      </c>
      <c r="AN27" s="242">
        <f t="shared" si="65"/>
        <v>0</v>
      </c>
      <c r="AO27" s="242">
        <f t="shared" si="65"/>
        <v>0</v>
      </c>
      <c r="AP27" s="242">
        <f t="shared" si="65"/>
        <v>0</v>
      </c>
      <c r="AQ27" s="242">
        <f t="shared" si="65"/>
        <v>0</v>
      </c>
      <c r="AR27" s="242">
        <f t="shared" si="65"/>
        <v>0</v>
      </c>
      <c r="AS27" s="242">
        <f t="shared" si="65"/>
        <v>0</v>
      </c>
      <c r="AT27" s="242">
        <f t="shared" si="65"/>
        <v>0</v>
      </c>
      <c r="AU27" s="242">
        <f t="shared" si="65"/>
        <v>0</v>
      </c>
      <c r="AV27" s="242">
        <f t="shared" si="65"/>
        <v>0</v>
      </c>
      <c r="AW27" s="242">
        <f t="shared" si="65"/>
        <v>0</v>
      </c>
      <c r="AX27" s="242">
        <f t="shared" si="65"/>
        <v>0</v>
      </c>
      <c r="AY27" s="242">
        <f t="shared" si="65"/>
        <v>0</v>
      </c>
      <c r="AZ27" s="242">
        <f t="shared" si="65"/>
        <v>0</v>
      </c>
      <c r="BA27" s="242">
        <f t="shared" si="65"/>
        <v>0</v>
      </c>
      <c r="BB27" s="242">
        <f t="shared" si="65"/>
        <v>0</v>
      </c>
      <c r="BC27" s="242">
        <f t="shared" si="65"/>
        <v>0</v>
      </c>
      <c r="BD27" s="242">
        <f t="shared" si="65"/>
        <v>0</v>
      </c>
      <c r="BE27" s="242">
        <f t="shared" si="65"/>
        <v>0</v>
      </c>
      <c r="BF27" s="242">
        <f t="shared" si="65"/>
        <v>0</v>
      </c>
      <c r="BG27" s="242">
        <f t="shared" ref="BG27:BK27" si="66">+BG25+BG14</f>
        <v>0</v>
      </c>
      <c r="BH27" s="242">
        <f t="shared" si="66"/>
        <v>0</v>
      </c>
      <c r="BI27" s="242">
        <f t="shared" si="66"/>
        <v>0</v>
      </c>
      <c r="BJ27" s="242">
        <f t="shared" si="66"/>
        <v>0</v>
      </c>
      <c r="BK27" s="242">
        <f t="shared" si="66"/>
        <v>0</v>
      </c>
    </row>
    <row r="28" spans="1:73" ht="15.75" thickBot="1" x14ac:dyDescent="0.3">
      <c r="C28" s="355">
        <f>+C27/50</f>
        <v>12.64</v>
      </c>
      <c r="G28" s="355" t="s">
        <v>219</v>
      </c>
      <c r="H28" s="355">
        <f>+H27/50</f>
        <v>12.4</v>
      </c>
      <c r="L28" s="242" t="s">
        <v>219</v>
      </c>
      <c r="M28" s="242">
        <f>+M27/50</f>
        <v>14.38</v>
      </c>
      <c r="Q28" s="242" t="s">
        <v>219</v>
      </c>
      <c r="R28" s="242">
        <f>+R27/50</f>
        <v>18.920000000000002</v>
      </c>
      <c r="V28" s="242" t="s">
        <v>219</v>
      </c>
      <c r="W28" s="242">
        <f>+W27/50</f>
        <v>0</v>
      </c>
      <c r="AA28" s="242" t="s">
        <v>219</v>
      </c>
      <c r="AB28" s="242">
        <f>+AB27/50</f>
        <v>0</v>
      </c>
      <c r="AF28" s="242" t="s">
        <v>219</v>
      </c>
      <c r="AG28" s="242">
        <f>+AG27/50</f>
        <v>0</v>
      </c>
      <c r="AK28" s="242" t="s">
        <v>219</v>
      </c>
      <c r="AL28" s="242">
        <f>+AL27/50</f>
        <v>0</v>
      </c>
      <c r="AP28" s="242" t="s">
        <v>219</v>
      </c>
      <c r="AQ28" s="242">
        <f>+AQ27/50</f>
        <v>0</v>
      </c>
      <c r="AU28" s="242" t="s">
        <v>219</v>
      </c>
      <c r="AV28" s="242">
        <f>+AV27/50</f>
        <v>0</v>
      </c>
      <c r="AZ28" s="242" t="s">
        <v>219</v>
      </c>
      <c r="BA28" s="242">
        <f>+BA27/50</f>
        <v>0</v>
      </c>
      <c r="BE28" s="242" t="s">
        <v>219</v>
      </c>
      <c r="BF28" s="242">
        <f>+BF27/50</f>
        <v>0</v>
      </c>
      <c r="BJ28" s="242" t="s">
        <v>219</v>
      </c>
      <c r="BK28" s="242">
        <f>+BK27/50</f>
        <v>0</v>
      </c>
    </row>
  </sheetData>
  <mergeCells count="1">
    <mergeCell ref="A25:B25"/>
  </mergeCells>
  <pageMargins left="0.7" right="0.7" top="0.75" bottom="0.75" header="0.3" footer="0.3"/>
  <pageSetup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60FC0-023C-44EA-9FA6-D486EE1E9F58}">
  <sheetPr>
    <tabColor rgb="FFFF3300"/>
  </sheetPr>
  <dimension ref="A1:AB27"/>
  <sheetViews>
    <sheetView showGridLines="0" zoomScale="85" zoomScaleNormal="85" workbookViewId="0">
      <pane xSplit="2" ySplit="1" topLeftCell="O2" activePane="bottomRight" state="frozen"/>
      <selection pane="topRight" activeCell="D1" sqref="D1"/>
      <selection pane="bottomLeft" activeCell="A2" sqref="A2"/>
      <selection pane="bottomRight" activeCell="Z24" sqref="Z24:AA24"/>
    </sheetView>
  </sheetViews>
  <sheetFormatPr baseColWidth="10" defaultColWidth="11.42578125" defaultRowHeight="13.5" x14ac:dyDescent="0.25"/>
  <cols>
    <col min="1" max="1" width="9.85546875" style="34" customWidth="1"/>
    <col min="2" max="2" width="51.5703125" style="33" customWidth="1"/>
    <col min="3" max="3" width="11.42578125" style="80" customWidth="1"/>
    <col min="4" max="4" width="9" style="80" customWidth="1"/>
    <col min="5" max="6" width="7.85546875" style="80" customWidth="1"/>
    <col min="7" max="12" width="10.5703125" style="80" customWidth="1"/>
    <col min="13" max="13" width="10.85546875" style="80" customWidth="1"/>
    <col min="14" max="17" width="10.5703125" style="80" customWidth="1"/>
    <col min="18" max="18" width="10.85546875" style="80" customWidth="1"/>
    <col min="19" max="16384" width="11.42578125" style="15"/>
  </cols>
  <sheetData>
    <row r="1" spans="1:28" ht="45" customHeight="1" x14ac:dyDescent="0.25">
      <c r="A1"/>
      <c r="B1"/>
      <c r="C1"/>
      <c r="D1"/>
      <c r="E1"/>
      <c r="F1"/>
      <c r="G1"/>
      <c r="H1"/>
      <c r="I1"/>
      <c r="J1"/>
      <c r="K1"/>
      <c r="L1" s="423">
        <v>45</v>
      </c>
      <c r="M1"/>
      <c r="N1"/>
      <c r="O1"/>
      <c r="P1"/>
      <c r="Q1" s="423"/>
      <c r="R1"/>
    </row>
    <row r="2" spans="1:28" ht="45" x14ac:dyDescent="0.25">
      <c r="A2" s="1" t="s">
        <v>52</v>
      </c>
      <c r="B2" s="6" t="s">
        <v>53</v>
      </c>
      <c r="C2" s="246" t="s">
        <v>192</v>
      </c>
      <c r="D2" s="74" t="s">
        <v>193</v>
      </c>
      <c r="E2" s="74" t="s">
        <v>194</v>
      </c>
      <c r="F2" s="74" t="s">
        <v>195</v>
      </c>
      <c r="G2" s="44" t="s">
        <v>196</v>
      </c>
      <c r="H2" s="261" t="s">
        <v>197</v>
      </c>
      <c r="I2" s="74" t="s">
        <v>193</v>
      </c>
      <c r="J2" s="74" t="s">
        <v>194</v>
      </c>
      <c r="K2" s="74" t="s">
        <v>195</v>
      </c>
      <c r="L2" s="44" t="s">
        <v>196</v>
      </c>
      <c r="M2" s="261" t="s">
        <v>220</v>
      </c>
      <c r="N2" s="74" t="s">
        <v>193</v>
      </c>
      <c r="O2" s="74" t="s">
        <v>194</v>
      </c>
      <c r="P2" s="74" t="s">
        <v>195</v>
      </c>
      <c r="Q2" s="44" t="s">
        <v>196</v>
      </c>
      <c r="R2" s="261" t="s">
        <v>199</v>
      </c>
      <c r="S2" s="74" t="s">
        <v>193</v>
      </c>
      <c r="T2" s="74" t="s">
        <v>194</v>
      </c>
      <c r="U2" s="74" t="s">
        <v>195</v>
      </c>
      <c r="V2" s="44" t="s">
        <v>196</v>
      </c>
      <c r="W2" s="261" t="s">
        <v>200</v>
      </c>
      <c r="X2" s="74" t="s">
        <v>193</v>
      </c>
      <c r="Y2" s="74" t="s">
        <v>194</v>
      </c>
      <c r="Z2" s="74" t="s">
        <v>195</v>
      </c>
      <c r="AA2" s="44" t="s">
        <v>196</v>
      </c>
      <c r="AB2" s="261" t="s">
        <v>201</v>
      </c>
    </row>
    <row r="3" spans="1:28" ht="15.95" customHeight="1" x14ac:dyDescent="0.25">
      <c r="A3" s="243">
        <v>806685</v>
      </c>
      <c r="B3" s="244" t="s">
        <v>57</v>
      </c>
      <c r="C3" s="240"/>
      <c r="D3" s="40"/>
      <c r="E3" s="40"/>
      <c r="F3" s="40"/>
      <c r="G3" s="40"/>
      <c r="H3" s="262">
        <f>+C3+D3+E3-F3-G3</f>
        <v>0</v>
      </c>
      <c r="I3" s="40"/>
      <c r="J3" s="40">
        <v>972</v>
      </c>
      <c r="K3" s="40"/>
      <c r="L3" s="40"/>
      <c r="M3" s="262">
        <f>+H3+I3+J3-K3-L3</f>
        <v>972</v>
      </c>
      <c r="N3" s="40"/>
      <c r="O3" s="40">
        <v>1620</v>
      </c>
      <c r="P3" s="40"/>
      <c r="Q3" s="40">
        <v>375</v>
      </c>
      <c r="R3" s="262">
        <f>+M3+N3+O3-P3-Q3</f>
        <v>2217</v>
      </c>
      <c r="S3" s="40"/>
      <c r="T3" s="40"/>
      <c r="U3" s="40"/>
      <c r="V3" s="40">
        <v>937</v>
      </c>
      <c r="W3" s="262">
        <f>+R3+S3+T3-U3-V3</f>
        <v>1280</v>
      </c>
      <c r="X3" s="40"/>
      <c r="Y3" s="40"/>
      <c r="Z3" s="40"/>
      <c r="AA3" s="40">
        <v>342</v>
      </c>
      <c r="AB3" s="262">
        <f>+W3+X3+Y3-Z3-AA3</f>
        <v>938</v>
      </c>
    </row>
    <row r="4" spans="1:28" ht="15.95" customHeight="1" x14ac:dyDescent="0.25">
      <c r="A4" s="243">
        <v>806939</v>
      </c>
      <c r="B4" s="244" t="s">
        <v>67</v>
      </c>
      <c r="C4" s="240"/>
      <c r="D4" s="40"/>
      <c r="E4" s="40"/>
      <c r="F4" s="40"/>
      <c r="G4" s="40"/>
      <c r="H4" s="262">
        <f t="shared" ref="H4:H20" si="0">+C4+D4+E4-F4-G4</f>
        <v>0</v>
      </c>
      <c r="I4" s="40"/>
      <c r="J4" s="40">
        <v>324</v>
      </c>
      <c r="K4" s="40">
        <v>80</v>
      </c>
      <c r="L4" s="40">
        <v>10</v>
      </c>
      <c r="M4" s="262">
        <f t="shared" ref="M4:M20" si="1">+H4+I4+J4-K4-L4</f>
        <v>234</v>
      </c>
      <c r="N4" s="40"/>
      <c r="O4" s="40">
        <v>108</v>
      </c>
      <c r="P4" s="40"/>
      <c r="Q4" s="40">
        <v>5</v>
      </c>
      <c r="R4" s="262">
        <f t="shared" ref="R4:R21" si="2">+M4+N4+O4-P4-Q4</f>
        <v>337</v>
      </c>
      <c r="S4" s="40"/>
      <c r="T4" s="40"/>
      <c r="U4" s="40">
        <v>80</v>
      </c>
      <c r="V4" s="40">
        <v>107</v>
      </c>
      <c r="W4" s="262">
        <f t="shared" ref="W4:W23" si="3">+R4+S4+T4-U4-V4</f>
        <v>150</v>
      </c>
      <c r="X4" s="40"/>
      <c r="Y4" s="40"/>
      <c r="Z4" s="40"/>
      <c r="AA4" s="40"/>
      <c r="AB4" s="262">
        <f t="shared" ref="AB4:AB23" si="4">+W4+X4+Y4-Z4-AA4</f>
        <v>150</v>
      </c>
    </row>
    <row r="5" spans="1:28" ht="15.95" customHeight="1" x14ac:dyDescent="0.25">
      <c r="A5" s="243">
        <v>806694</v>
      </c>
      <c r="B5" s="244" t="s">
        <v>68</v>
      </c>
      <c r="C5" s="240"/>
      <c r="D5" s="40"/>
      <c r="E5" s="40"/>
      <c r="F5" s="40"/>
      <c r="G5" s="40"/>
      <c r="H5" s="262">
        <f t="shared" si="0"/>
        <v>0</v>
      </c>
      <c r="I5" s="40"/>
      <c r="J5" s="40">
        <v>168</v>
      </c>
      <c r="K5" s="40"/>
      <c r="L5" s="40">
        <v>18</v>
      </c>
      <c r="M5" s="262">
        <f t="shared" si="1"/>
        <v>150</v>
      </c>
      <c r="N5" s="40"/>
      <c r="O5" s="40">
        <v>84</v>
      </c>
      <c r="P5" s="40"/>
      <c r="Q5" s="40">
        <v>33</v>
      </c>
      <c r="R5" s="262">
        <f t="shared" si="2"/>
        <v>201</v>
      </c>
      <c r="S5" s="40"/>
      <c r="T5" s="40"/>
      <c r="U5" s="40"/>
      <c r="V5" s="40">
        <v>25</v>
      </c>
      <c r="W5" s="262">
        <f t="shared" si="3"/>
        <v>176</v>
      </c>
      <c r="X5" s="40"/>
      <c r="Y5" s="40"/>
      <c r="Z5" s="40"/>
      <c r="AA5" s="40">
        <v>10</v>
      </c>
      <c r="AB5" s="262">
        <f t="shared" si="4"/>
        <v>166</v>
      </c>
    </row>
    <row r="6" spans="1:28" ht="15.95" customHeight="1" x14ac:dyDescent="0.25">
      <c r="A6" s="243">
        <v>804104</v>
      </c>
      <c r="B6" s="244" t="s">
        <v>69</v>
      </c>
      <c r="C6" s="240"/>
      <c r="D6" s="40"/>
      <c r="E6" s="40"/>
      <c r="F6" s="40"/>
      <c r="G6" s="40"/>
      <c r="H6" s="262">
        <f t="shared" si="0"/>
        <v>0</v>
      </c>
      <c r="I6" s="40"/>
      <c r="J6" s="40"/>
      <c r="K6" s="40"/>
      <c r="L6" s="40"/>
      <c r="M6" s="262">
        <f t="shared" si="1"/>
        <v>0</v>
      </c>
      <c r="N6" s="40"/>
      <c r="O6" s="40"/>
      <c r="P6" s="40"/>
      <c r="Q6" s="40"/>
      <c r="R6" s="262">
        <f t="shared" si="2"/>
        <v>0</v>
      </c>
      <c r="S6" s="40"/>
      <c r="T6" s="40"/>
      <c r="U6" s="40"/>
      <c r="V6" s="40"/>
      <c r="W6" s="262">
        <f t="shared" si="3"/>
        <v>0</v>
      </c>
      <c r="X6" s="40"/>
      <c r="Y6" s="40"/>
      <c r="Z6" s="40"/>
      <c r="AA6" s="40"/>
      <c r="AB6" s="262">
        <f t="shared" si="4"/>
        <v>0</v>
      </c>
    </row>
    <row r="7" spans="1:28" ht="15.95" customHeight="1" x14ac:dyDescent="0.25">
      <c r="A7" s="243">
        <v>806686</v>
      </c>
      <c r="B7" s="244" t="s">
        <v>70</v>
      </c>
      <c r="C7" s="240"/>
      <c r="D7" s="40"/>
      <c r="E7" s="40"/>
      <c r="F7" s="40"/>
      <c r="G7" s="40"/>
      <c r="H7" s="262">
        <f t="shared" si="0"/>
        <v>0</v>
      </c>
      <c r="I7" s="40"/>
      <c r="J7" s="40">
        <v>108</v>
      </c>
      <c r="K7" s="40"/>
      <c r="L7" s="40">
        <v>20</v>
      </c>
      <c r="M7" s="262">
        <f t="shared" si="1"/>
        <v>88</v>
      </c>
      <c r="N7" s="40"/>
      <c r="O7" s="40"/>
      <c r="P7" s="40"/>
      <c r="Q7" s="40">
        <v>86</v>
      </c>
      <c r="R7" s="262">
        <f t="shared" si="2"/>
        <v>2</v>
      </c>
      <c r="S7" s="40"/>
      <c r="T7" s="40"/>
      <c r="U7" s="40"/>
      <c r="V7" s="40">
        <v>2</v>
      </c>
      <c r="W7" s="262">
        <f t="shared" si="3"/>
        <v>0</v>
      </c>
      <c r="X7" s="40"/>
      <c r="Y7" s="40"/>
      <c r="Z7" s="40"/>
      <c r="AA7" s="40"/>
      <c r="AB7" s="262">
        <f t="shared" si="4"/>
        <v>0</v>
      </c>
    </row>
    <row r="8" spans="1:28" ht="15.95" customHeight="1" x14ac:dyDescent="0.25">
      <c r="A8" s="243">
        <v>804109</v>
      </c>
      <c r="B8" s="244" t="s">
        <v>71</v>
      </c>
      <c r="C8" s="240"/>
      <c r="D8" s="40"/>
      <c r="E8" s="40"/>
      <c r="F8" s="40"/>
      <c r="G8" s="40"/>
      <c r="H8" s="262">
        <f t="shared" si="0"/>
        <v>0</v>
      </c>
      <c r="I8" s="40"/>
      <c r="J8" s="40">
        <v>168</v>
      </c>
      <c r="K8" s="40"/>
      <c r="L8" s="40">
        <v>20</v>
      </c>
      <c r="M8" s="262">
        <f t="shared" si="1"/>
        <v>148</v>
      </c>
      <c r="N8" s="40"/>
      <c r="O8" s="40">
        <v>84</v>
      </c>
      <c r="P8" s="40"/>
      <c r="Q8" s="40">
        <v>94</v>
      </c>
      <c r="R8" s="262">
        <f t="shared" si="2"/>
        <v>138</v>
      </c>
      <c r="S8" s="40"/>
      <c r="T8" s="610">
        <v>50</v>
      </c>
      <c r="U8" s="40"/>
      <c r="V8" s="40">
        <v>142</v>
      </c>
      <c r="W8" s="262">
        <f t="shared" si="3"/>
        <v>46</v>
      </c>
      <c r="X8" s="40"/>
      <c r="Y8" s="40"/>
      <c r="Z8" s="40"/>
      <c r="AA8" s="40">
        <v>6</v>
      </c>
      <c r="AB8" s="262">
        <f t="shared" si="4"/>
        <v>40</v>
      </c>
    </row>
    <row r="9" spans="1:28" ht="15.95" customHeight="1" x14ac:dyDescent="0.25">
      <c r="A9" s="243">
        <v>806980</v>
      </c>
      <c r="B9" s="244" t="s">
        <v>72</v>
      </c>
      <c r="C9" s="240"/>
      <c r="D9" s="40"/>
      <c r="E9" s="40"/>
      <c r="F9" s="40"/>
      <c r="G9" s="40"/>
      <c r="H9" s="262">
        <f t="shared" si="0"/>
        <v>0</v>
      </c>
      <c r="I9" s="40"/>
      <c r="J9" s="40">
        <v>120</v>
      </c>
      <c r="K9" s="40"/>
      <c r="L9" s="40"/>
      <c r="M9" s="262">
        <f t="shared" si="1"/>
        <v>120</v>
      </c>
      <c r="N9" s="40"/>
      <c r="O9" s="40">
        <v>24</v>
      </c>
      <c r="P9" s="40"/>
      <c r="Q9" s="40">
        <v>4</v>
      </c>
      <c r="R9" s="262">
        <f t="shared" si="2"/>
        <v>140</v>
      </c>
      <c r="S9" s="40"/>
      <c r="T9" s="40"/>
      <c r="U9" s="40"/>
      <c r="V9" s="40">
        <v>82</v>
      </c>
      <c r="W9" s="262">
        <f t="shared" si="3"/>
        <v>58</v>
      </c>
      <c r="X9" s="40"/>
      <c r="Y9" s="40"/>
      <c r="Z9" s="40"/>
      <c r="AA9" s="40">
        <v>2</v>
      </c>
      <c r="AB9" s="262">
        <f t="shared" si="4"/>
        <v>56</v>
      </c>
    </row>
    <row r="10" spans="1:28" ht="15.95" customHeight="1" x14ac:dyDescent="0.25">
      <c r="A10" s="243">
        <v>806982</v>
      </c>
      <c r="B10" s="244" t="s">
        <v>73</v>
      </c>
      <c r="C10" s="240"/>
      <c r="D10" s="40"/>
      <c r="E10" s="40"/>
      <c r="F10" s="40"/>
      <c r="G10" s="40"/>
      <c r="H10" s="262">
        <f t="shared" si="0"/>
        <v>0</v>
      </c>
      <c r="I10" s="40"/>
      <c r="J10" s="40"/>
      <c r="K10" s="40"/>
      <c r="L10" s="40"/>
      <c r="M10" s="262">
        <f t="shared" si="1"/>
        <v>0</v>
      </c>
      <c r="N10" s="40"/>
      <c r="O10" s="40">
        <v>108</v>
      </c>
      <c r="P10" s="40"/>
      <c r="Q10" s="40"/>
      <c r="R10" s="262">
        <f t="shared" si="2"/>
        <v>108</v>
      </c>
      <c r="S10" s="40"/>
      <c r="T10" s="40"/>
      <c r="U10" s="40"/>
      <c r="V10" s="40"/>
      <c r="W10" s="262">
        <f t="shared" si="3"/>
        <v>108</v>
      </c>
      <c r="X10" s="40"/>
      <c r="Y10" s="40"/>
      <c r="Z10" s="40"/>
      <c r="AA10" s="40"/>
      <c r="AB10" s="262">
        <f t="shared" si="4"/>
        <v>108</v>
      </c>
    </row>
    <row r="11" spans="1:28" ht="15.95" customHeight="1" x14ac:dyDescent="0.25">
      <c r="A11" s="243">
        <v>260612</v>
      </c>
      <c r="B11" s="244" t="s">
        <v>74</v>
      </c>
      <c r="C11" s="240"/>
      <c r="D11" s="40"/>
      <c r="E11" s="40"/>
      <c r="F11" s="40"/>
      <c r="G11" s="40"/>
      <c r="H11" s="262">
        <f t="shared" si="0"/>
        <v>0</v>
      </c>
      <c r="I11" s="40"/>
      <c r="J11" s="40"/>
      <c r="K11" s="40"/>
      <c r="L11" s="40"/>
      <c r="M11" s="262">
        <f t="shared" si="1"/>
        <v>0</v>
      </c>
      <c r="N11" s="40"/>
      <c r="O11" s="40">
        <v>2</v>
      </c>
      <c r="P11" s="40"/>
      <c r="Q11" s="40">
        <v>2</v>
      </c>
      <c r="R11" s="262">
        <f t="shared" si="2"/>
        <v>0</v>
      </c>
      <c r="S11" s="40"/>
      <c r="T11" s="40"/>
      <c r="U11" s="40"/>
      <c r="V11" s="40"/>
      <c r="W11" s="262">
        <f t="shared" si="3"/>
        <v>0</v>
      </c>
      <c r="X11" s="40"/>
      <c r="Y11" s="40"/>
      <c r="Z11" s="40"/>
      <c r="AA11" s="40"/>
      <c r="AB11" s="262">
        <f t="shared" si="4"/>
        <v>0</v>
      </c>
    </row>
    <row r="12" spans="1:28" ht="15.95" customHeight="1" x14ac:dyDescent="0.25">
      <c r="A12" s="243">
        <v>804661</v>
      </c>
      <c r="B12" s="244" t="s">
        <v>75</v>
      </c>
      <c r="C12" s="240"/>
      <c r="D12" s="40"/>
      <c r="E12" s="40"/>
      <c r="F12" s="40"/>
      <c r="G12" s="40"/>
      <c r="H12" s="262">
        <f t="shared" si="0"/>
        <v>0</v>
      </c>
      <c r="I12" s="40"/>
      <c r="J12" s="40"/>
      <c r="K12" s="40"/>
      <c r="L12" s="40"/>
      <c r="M12" s="262">
        <f t="shared" si="1"/>
        <v>0</v>
      </c>
      <c r="N12" s="40"/>
      <c r="O12" s="40"/>
      <c r="P12" s="40"/>
      <c r="Q12" s="40"/>
      <c r="R12" s="262">
        <f t="shared" si="2"/>
        <v>0</v>
      </c>
      <c r="S12" s="40"/>
      <c r="T12" s="40"/>
      <c r="U12" s="40"/>
      <c r="V12" s="40"/>
      <c r="W12" s="262">
        <f t="shared" si="3"/>
        <v>0</v>
      </c>
      <c r="X12" s="40"/>
      <c r="Y12" s="40"/>
      <c r="Z12" s="40"/>
      <c r="AA12" s="40"/>
      <c r="AB12" s="262">
        <f t="shared" si="4"/>
        <v>0</v>
      </c>
    </row>
    <row r="13" spans="1:28" ht="15.95" customHeight="1" x14ac:dyDescent="0.25">
      <c r="A13" s="243">
        <v>806702</v>
      </c>
      <c r="B13" s="244" t="s">
        <v>76</v>
      </c>
      <c r="C13" s="240"/>
      <c r="D13" s="40"/>
      <c r="E13" s="40"/>
      <c r="F13" s="40"/>
      <c r="G13" s="40"/>
      <c r="H13" s="262">
        <f t="shared" si="0"/>
        <v>0</v>
      </c>
      <c r="I13" s="40"/>
      <c r="J13" s="40"/>
      <c r="K13" s="40"/>
      <c r="L13" s="40"/>
      <c r="M13" s="262">
        <f t="shared" si="1"/>
        <v>0</v>
      </c>
      <c r="N13" s="40"/>
      <c r="O13" s="40"/>
      <c r="P13" s="40"/>
      <c r="Q13" s="40"/>
      <c r="R13" s="262">
        <f t="shared" si="2"/>
        <v>0</v>
      </c>
      <c r="S13" s="40"/>
      <c r="T13" s="40"/>
      <c r="U13" s="40"/>
      <c r="V13" s="40"/>
      <c r="W13" s="262">
        <f t="shared" si="3"/>
        <v>0</v>
      </c>
      <c r="X13" s="40"/>
      <c r="Y13" s="40"/>
      <c r="Z13" s="40"/>
      <c r="AA13" s="40"/>
      <c r="AB13" s="262">
        <f t="shared" si="4"/>
        <v>0</v>
      </c>
    </row>
    <row r="14" spans="1:28" ht="15.95" customHeight="1" x14ac:dyDescent="0.25">
      <c r="A14" s="267">
        <v>807769</v>
      </c>
      <c r="B14" s="268" t="s">
        <v>77</v>
      </c>
      <c r="C14" s="241"/>
      <c r="D14" s="265"/>
      <c r="E14" s="265"/>
      <c r="F14" s="265"/>
      <c r="G14" s="265"/>
      <c r="H14" s="262">
        <f t="shared" si="0"/>
        <v>0</v>
      </c>
      <c r="I14" s="265"/>
      <c r="J14" s="265"/>
      <c r="K14" s="265"/>
      <c r="L14" s="265"/>
      <c r="M14" s="262">
        <f t="shared" si="1"/>
        <v>0</v>
      </c>
      <c r="N14" s="265"/>
      <c r="O14" s="265"/>
      <c r="P14" s="265"/>
      <c r="Q14" s="265"/>
      <c r="R14" s="262">
        <f t="shared" si="2"/>
        <v>0</v>
      </c>
      <c r="S14" s="265"/>
      <c r="T14" s="265"/>
      <c r="U14" s="265"/>
      <c r="V14" s="265"/>
      <c r="W14" s="262">
        <f t="shared" si="3"/>
        <v>0</v>
      </c>
      <c r="X14" s="265"/>
      <c r="Y14" s="265"/>
      <c r="Z14" s="265"/>
      <c r="AA14" s="265"/>
      <c r="AB14" s="262">
        <f t="shared" si="4"/>
        <v>0</v>
      </c>
    </row>
    <row r="15" spans="1:28" ht="15.95" customHeight="1" x14ac:dyDescent="0.25">
      <c r="A15" s="243">
        <v>807329</v>
      </c>
      <c r="B15" s="244" t="s">
        <v>78</v>
      </c>
      <c r="C15" s="241"/>
      <c r="D15" s="265"/>
      <c r="E15" s="265"/>
      <c r="F15" s="265"/>
      <c r="G15" s="265"/>
      <c r="H15" s="262">
        <f t="shared" si="0"/>
        <v>0</v>
      </c>
      <c r="I15" s="265"/>
      <c r="J15" s="265"/>
      <c r="K15" s="265"/>
      <c r="L15" s="265"/>
      <c r="M15" s="262">
        <f t="shared" si="1"/>
        <v>0</v>
      </c>
      <c r="N15" s="265"/>
      <c r="O15" s="265">
        <v>164</v>
      </c>
      <c r="P15" s="265"/>
      <c r="Q15" s="265"/>
      <c r="R15" s="262">
        <f t="shared" si="2"/>
        <v>164</v>
      </c>
      <c r="S15" s="265"/>
      <c r="T15" s="265"/>
      <c r="U15" s="265"/>
      <c r="V15" s="265"/>
      <c r="W15" s="262">
        <f t="shared" si="3"/>
        <v>164</v>
      </c>
      <c r="X15" s="265"/>
      <c r="Y15" s="265"/>
      <c r="Z15" s="265"/>
      <c r="AA15" s="265"/>
      <c r="AB15" s="262">
        <f t="shared" si="4"/>
        <v>164</v>
      </c>
    </row>
    <row r="16" spans="1:28" ht="15.95" customHeight="1" x14ac:dyDescent="0.25">
      <c r="A16" s="243">
        <v>805411</v>
      </c>
      <c r="B16" s="244" t="s">
        <v>79</v>
      </c>
      <c r="C16" s="241"/>
      <c r="D16" s="265"/>
      <c r="E16" s="265"/>
      <c r="F16" s="265"/>
      <c r="G16" s="265"/>
      <c r="H16" s="262">
        <f t="shared" si="0"/>
        <v>0</v>
      </c>
      <c r="I16" s="265"/>
      <c r="J16" s="265">
        <v>216</v>
      </c>
      <c r="K16" s="265"/>
      <c r="L16" s="265"/>
      <c r="M16" s="262">
        <f t="shared" si="1"/>
        <v>216</v>
      </c>
      <c r="N16" s="265"/>
      <c r="O16" s="265">
        <v>21</v>
      </c>
      <c r="P16" s="265"/>
      <c r="Q16" s="265">
        <v>72</v>
      </c>
      <c r="R16" s="262">
        <f t="shared" si="2"/>
        <v>165</v>
      </c>
      <c r="S16" s="265"/>
      <c r="T16" s="265"/>
      <c r="U16" s="265"/>
      <c r="V16" s="265"/>
      <c r="W16" s="262">
        <f t="shared" si="3"/>
        <v>165</v>
      </c>
      <c r="X16" s="265"/>
      <c r="Y16" s="265"/>
      <c r="Z16" s="265"/>
      <c r="AA16" s="265"/>
      <c r="AB16" s="262">
        <f t="shared" si="4"/>
        <v>165</v>
      </c>
    </row>
    <row r="17" spans="1:28" ht="15.95" customHeight="1" x14ac:dyDescent="0.25">
      <c r="A17" s="243">
        <v>807679</v>
      </c>
      <c r="B17" s="244" t="s">
        <v>80</v>
      </c>
      <c r="C17" s="241"/>
      <c r="D17" s="265"/>
      <c r="E17" s="265"/>
      <c r="F17" s="265"/>
      <c r="G17" s="265"/>
      <c r="H17" s="262">
        <f t="shared" si="0"/>
        <v>0</v>
      </c>
      <c r="I17" s="265"/>
      <c r="J17" s="265">
        <v>120</v>
      </c>
      <c r="K17" s="265"/>
      <c r="L17" s="265"/>
      <c r="M17" s="262">
        <f t="shared" si="1"/>
        <v>120</v>
      </c>
      <c r="N17" s="265"/>
      <c r="O17" s="265">
        <v>136</v>
      </c>
      <c r="P17" s="265"/>
      <c r="Q17" s="265"/>
      <c r="R17" s="262">
        <f t="shared" si="2"/>
        <v>256</v>
      </c>
      <c r="S17" s="265"/>
      <c r="T17" s="265"/>
      <c r="U17" s="265"/>
      <c r="V17" s="265"/>
      <c r="W17" s="262">
        <f t="shared" si="3"/>
        <v>256</v>
      </c>
      <c r="X17" s="265"/>
      <c r="Y17" s="265"/>
      <c r="Z17" s="265">
        <v>130</v>
      </c>
      <c r="AA17" s="265"/>
      <c r="AB17" s="262">
        <f t="shared" si="4"/>
        <v>126</v>
      </c>
    </row>
    <row r="18" spans="1:28" ht="15.95" customHeight="1" x14ac:dyDescent="0.25">
      <c r="A18" s="243">
        <v>805168</v>
      </c>
      <c r="B18" s="244" t="s">
        <v>81</v>
      </c>
      <c r="C18" s="241"/>
      <c r="D18" s="265"/>
      <c r="E18" s="265"/>
      <c r="F18" s="265"/>
      <c r="G18" s="265"/>
      <c r="H18" s="262">
        <f t="shared" si="0"/>
        <v>0</v>
      </c>
      <c r="I18" s="265"/>
      <c r="J18" s="265"/>
      <c r="K18" s="265"/>
      <c r="L18" s="265"/>
      <c r="M18" s="262">
        <f t="shared" si="1"/>
        <v>0</v>
      </c>
      <c r="N18" s="265"/>
      <c r="O18" s="265">
        <v>301</v>
      </c>
      <c r="P18" s="265"/>
      <c r="Q18" s="265"/>
      <c r="R18" s="262">
        <f t="shared" si="2"/>
        <v>301</v>
      </c>
      <c r="S18" s="265"/>
      <c r="T18" s="265"/>
      <c r="U18" s="265"/>
      <c r="V18" s="265"/>
      <c r="W18" s="262">
        <f t="shared" si="3"/>
        <v>301</v>
      </c>
      <c r="X18" s="265"/>
      <c r="Y18" s="265"/>
      <c r="Z18" s="265"/>
      <c r="AA18" s="265"/>
      <c r="AB18" s="262">
        <f t="shared" si="4"/>
        <v>301</v>
      </c>
    </row>
    <row r="19" spans="1:28" ht="15.95" customHeight="1" x14ac:dyDescent="0.25">
      <c r="A19" s="243">
        <v>807363</v>
      </c>
      <c r="B19" s="244" t="s">
        <v>82</v>
      </c>
      <c r="C19" s="241"/>
      <c r="D19" s="265"/>
      <c r="E19" s="265"/>
      <c r="F19" s="265"/>
      <c r="G19" s="265"/>
      <c r="H19" s="262">
        <f t="shared" si="0"/>
        <v>0</v>
      </c>
      <c r="I19" s="265"/>
      <c r="J19" s="265"/>
      <c r="K19" s="265"/>
      <c r="L19" s="265"/>
      <c r="M19" s="262">
        <f t="shared" si="1"/>
        <v>0</v>
      </c>
      <c r="N19" s="265"/>
      <c r="O19" s="265"/>
      <c r="P19" s="265"/>
      <c r="Q19" s="265"/>
      <c r="R19" s="262">
        <f t="shared" si="2"/>
        <v>0</v>
      </c>
      <c r="S19" s="265"/>
      <c r="T19" s="265"/>
      <c r="U19" s="265"/>
      <c r="V19" s="265"/>
      <c r="W19" s="262">
        <f t="shared" si="3"/>
        <v>0</v>
      </c>
      <c r="X19" s="265"/>
      <c r="Y19" s="265"/>
      <c r="Z19" s="265"/>
      <c r="AA19" s="265"/>
      <c r="AB19" s="262">
        <f t="shared" si="4"/>
        <v>0</v>
      </c>
    </row>
    <row r="20" spans="1:28" ht="15.95" customHeight="1" x14ac:dyDescent="0.25">
      <c r="A20" s="263">
        <v>809529</v>
      </c>
      <c r="B20" s="264" t="s">
        <v>83</v>
      </c>
      <c r="C20" s="241"/>
      <c r="D20" s="265"/>
      <c r="E20" s="265"/>
      <c r="F20" s="265"/>
      <c r="G20" s="265"/>
      <c r="H20" s="262">
        <f t="shared" si="0"/>
        <v>0</v>
      </c>
      <c r="I20" s="265"/>
      <c r="J20" s="265"/>
      <c r="K20" s="265"/>
      <c r="L20" s="265"/>
      <c r="M20" s="262">
        <f t="shared" si="1"/>
        <v>0</v>
      </c>
      <c r="N20" s="265"/>
      <c r="O20" s="265"/>
      <c r="P20" s="265"/>
      <c r="Q20" s="265"/>
      <c r="R20" s="262">
        <f t="shared" si="2"/>
        <v>0</v>
      </c>
      <c r="S20" s="265"/>
      <c r="T20" s="265"/>
      <c r="U20" s="265"/>
      <c r="V20" s="265"/>
      <c r="W20" s="262">
        <f t="shared" si="3"/>
        <v>0</v>
      </c>
      <c r="X20" s="265"/>
      <c r="Y20" s="265"/>
      <c r="Z20" s="265"/>
      <c r="AA20" s="265"/>
      <c r="AB20" s="262">
        <f t="shared" si="4"/>
        <v>0</v>
      </c>
    </row>
    <row r="21" spans="1:28" ht="18.75" customHeight="1" x14ac:dyDescent="0.25">
      <c r="A21" s="263">
        <v>505015</v>
      </c>
      <c r="B21" s="264" t="s">
        <v>95</v>
      </c>
      <c r="C21" s="241"/>
      <c r="D21" s="265"/>
      <c r="E21" s="265"/>
      <c r="F21" s="265"/>
      <c r="G21" s="265"/>
      <c r="H21" s="266"/>
      <c r="I21" s="265"/>
      <c r="J21" s="265"/>
      <c r="K21" s="265"/>
      <c r="L21" s="265"/>
      <c r="M21" s="266"/>
      <c r="N21" s="265"/>
      <c r="O21" s="265">
        <v>975</v>
      </c>
      <c r="P21" s="265"/>
      <c r="Q21" s="265"/>
      <c r="R21" s="262">
        <f t="shared" si="2"/>
        <v>975</v>
      </c>
      <c r="S21" s="265"/>
      <c r="T21" s="265"/>
      <c r="U21" s="265"/>
      <c r="V21" s="265">
        <v>157</v>
      </c>
      <c r="W21" s="262">
        <f t="shared" si="3"/>
        <v>818</v>
      </c>
      <c r="X21" s="265"/>
      <c r="Y21" s="265"/>
      <c r="Z21" s="265"/>
      <c r="AA21" s="265">
        <v>7</v>
      </c>
      <c r="AB21" s="262">
        <f t="shared" si="4"/>
        <v>811</v>
      </c>
    </row>
    <row r="22" spans="1:28" ht="15.95" customHeight="1" x14ac:dyDescent="0.25">
      <c r="A22" s="243"/>
      <c r="B22" s="244"/>
      <c r="C22" s="240"/>
      <c r="D22" s="40"/>
      <c r="E22" s="40"/>
      <c r="F22" s="40"/>
      <c r="G22" s="40"/>
      <c r="H22" s="262"/>
      <c r="I22" s="40"/>
      <c r="J22" s="40"/>
      <c r="K22" s="40"/>
      <c r="L22" s="40"/>
      <c r="M22" s="262"/>
      <c r="N22" s="40"/>
      <c r="O22" s="40"/>
      <c r="P22" s="40"/>
      <c r="Q22" s="40"/>
      <c r="R22" s="262"/>
      <c r="S22" s="40"/>
      <c r="T22" s="40"/>
      <c r="U22" s="40"/>
      <c r="V22" s="40"/>
      <c r="W22" s="262">
        <f t="shared" si="3"/>
        <v>0</v>
      </c>
      <c r="X22" s="40"/>
      <c r="Y22" s="40"/>
      <c r="Z22" s="40"/>
      <c r="AA22" s="40"/>
      <c r="AB22" s="262">
        <f t="shared" si="4"/>
        <v>0</v>
      </c>
    </row>
    <row r="23" spans="1:28" ht="15.95" customHeight="1" thickBot="1" x14ac:dyDescent="0.3">
      <c r="A23" s="243"/>
      <c r="B23" s="244"/>
      <c r="C23" s="240"/>
      <c r="D23" s="40"/>
      <c r="E23" s="40"/>
      <c r="F23" s="40"/>
      <c r="G23" s="40"/>
      <c r="H23" s="262"/>
      <c r="I23" s="40"/>
      <c r="J23" s="40"/>
      <c r="K23" s="40"/>
      <c r="L23" s="40"/>
      <c r="M23" s="262"/>
      <c r="N23" s="40"/>
      <c r="O23" s="40"/>
      <c r="P23" s="40"/>
      <c r="Q23" s="40"/>
      <c r="R23" s="262"/>
      <c r="S23" s="40"/>
      <c r="T23" s="40"/>
      <c r="U23" s="40"/>
      <c r="V23" s="40"/>
      <c r="W23" s="262">
        <f t="shared" si="3"/>
        <v>0</v>
      </c>
      <c r="X23" s="40"/>
      <c r="Y23" s="40"/>
      <c r="Z23" s="40"/>
      <c r="AA23" s="40"/>
      <c r="AB23" s="262">
        <f t="shared" si="4"/>
        <v>0</v>
      </c>
    </row>
    <row r="24" spans="1:28" ht="24" customHeight="1" thickBot="1" x14ac:dyDescent="0.3">
      <c r="A24" s="626" t="s">
        <v>224</v>
      </c>
      <c r="B24" s="627"/>
      <c r="C24" s="247">
        <f t="shared" ref="C24:Q24" si="5">+SUM(C3:C23)</f>
        <v>0</v>
      </c>
      <c r="D24" s="247">
        <f t="shared" si="5"/>
        <v>0</v>
      </c>
      <c r="E24" s="247">
        <f t="shared" si="5"/>
        <v>0</v>
      </c>
      <c r="F24" s="247">
        <f t="shared" si="5"/>
        <v>0</v>
      </c>
      <c r="G24" s="247">
        <f t="shared" si="5"/>
        <v>0</v>
      </c>
      <c r="H24" s="247">
        <f t="shared" ref="H24" si="6">+SUM(H3:H23)</f>
        <v>0</v>
      </c>
      <c r="I24" s="247">
        <f t="shared" si="5"/>
        <v>0</v>
      </c>
      <c r="J24" s="247">
        <f t="shared" si="5"/>
        <v>2196</v>
      </c>
      <c r="K24" s="247">
        <f t="shared" si="5"/>
        <v>80</v>
      </c>
      <c r="L24" s="247">
        <f t="shared" si="5"/>
        <v>68</v>
      </c>
      <c r="M24" s="247">
        <f t="shared" si="5"/>
        <v>2048</v>
      </c>
      <c r="N24" s="247">
        <f t="shared" si="5"/>
        <v>0</v>
      </c>
      <c r="O24" s="247">
        <f>+SUM(O3:O23)</f>
        <v>3627</v>
      </c>
      <c r="P24" s="247">
        <f t="shared" si="5"/>
        <v>0</v>
      </c>
      <c r="Q24" s="247">
        <f t="shared" si="5"/>
        <v>671</v>
      </c>
      <c r="R24" s="247">
        <f t="shared" ref="R24:S24" si="7">+SUM(R3:R23)</f>
        <v>5004</v>
      </c>
      <c r="S24" s="247">
        <f t="shared" si="7"/>
        <v>0</v>
      </c>
      <c r="T24" s="247">
        <f>+SUM(T3:T23)</f>
        <v>50</v>
      </c>
      <c r="U24" s="247">
        <f t="shared" ref="U24:X24" si="8">+SUM(U3:U23)</f>
        <v>80</v>
      </c>
      <c r="V24" s="247">
        <f>+SUM(V3:V23)</f>
        <v>1452</v>
      </c>
      <c r="W24" s="247">
        <f t="shared" si="8"/>
        <v>3522</v>
      </c>
      <c r="X24" s="247">
        <f t="shared" si="8"/>
        <v>0</v>
      </c>
      <c r="Y24" s="247">
        <f>+SUM(Y3:Y23)</f>
        <v>0</v>
      </c>
      <c r="Z24" s="247">
        <f t="shared" ref="Z24" si="9">+SUM(Z3:Z23)</f>
        <v>130</v>
      </c>
      <c r="AA24" s="247">
        <f>+SUM(AA3:AA23)</f>
        <v>367</v>
      </c>
      <c r="AB24" s="247">
        <f t="shared" ref="AB24" si="10">+SUM(AB3:AB23)</f>
        <v>3025</v>
      </c>
    </row>
    <row r="25" spans="1:28" ht="14.25" thickBot="1" x14ac:dyDescent="0.3"/>
    <row r="26" spans="1:28" ht="15.75" thickBot="1" x14ac:dyDescent="0.3">
      <c r="C26" s="242">
        <f>+C24</f>
        <v>0</v>
      </c>
      <c r="D26" s="242">
        <f t="shared" ref="D26:Q26" si="11">+D24</f>
        <v>0</v>
      </c>
      <c r="E26" s="242">
        <f t="shared" si="11"/>
        <v>0</v>
      </c>
      <c r="F26" s="242">
        <f t="shared" si="11"/>
        <v>0</v>
      </c>
      <c r="G26" s="242">
        <f t="shared" si="11"/>
        <v>0</v>
      </c>
      <c r="H26" s="242"/>
      <c r="I26" s="242"/>
      <c r="J26" s="242"/>
      <c r="K26" s="242"/>
      <c r="L26" s="242"/>
      <c r="M26" s="242">
        <f t="shared" si="11"/>
        <v>2048</v>
      </c>
      <c r="N26" s="242">
        <f t="shared" si="11"/>
        <v>0</v>
      </c>
      <c r="O26" s="242">
        <f t="shared" si="11"/>
        <v>3627</v>
      </c>
      <c r="P26" s="242">
        <f t="shared" si="11"/>
        <v>0</v>
      </c>
      <c r="Q26" s="242">
        <f t="shared" si="11"/>
        <v>671</v>
      </c>
      <c r="R26" s="242">
        <f t="shared" ref="R26" si="12">+R24</f>
        <v>5004</v>
      </c>
    </row>
    <row r="27" spans="1:28" ht="15.75" thickBot="1" x14ac:dyDescent="0.3">
      <c r="C27" s="242">
        <f>+C26/50</f>
        <v>0</v>
      </c>
      <c r="G27" s="242" t="s">
        <v>219</v>
      </c>
      <c r="H27" s="459"/>
      <c r="I27" s="459"/>
      <c r="J27" s="459"/>
      <c r="K27" s="459"/>
      <c r="L27" s="459"/>
      <c r="M27" s="460"/>
      <c r="N27" s="459"/>
      <c r="O27" s="459"/>
      <c r="P27" s="459"/>
      <c r="Q27" s="459"/>
    </row>
  </sheetData>
  <mergeCells count="1">
    <mergeCell ref="A24:B24"/>
  </mergeCells>
  <pageMargins left="0.7" right="0.7" top="0.75" bottom="0.75" header="0.3" footer="0.3"/>
  <pageSetup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C86D-9B7C-4654-BFE4-7B864F6D05CD}">
  <sheetPr>
    <tabColor rgb="FFEE0000"/>
  </sheetPr>
  <dimension ref="A1:S19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1" sqref="D1"/>
    </sheetView>
  </sheetViews>
  <sheetFormatPr baseColWidth="10" defaultColWidth="11.42578125" defaultRowHeight="13.5" x14ac:dyDescent="0.25"/>
  <cols>
    <col min="1" max="1" width="7.28515625" style="15" customWidth="1"/>
    <col min="2" max="2" width="11.42578125" style="15"/>
    <col min="3" max="3" width="59.42578125" style="15" bestFit="1" customWidth="1"/>
    <col min="4" max="4" width="11.42578125" style="347"/>
    <col min="5" max="8" width="0" style="348" hidden="1" customWidth="1"/>
    <col min="9" max="9" width="11.42578125" style="347"/>
    <col min="10" max="13" width="0" style="348" hidden="1" customWidth="1"/>
    <col min="14" max="14" width="11.42578125" style="347"/>
    <col min="15" max="18" width="11.42578125" style="348"/>
    <col min="19" max="19" width="11.42578125" style="347"/>
    <col min="20" max="16384" width="11.42578125" style="15"/>
  </cols>
  <sheetData>
    <row r="1" spans="1:19" s="23" customFormat="1" ht="18.75" x14ac:dyDescent="0.3">
      <c r="D1" s="332"/>
      <c r="E1" s="333"/>
      <c r="F1" s="333"/>
      <c r="G1" s="333"/>
      <c r="H1" s="333"/>
      <c r="I1" s="332"/>
      <c r="J1" s="333"/>
      <c r="K1" s="333"/>
      <c r="L1" s="333"/>
      <c r="M1" s="333"/>
      <c r="N1" s="332"/>
      <c r="O1" s="333"/>
      <c r="P1" s="333"/>
      <c r="Q1" s="333"/>
      <c r="R1" s="333"/>
      <c r="S1" s="332"/>
    </row>
    <row r="2" spans="1:19" ht="45" x14ac:dyDescent="0.25">
      <c r="A2" s="16" t="s">
        <v>233</v>
      </c>
      <c r="B2" s="17" t="s">
        <v>52</v>
      </c>
      <c r="C2" s="20" t="s">
        <v>53</v>
      </c>
      <c r="D2" s="329" t="s">
        <v>192</v>
      </c>
      <c r="E2" s="334" t="s">
        <v>193</v>
      </c>
      <c r="F2" s="334" t="s">
        <v>194</v>
      </c>
      <c r="G2" s="334" t="s">
        <v>195</v>
      </c>
      <c r="H2" s="335" t="s">
        <v>196</v>
      </c>
      <c r="I2" s="317" t="s">
        <v>197</v>
      </c>
      <c r="J2" s="334" t="s">
        <v>193</v>
      </c>
      <c r="K2" s="334" t="s">
        <v>194</v>
      </c>
      <c r="L2" s="334" t="s">
        <v>195</v>
      </c>
      <c r="M2" s="335" t="s">
        <v>196</v>
      </c>
      <c r="N2" s="317" t="s">
        <v>234</v>
      </c>
      <c r="O2" s="334" t="s">
        <v>193</v>
      </c>
      <c r="P2" s="334" t="s">
        <v>194</v>
      </c>
      <c r="Q2" s="334" t="s">
        <v>195</v>
      </c>
      <c r="R2" s="335" t="s">
        <v>196</v>
      </c>
      <c r="S2" s="317" t="s">
        <v>234</v>
      </c>
    </row>
    <row r="3" spans="1:19" ht="14.25" thickBot="1" x14ac:dyDescent="0.3">
      <c r="A3" s="349" t="s">
        <v>235</v>
      </c>
      <c r="B3" s="315">
        <v>260612</v>
      </c>
      <c r="C3" s="350" t="s">
        <v>101</v>
      </c>
      <c r="D3" s="336">
        <v>514</v>
      </c>
      <c r="E3" s="351"/>
      <c r="F3" s="351"/>
      <c r="G3" s="351"/>
      <c r="H3" s="351">
        <v>158</v>
      </c>
      <c r="I3" s="336">
        <f>D3+E3+F3-G3-H3</f>
        <v>356</v>
      </c>
      <c r="J3" s="351"/>
      <c r="K3" s="351"/>
      <c r="L3" s="351"/>
      <c r="M3" s="351">
        <v>312</v>
      </c>
      <c r="N3" s="336">
        <f>I3+J3+K3-L3-M3</f>
        <v>44</v>
      </c>
      <c r="O3" s="351"/>
      <c r="P3" s="351"/>
      <c r="Q3" s="351"/>
      <c r="R3" s="351">
        <v>44</v>
      </c>
      <c r="S3" s="336">
        <f>+N3+O3+P3-Q3-R3</f>
        <v>0</v>
      </c>
    </row>
    <row r="4" spans="1:19" ht="15.95" hidden="1" customHeight="1" thickBot="1" x14ac:dyDescent="0.3">
      <c r="A4" s="276" t="s">
        <v>235</v>
      </c>
      <c r="B4" s="243">
        <v>803528</v>
      </c>
      <c r="C4" s="277" t="s">
        <v>154</v>
      </c>
      <c r="D4" s="338" t="e">
        <f>#REF!+#REF!+#REF!-#REF!-#REF!</f>
        <v>#REF!</v>
      </c>
      <c r="E4" s="339"/>
      <c r="F4" s="340"/>
      <c r="G4" s="340"/>
      <c r="H4" s="341"/>
      <c r="I4" s="338" t="e">
        <f t="shared" ref="I4:I7" si="0">D4+E4+F4-G4-H4</f>
        <v>#REF!</v>
      </c>
      <c r="J4" s="339"/>
      <c r="K4" s="340"/>
      <c r="L4" s="340"/>
      <c r="M4" s="341"/>
      <c r="N4" s="338" t="e">
        <f t="shared" ref="N4:N7" si="1">I4+J4+K4-L4-M4</f>
        <v>#REF!</v>
      </c>
      <c r="O4" s="339"/>
      <c r="P4" s="340"/>
      <c r="Q4" s="340"/>
      <c r="R4" s="341"/>
      <c r="S4" s="338" t="e">
        <f>#REF!+O4+P4-Q4-R4</f>
        <v>#REF!</v>
      </c>
    </row>
    <row r="5" spans="1:19" ht="15.95" hidden="1" customHeight="1" thickBot="1" x14ac:dyDescent="0.3">
      <c r="A5" s="278" t="s">
        <v>235</v>
      </c>
      <c r="B5" s="263">
        <v>806980</v>
      </c>
      <c r="C5" s="279" t="s">
        <v>72</v>
      </c>
      <c r="D5" s="342" t="e">
        <f>#REF!+#REF!+#REF!-#REF!-#REF!</f>
        <v>#REF!</v>
      </c>
      <c r="E5" s="343"/>
      <c r="F5" s="344"/>
      <c r="G5" s="344"/>
      <c r="H5" s="345"/>
      <c r="I5" s="342" t="e">
        <f t="shared" si="0"/>
        <v>#REF!</v>
      </c>
      <c r="J5" s="343"/>
      <c r="K5" s="344"/>
      <c r="L5" s="344"/>
      <c r="M5" s="345"/>
      <c r="N5" s="342" t="e">
        <f t="shared" si="1"/>
        <v>#REF!</v>
      </c>
      <c r="O5" s="343"/>
      <c r="P5" s="344"/>
      <c r="Q5" s="344"/>
      <c r="R5" s="345"/>
      <c r="S5" s="342" t="e">
        <f>#REF!+O5+P5-Q5-R5</f>
        <v>#REF!</v>
      </c>
    </row>
    <row r="6" spans="1:19" ht="15.95" hidden="1" customHeight="1" thickBot="1" x14ac:dyDescent="0.3">
      <c r="A6" s="278" t="s">
        <v>235</v>
      </c>
      <c r="B6" s="243">
        <v>807679</v>
      </c>
      <c r="C6" s="277" t="s">
        <v>159</v>
      </c>
      <c r="D6" s="342" t="e">
        <f>#REF!+#REF!+#REF!-#REF!-#REF!</f>
        <v>#REF!</v>
      </c>
      <c r="E6" s="343"/>
      <c r="F6" s="341"/>
      <c r="G6" s="344"/>
      <c r="H6" s="345"/>
      <c r="I6" s="342" t="e">
        <f t="shared" si="0"/>
        <v>#REF!</v>
      </c>
      <c r="J6" s="343"/>
      <c r="K6" s="341"/>
      <c r="L6" s="344"/>
      <c r="M6" s="345"/>
      <c r="N6" s="342" t="e">
        <f t="shared" si="1"/>
        <v>#REF!</v>
      </c>
      <c r="O6" s="343"/>
      <c r="P6" s="341"/>
      <c r="Q6" s="344"/>
      <c r="R6" s="345"/>
      <c r="S6" s="342" t="e">
        <f>#REF!+O6+P6-Q6-R6</f>
        <v>#REF!</v>
      </c>
    </row>
    <row r="7" spans="1:19" ht="14.25" hidden="1" customHeight="1" thickBot="1" x14ac:dyDescent="0.3">
      <c r="A7" s="278" t="s">
        <v>235</v>
      </c>
      <c r="B7" s="263">
        <v>806918</v>
      </c>
      <c r="C7" s="277" t="s">
        <v>155</v>
      </c>
      <c r="D7" s="342" t="e">
        <f>#REF!+#REF!+#REF!-#REF!-#REF!</f>
        <v>#REF!</v>
      </c>
      <c r="E7" s="343"/>
      <c r="F7" s="344"/>
      <c r="G7" s="344"/>
      <c r="H7" s="345"/>
      <c r="I7" s="342" t="e">
        <f t="shared" si="0"/>
        <v>#REF!</v>
      </c>
      <c r="J7" s="343"/>
      <c r="K7" s="344"/>
      <c r="L7" s="344"/>
      <c r="M7" s="345"/>
      <c r="N7" s="342" t="e">
        <f t="shared" si="1"/>
        <v>#REF!</v>
      </c>
      <c r="O7" s="343"/>
      <c r="P7" s="344"/>
      <c r="Q7" s="344"/>
      <c r="R7" s="345"/>
      <c r="S7" s="342" t="e">
        <f>#REF!+O7+P7-Q7-R7</f>
        <v>#REF!</v>
      </c>
    </row>
    <row r="8" spans="1:19" ht="15.95" customHeight="1" thickBot="1" x14ac:dyDescent="0.3">
      <c r="A8" s="703" t="s">
        <v>120</v>
      </c>
      <c r="B8" s="704"/>
      <c r="C8" s="705"/>
      <c r="D8" s="346">
        <f t="shared" ref="D8" si="2">+D3</f>
        <v>514</v>
      </c>
      <c r="E8" s="346">
        <f t="shared" ref="E8:I8" si="3">+E3</f>
        <v>0</v>
      </c>
      <c r="F8" s="346">
        <f t="shared" si="3"/>
        <v>0</v>
      </c>
      <c r="G8" s="346">
        <f t="shared" si="3"/>
        <v>0</v>
      </c>
      <c r="H8" s="346">
        <f t="shared" si="3"/>
        <v>158</v>
      </c>
      <c r="I8" s="346">
        <f t="shared" si="3"/>
        <v>356</v>
      </c>
      <c r="J8" s="346">
        <f t="shared" ref="J8:N8" si="4">+J3</f>
        <v>0</v>
      </c>
      <c r="K8" s="346">
        <f t="shared" si="4"/>
        <v>0</v>
      </c>
      <c r="L8" s="346">
        <f t="shared" si="4"/>
        <v>0</v>
      </c>
      <c r="M8" s="346">
        <f t="shared" si="4"/>
        <v>312</v>
      </c>
      <c r="N8" s="346">
        <f t="shared" si="4"/>
        <v>44</v>
      </c>
      <c r="O8" s="346">
        <f t="shared" ref="O8:S8" si="5">+O3</f>
        <v>0</v>
      </c>
      <c r="P8" s="346">
        <f t="shared" si="5"/>
        <v>0</v>
      </c>
      <c r="Q8" s="346">
        <f t="shared" si="5"/>
        <v>0</v>
      </c>
      <c r="R8" s="346">
        <f t="shared" si="5"/>
        <v>44</v>
      </c>
      <c r="S8" s="346">
        <f t="shared" si="5"/>
        <v>0</v>
      </c>
    </row>
    <row r="11" spans="1:19" ht="15" x14ac:dyDescent="0.25">
      <c r="G11" s="328"/>
      <c r="L11" s="328"/>
      <c r="Q11" s="328"/>
    </row>
    <row r="12" spans="1:19" ht="15" x14ac:dyDescent="0.25">
      <c r="G12" s="328"/>
      <c r="L12" s="328"/>
      <c r="Q12" s="328"/>
    </row>
    <row r="13" spans="1:19" ht="15" x14ac:dyDescent="0.25">
      <c r="G13" s="328"/>
      <c r="L13" s="328"/>
      <c r="Q13" s="328"/>
    </row>
    <row r="14" spans="1:19" ht="15" x14ac:dyDescent="0.25">
      <c r="G14" s="328"/>
      <c r="L14" s="328"/>
      <c r="Q14" s="328"/>
    </row>
    <row r="15" spans="1:19" ht="15" x14ac:dyDescent="0.25">
      <c r="G15" s="328"/>
      <c r="L15" s="328"/>
      <c r="Q15" s="328"/>
    </row>
    <row r="16" spans="1:19" ht="15" x14ac:dyDescent="0.25">
      <c r="G16" s="328"/>
      <c r="L16" s="328"/>
      <c r="Q16" s="328"/>
    </row>
    <row r="17" spans="7:17" ht="15" x14ac:dyDescent="0.25">
      <c r="G17" s="328"/>
      <c r="L17" s="328"/>
      <c r="Q17" s="328"/>
    </row>
    <row r="18" spans="7:17" ht="15" x14ac:dyDescent="0.25">
      <c r="G18" s="328"/>
      <c r="L18" s="328"/>
      <c r="Q18" s="328"/>
    </row>
    <row r="19" spans="7:17" ht="15" x14ac:dyDescent="0.25">
      <c r="G19" s="328"/>
      <c r="L19" s="328"/>
      <c r="Q19" s="328"/>
    </row>
  </sheetData>
  <mergeCells count="1">
    <mergeCell ref="A8:C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4AC77-7EB8-49C6-9589-CC8277655B8C}">
  <sheetPr>
    <tabColor rgb="FFEE0000"/>
  </sheetPr>
  <dimension ref="A1:AB19"/>
  <sheetViews>
    <sheetView zoomScaleNormal="100" workbookViewId="0">
      <pane xSplit="2" ySplit="1" topLeftCell="K2" activePane="bottomRight" state="frozen"/>
      <selection pane="topRight" activeCell="D1" sqref="D1"/>
      <selection pane="bottomLeft" activeCell="A2" sqref="A2"/>
      <selection pane="bottomRight" activeCell="AA8" sqref="AA8"/>
    </sheetView>
  </sheetViews>
  <sheetFormatPr baseColWidth="10" defaultColWidth="11.42578125" defaultRowHeight="13.5" x14ac:dyDescent="0.25"/>
  <cols>
    <col min="1" max="1" width="11.42578125" style="15"/>
    <col min="2" max="2" width="38.140625" style="15" bestFit="1" customWidth="1"/>
    <col min="3" max="3" width="11.42578125" style="347"/>
    <col min="4" max="7" width="11.42578125" style="348"/>
    <col min="8" max="8" width="11.42578125" style="347"/>
    <col min="9" max="12" width="11.42578125" style="348"/>
    <col min="13" max="13" width="11.42578125" style="347"/>
    <col min="14" max="17" width="11.42578125" style="348"/>
    <col min="18" max="18" width="11.42578125" style="347"/>
    <col min="19" max="16384" width="11.42578125" style="15"/>
  </cols>
  <sheetData>
    <row r="1" spans="1:28" s="23" customFormat="1" ht="18.75" x14ac:dyDescent="0.3">
      <c r="C1" s="332"/>
      <c r="D1" s="333"/>
      <c r="E1" s="333"/>
      <c r="F1" s="333"/>
      <c r="G1" s="333"/>
      <c r="H1" s="332"/>
      <c r="I1" s="333"/>
      <c r="J1" s="333"/>
      <c r="K1" s="333"/>
      <c r="L1" s="333"/>
      <c r="M1" s="332"/>
      <c r="N1" s="333"/>
      <c r="O1" s="333"/>
      <c r="P1" s="333"/>
      <c r="Q1" s="333"/>
      <c r="R1" s="332"/>
    </row>
    <row r="2" spans="1:28" ht="45" x14ac:dyDescent="0.25">
      <c r="A2" s="17" t="s">
        <v>52</v>
      </c>
      <c r="B2" s="20" t="s">
        <v>53</v>
      </c>
      <c r="C2" s="329" t="s">
        <v>192</v>
      </c>
      <c r="D2" s="334" t="s">
        <v>193</v>
      </c>
      <c r="E2" s="334" t="s">
        <v>194</v>
      </c>
      <c r="F2" s="334" t="s">
        <v>195</v>
      </c>
      <c r="G2" s="335" t="s">
        <v>196</v>
      </c>
      <c r="H2" s="317" t="s">
        <v>197</v>
      </c>
      <c r="I2" s="334" t="s">
        <v>193</v>
      </c>
      <c r="J2" s="334" t="s">
        <v>194</v>
      </c>
      <c r="K2" s="334" t="s">
        <v>195</v>
      </c>
      <c r="L2" s="335" t="s">
        <v>196</v>
      </c>
      <c r="M2" s="317" t="s">
        <v>220</v>
      </c>
      <c r="N2" s="334" t="s">
        <v>193</v>
      </c>
      <c r="O2" s="334" t="s">
        <v>194</v>
      </c>
      <c r="P2" s="334" t="s">
        <v>195</v>
      </c>
      <c r="Q2" s="335" t="s">
        <v>196</v>
      </c>
      <c r="R2" s="317" t="s">
        <v>199</v>
      </c>
      <c r="S2" s="334" t="s">
        <v>193</v>
      </c>
      <c r="T2" s="334" t="s">
        <v>194</v>
      </c>
      <c r="U2" s="334" t="s">
        <v>195</v>
      </c>
      <c r="V2" s="335" t="s">
        <v>196</v>
      </c>
      <c r="W2" s="317" t="s">
        <v>200</v>
      </c>
      <c r="X2" s="334" t="s">
        <v>193</v>
      </c>
      <c r="Y2" s="334" t="s">
        <v>194</v>
      </c>
      <c r="Z2" s="334" t="s">
        <v>195</v>
      </c>
      <c r="AA2" s="335" t="s">
        <v>196</v>
      </c>
      <c r="AB2" s="317" t="s">
        <v>201</v>
      </c>
    </row>
    <row r="3" spans="1:28" s="316" customFormat="1" ht="14.25" thickBot="1" x14ac:dyDescent="0.3">
      <c r="A3" s="243">
        <v>806939</v>
      </c>
      <c r="B3" s="314" t="s">
        <v>67</v>
      </c>
      <c r="C3" s="356">
        <v>30</v>
      </c>
      <c r="D3" s="337"/>
      <c r="E3" s="337">
        <v>50</v>
      </c>
      <c r="F3" s="337"/>
      <c r="G3" s="337">
        <v>67</v>
      </c>
      <c r="H3" s="356">
        <f>C3+D3+E3-F3-G3</f>
        <v>13</v>
      </c>
      <c r="I3" s="337"/>
      <c r="J3" s="337">
        <v>80</v>
      </c>
      <c r="K3" s="337"/>
      <c r="L3" s="337">
        <v>32</v>
      </c>
      <c r="M3" s="356">
        <f>H3+I3+J3-K3-L3</f>
        <v>61</v>
      </c>
      <c r="N3" s="337"/>
      <c r="O3" s="337">
        <v>18</v>
      </c>
      <c r="P3" s="337"/>
      <c r="Q3" s="337">
        <v>37</v>
      </c>
      <c r="R3" s="356">
        <f>M3+N3+O3-P3-Q3</f>
        <v>42</v>
      </c>
      <c r="S3" s="337"/>
      <c r="T3" s="337">
        <v>80</v>
      </c>
      <c r="U3" s="337"/>
      <c r="V3" s="337">
        <v>42</v>
      </c>
      <c r="W3" s="356">
        <f>R3+S3+T3-U3-V3</f>
        <v>80</v>
      </c>
      <c r="X3" s="337"/>
      <c r="Y3" s="337"/>
      <c r="Z3" s="337"/>
      <c r="AA3" s="337">
        <v>24</v>
      </c>
      <c r="AB3" s="356">
        <f>W3+X3+Y3-Z3-AA3</f>
        <v>56</v>
      </c>
    </row>
    <row r="4" spans="1:28" ht="15.95" hidden="1" customHeight="1" thickBot="1" x14ac:dyDescent="0.3">
      <c r="A4" s="243">
        <v>803528</v>
      </c>
      <c r="B4" s="277" t="s">
        <v>154</v>
      </c>
      <c r="C4" s="338" t="e">
        <f>#REF!+#REF!+#REF!-#REF!-#REF!</f>
        <v>#REF!</v>
      </c>
      <c r="D4" s="339"/>
      <c r="E4" s="340"/>
      <c r="F4" s="340"/>
      <c r="G4" s="341"/>
      <c r="H4" s="338" t="e">
        <f t="shared" ref="H4:H7" si="0">C4+D4+E4-F4-G4</f>
        <v>#REF!</v>
      </c>
      <c r="I4" s="339"/>
      <c r="J4" s="340"/>
      <c r="K4" s="340"/>
      <c r="L4" s="341"/>
      <c r="M4" s="338" t="e">
        <f t="shared" ref="M4:M7" si="1">H4+I4+J4-K4-L4</f>
        <v>#REF!</v>
      </c>
      <c r="N4" s="339"/>
      <c r="O4" s="340"/>
      <c r="P4" s="340"/>
      <c r="Q4" s="341"/>
      <c r="R4" s="338" t="e">
        <f t="shared" ref="R4:R7" si="2">M4+N4+O4-P4-Q4</f>
        <v>#REF!</v>
      </c>
      <c r="S4" s="339"/>
      <c r="T4" s="340"/>
      <c r="U4" s="340"/>
      <c r="V4" s="341"/>
      <c r="W4" s="338" t="e">
        <f t="shared" ref="W4:W7" si="3">R4+S4+T4-U4-V4</f>
        <v>#REF!</v>
      </c>
      <c r="X4" s="339"/>
      <c r="Y4" s="340"/>
      <c r="Z4" s="340"/>
      <c r="AA4" s="341"/>
      <c r="AB4" s="338" t="e">
        <f t="shared" ref="AB4:AB7" si="4">W4+X4+Y4-Z4-AA4</f>
        <v>#REF!</v>
      </c>
    </row>
    <row r="5" spans="1:28" ht="15.95" hidden="1" customHeight="1" thickBot="1" x14ac:dyDescent="0.3">
      <c r="A5" s="263">
        <v>806980</v>
      </c>
      <c r="B5" s="279" t="s">
        <v>72</v>
      </c>
      <c r="C5" s="342" t="e">
        <f>#REF!+#REF!+#REF!-#REF!-#REF!</f>
        <v>#REF!</v>
      </c>
      <c r="D5" s="343"/>
      <c r="E5" s="344"/>
      <c r="F5" s="344"/>
      <c r="G5" s="345"/>
      <c r="H5" s="342" t="e">
        <f t="shared" si="0"/>
        <v>#REF!</v>
      </c>
      <c r="I5" s="343"/>
      <c r="J5" s="344"/>
      <c r="K5" s="344"/>
      <c r="L5" s="345"/>
      <c r="M5" s="342" t="e">
        <f t="shared" si="1"/>
        <v>#REF!</v>
      </c>
      <c r="N5" s="343"/>
      <c r="O5" s="344"/>
      <c r="P5" s="344"/>
      <c r="Q5" s="345"/>
      <c r="R5" s="342" t="e">
        <f t="shared" si="2"/>
        <v>#REF!</v>
      </c>
      <c r="S5" s="343"/>
      <c r="T5" s="344"/>
      <c r="U5" s="344"/>
      <c r="V5" s="345"/>
      <c r="W5" s="342" t="e">
        <f t="shared" si="3"/>
        <v>#REF!</v>
      </c>
      <c r="X5" s="343"/>
      <c r="Y5" s="344"/>
      <c r="Z5" s="344"/>
      <c r="AA5" s="345"/>
      <c r="AB5" s="342" t="e">
        <f t="shared" si="4"/>
        <v>#REF!</v>
      </c>
    </row>
    <row r="6" spans="1:28" ht="15.95" hidden="1" customHeight="1" thickBot="1" x14ac:dyDescent="0.3">
      <c r="A6" s="243">
        <v>807679</v>
      </c>
      <c r="B6" s="277" t="s">
        <v>159</v>
      </c>
      <c r="C6" s="342" t="e">
        <f>#REF!+#REF!+#REF!-#REF!-#REF!</f>
        <v>#REF!</v>
      </c>
      <c r="D6" s="343"/>
      <c r="E6" s="341"/>
      <c r="F6" s="344"/>
      <c r="G6" s="345"/>
      <c r="H6" s="342" t="e">
        <f t="shared" si="0"/>
        <v>#REF!</v>
      </c>
      <c r="I6" s="343"/>
      <c r="J6" s="341"/>
      <c r="K6" s="344"/>
      <c r="L6" s="345"/>
      <c r="M6" s="342" t="e">
        <f t="shared" si="1"/>
        <v>#REF!</v>
      </c>
      <c r="N6" s="343"/>
      <c r="O6" s="341"/>
      <c r="P6" s="344"/>
      <c r="Q6" s="345"/>
      <c r="R6" s="342" t="e">
        <f t="shared" si="2"/>
        <v>#REF!</v>
      </c>
      <c r="S6" s="343"/>
      <c r="T6" s="341"/>
      <c r="U6" s="344"/>
      <c r="V6" s="345"/>
      <c r="W6" s="342" t="e">
        <f t="shared" si="3"/>
        <v>#REF!</v>
      </c>
      <c r="X6" s="343"/>
      <c r="Y6" s="341"/>
      <c r="Z6" s="344"/>
      <c r="AA6" s="345"/>
      <c r="AB6" s="342" t="e">
        <f t="shared" si="4"/>
        <v>#REF!</v>
      </c>
    </row>
    <row r="7" spans="1:28" ht="15.95" hidden="1" customHeight="1" thickBot="1" x14ac:dyDescent="0.3">
      <c r="A7" s="263">
        <v>806918</v>
      </c>
      <c r="B7" s="277" t="s">
        <v>155</v>
      </c>
      <c r="C7" s="342" t="e">
        <f>#REF!+#REF!+#REF!-#REF!-#REF!</f>
        <v>#REF!</v>
      </c>
      <c r="D7" s="343"/>
      <c r="E7" s="344"/>
      <c r="F7" s="344"/>
      <c r="G7" s="345"/>
      <c r="H7" s="342" t="e">
        <f t="shared" si="0"/>
        <v>#REF!</v>
      </c>
      <c r="I7" s="343"/>
      <c r="J7" s="344"/>
      <c r="K7" s="344"/>
      <c r="L7" s="345"/>
      <c r="M7" s="342" t="e">
        <f t="shared" si="1"/>
        <v>#REF!</v>
      </c>
      <c r="N7" s="343"/>
      <c r="O7" s="344"/>
      <c r="P7" s="344"/>
      <c r="Q7" s="345"/>
      <c r="R7" s="342" t="e">
        <f t="shared" si="2"/>
        <v>#REF!</v>
      </c>
      <c r="S7" s="343"/>
      <c r="T7" s="344"/>
      <c r="U7" s="344"/>
      <c r="V7" s="345"/>
      <c r="W7" s="342" t="e">
        <f t="shared" si="3"/>
        <v>#REF!</v>
      </c>
      <c r="X7" s="343"/>
      <c r="Y7" s="344"/>
      <c r="Z7" s="344"/>
      <c r="AA7" s="345"/>
      <c r="AB7" s="342" t="e">
        <f t="shared" si="4"/>
        <v>#REF!</v>
      </c>
    </row>
    <row r="8" spans="1:28" ht="15.95" customHeight="1" thickBot="1" x14ac:dyDescent="0.3">
      <c r="A8" s="704"/>
      <c r="B8" s="705"/>
      <c r="C8" s="346">
        <f t="shared" ref="C8:H8" si="5">+C3</f>
        <v>30</v>
      </c>
      <c r="D8" s="346">
        <f t="shared" si="5"/>
        <v>0</v>
      </c>
      <c r="E8" s="346">
        <f t="shared" si="5"/>
        <v>50</v>
      </c>
      <c r="F8" s="346">
        <f t="shared" si="5"/>
        <v>0</v>
      </c>
      <c r="G8" s="346">
        <f t="shared" si="5"/>
        <v>67</v>
      </c>
      <c r="H8" s="346">
        <f t="shared" si="5"/>
        <v>13</v>
      </c>
      <c r="I8" s="346">
        <f t="shared" ref="I8:M8" si="6">+I3</f>
        <v>0</v>
      </c>
      <c r="J8" s="346">
        <f t="shared" si="6"/>
        <v>80</v>
      </c>
      <c r="K8" s="346">
        <f t="shared" si="6"/>
        <v>0</v>
      </c>
      <c r="L8" s="346">
        <f t="shared" si="6"/>
        <v>32</v>
      </c>
      <c r="M8" s="346">
        <f t="shared" si="6"/>
        <v>61</v>
      </c>
      <c r="N8" s="346">
        <f t="shared" ref="N8:R8" si="7">+N3</f>
        <v>0</v>
      </c>
      <c r="O8" s="346">
        <f t="shared" si="7"/>
        <v>18</v>
      </c>
      <c r="P8" s="346">
        <f t="shared" si="7"/>
        <v>0</v>
      </c>
      <c r="Q8" s="346">
        <f t="shared" si="7"/>
        <v>37</v>
      </c>
      <c r="R8" s="346">
        <f t="shared" si="7"/>
        <v>42</v>
      </c>
      <c r="S8" s="346">
        <f t="shared" ref="S8:W8" si="8">+S3</f>
        <v>0</v>
      </c>
      <c r="T8" s="346">
        <f t="shared" si="8"/>
        <v>80</v>
      </c>
      <c r="U8" s="346">
        <f t="shared" si="8"/>
        <v>0</v>
      </c>
      <c r="V8" s="346">
        <f t="shared" si="8"/>
        <v>42</v>
      </c>
      <c r="W8" s="346">
        <f t="shared" si="8"/>
        <v>80</v>
      </c>
      <c r="X8" s="346">
        <f t="shared" ref="X8:AB8" si="9">+X3</f>
        <v>0</v>
      </c>
      <c r="Y8" s="346">
        <f t="shared" si="9"/>
        <v>0</v>
      </c>
      <c r="Z8" s="346">
        <f t="shared" si="9"/>
        <v>0</v>
      </c>
      <c r="AA8" s="346">
        <f t="shared" si="9"/>
        <v>24</v>
      </c>
      <c r="AB8" s="346">
        <f t="shared" si="9"/>
        <v>56</v>
      </c>
    </row>
    <row r="11" spans="1:28" ht="15" x14ac:dyDescent="0.25">
      <c r="F11" s="328"/>
      <c r="K11" s="328"/>
      <c r="P11" s="328"/>
    </row>
    <row r="12" spans="1:28" ht="15" x14ac:dyDescent="0.25">
      <c r="F12" s="328"/>
      <c r="K12" s="328"/>
      <c r="P12" s="328"/>
    </row>
    <row r="13" spans="1:28" ht="15" x14ac:dyDescent="0.25">
      <c r="F13" s="328"/>
      <c r="K13" s="328"/>
      <c r="P13" s="328"/>
    </row>
    <row r="14" spans="1:28" ht="15" x14ac:dyDescent="0.25">
      <c r="F14" s="328"/>
      <c r="K14" s="328"/>
      <c r="P14" s="328"/>
    </row>
    <row r="15" spans="1:28" ht="15" x14ac:dyDescent="0.25">
      <c r="F15" s="328"/>
      <c r="K15" s="328"/>
      <c r="P15" s="328"/>
    </row>
    <row r="16" spans="1:28" ht="15" x14ac:dyDescent="0.25">
      <c r="F16" s="328"/>
      <c r="K16" s="328"/>
      <c r="P16" s="328"/>
    </row>
    <row r="17" spans="6:16" ht="15" x14ac:dyDescent="0.25">
      <c r="F17" s="328"/>
      <c r="K17" s="328"/>
      <c r="P17" s="328"/>
    </row>
    <row r="18" spans="6:16" ht="15" x14ac:dyDescent="0.25">
      <c r="F18" s="328"/>
      <c r="K18" s="328"/>
      <c r="P18" s="328"/>
    </row>
    <row r="19" spans="6:16" ht="15" x14ac:dyDescent="0.25">
      <c r="F19" s="328"/>
      <c r="K19" s="328"/>
      <c r="P19" s="328"/>
    </row>
  </sheetData>
  <mergeCells count="1">
    <mergeCell ref="A8:B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2F91A-7EC4-477F-9163-4A6BD6EC1FB4}">
  <sheetPr>
    <tabColor theme="7" tint="0.39997558519241921"/>
  </sheetPr>
  <dimension ref="A1:AV29"/>
  <sheetViews>
    <sheetView tabSelected="1" zoomScaleNormal="100" workbookViewId="0">
      <pane xSplit="5" ySplit="2" topLeftCell="AB4" activePane="bottomRight" state="frozen"/>
      <selection pane="topRight" activeCell="D1" sqref="D1"/>
      <selection pane="bottomLeft" activeCell="A2" sqref="A2"/>
      <selection pane="bottomRight" activeCell="AD13" sqref="AD13"/>
    </sheetView>
  </sheetViews>
  <sheetFormatPr baseColWidth="10" defaultColWidth="11.42578125" defaultRowHeight="15" x14ac:dyDescent="0.25"/>
  <cols>
    <col min="1" max="1" width="11.42578125" style="15"/>
    <col min="2" max="2" width="13.28515625" style="35" customWidth="1"/>
    <col min="3" max="3" width="17.5703125" style="15" customWidth="1"/>
    <col min="4" max="4" width="11.42578125" style="15"/>
    <col min="5" max="5" width="33.140625" style="15" customWidth="1"/>
    <col min="6" max="6" width="11.42578125" style="347" hidden="1" customWidth="1"/>
    <col min="7" max="7" width="9" style="348" hidden="1" customWidth="1"/>
    <col min="8" max="8" width="9.85546875" style="348" hidden="1" customWidth="1"/>
    <col min="9" max="9" width="7" style="348" hidden="1" customWidth="1"/>
    <col min="10" max="10" width="10.5703125" style="348" hidden="1" customWidth="1"/>
    <col min="11" max="11" width="11.42578125" style="347" hidden="1" customWidth="1"/>
    <col min="12" max="12" width="9" style="348" hidden="1" customWidth="1"/>
    <col min="13" max="13" width="9.85546875" style="348" hidden="1" customWidth="1"/>
    <col min="14" max="14" width="7" style="348" hidden="1" customWidth="1"/>
    <col min="15" max="15" width="0.140625" style="348" customWidth="1"/>
    <col min="16" max="16" width="11.42578125" style="347" customWidth="1"/>
    <col min="17" max="17" width="9" style="348" customWidth="1"/>
    <col min="18" max="18" width="9.85546875" style="348" customWidth="1"/>
    <col min="19" max="19" width="7" style="348" customWidth="1"/>
    <col min="20" max="20" width="10.5703125" style="348" customWidth="1"/>
    <col min="21" max="31" width="11.42578125" style="347" customWidth="1"/>
    <col min="32" max="32" width="9.140625" style="15" customWidth="1"/>
    <col min="33" max="33" width="7.42578125" style="15" customWidth="1"/>
    <col min="34" max="34" width="10.85546875" style="15" customWidth="1"/>
    <col min="35" max="36" width="10.140625" style="15" customWidth="1"/>
    <col min="37" max="37" width="9.42578125" style="35" bestFit="1" customWidth="1"/>
    <col min="38" max="38" width="5.28515625" style="35" bestFit="1" customWidth="1"/>
    <col min="39" max="39" width="8.28515625" style="35" bestFit="1" customWidth="1"/>
    <col min="40" max="41" width="13.140625" style="15" customWidth="1"/>
    <col min="42" max="42" width="9" style="15" customWidth="1"/>
    <col min="43" max="43" width="10" customWidth="1"/>
    <col min="44" max="44" width="13.7109375" customWidth="1"/>
    <col min="45" max="52" width="0" style="15" hidden="1" customWidth="1"/>
    <col min="53" max="16384" width="11.42578125" style="15"/>
  </cols>
  <sheetData>
    <row r="1" spans="1:48" ht="15" customHeight="1" x14ac:dyDescent="0.25">
      <c r="AN1" s="689" t="s">
        <v>190</v>
      </c>
      <c r="AO1" s="689"/>
    </row>
    <row r="2" spans="1:48" s="23" customFormat="1" ht="50.25" customHeight="1" thickBot="1" x14ac:dyDescent="0.35">
      <c r="B2" s="161"/>
      <c r="D2" s="461"/>
      <c r="E2" s="461"/>
      <c r="F2" s="462"/>
      <c r="G2" s="462"/>
      <c r="H2" s="462"/>
      <c r="I2" s="462"/>
      <c r="J2" s="462"/>
      <c r="K2" s="462"/>
      <c r="L2" s="463">
        <f>+P2*AI6</f>
        <v>0</v>
      </c>
      <c r="M2" s="464"/>
      <c r="N2" s="463"/>
      <c r="O2" s="463">
        <v>30</v>
      </c>
      <c r="P2" s="465"/>
      <c r="Q2" s="463"/>
      <c r="R2" s="464"/>
      <c r="S2" s="463"/>
      <c r="T2" s="464"/>
      <c r="U2" s="465"/>
      <c r="V2" s="465"/>
      <c r="W2" s="465"/>
      <c r="X2" s="465"/>
      <c r="Y2" s="465"/>
      <c r="Z2" s="465"/>
      <c r="AA2" s="465"/>
      <c r="AB2" s="465"/>
      <c r="AC2" s="465"/>
      <c r="AD2" s="465"/>
      <c r="AE2" s="465"/>
      <c r="AF2" s="706" t="s">
        <v>274</v>
      </c>
      <c r="AG2" s="707"/>
      <c r="AH2" s="708"/>
      <c r="AI2" s="712" t="s">
        <v>267</v>
      </c>
      <c r="AJ2" s="712" t="s">
        <v>291</v>
      </c>
      <c r="AK2" s="723" t="s">
        <v>276</v>
      </c>
      <c r="AL2" s="724"/>
      <c r="AM2" s="725"/>
      <c r="AN2" s="559" t="s">
        <v>286</v>
      </c>
      <c r="AO2" s="559" t="s">
        <v>297</v>
      </c>
      <c r="AP2" s="726" t="s">
        <v>290</v>
      </c>
      <c r="AQ2" s="726"/>
      <c r="AR2" s="726"/>
    </row>
    <row r="3" spans="1:48" ht="44.25" customHeight="1" thickBot="1" x14ac:dyDescent="0.3">
      <c r="A3" s="571" t="s">
        <v>289</v>
      </c>
      <c r="B3" s="555" t="s">
        <v>284</v>
      </c>
      <c r="C3" s="556" t="s">
        <v>271</v>
      </c>
      <c r="D3" s="557" t="s">
        <v>52</v>
      </c>
      <c r="E3" s="558" t="s">
        <v>53</v>
      </c>
      <c r="F3" s="589" t="s">
        <v>192</v>
      </c>
      <c r="G3" s="590" t="s">
        <v>193</v>
      </c>
      <c r="H3" s="590" t="s">
        <v>194</v>
      </c>
      <c r="I3" s="590" t="s">
        <v>195</v>
      </c>
      <c r="J3" s="591" t="s">
        <v>196</v>
      </c>
      <c r="K3" s="592" t="s">
        <v>197</v>
      </c>
      <c r="L3" s="590" t="s">
        <v>193</v>
      </c>
      <c r="M3" s="590" t="s">
        <v>194</v>
      </c>
      <c r="N3" s="590" t="s">
        <v>195</v>
      </c>
      <c r="O3" s="591" t="s">
        <v>196</v>
      </c>
      <c r="P3" s="592" t="s">
        <v>220</v>
      </c>
      <c r="Q3" s="590" t="s">
        <v>193</v>
      </c>
      <c r="R3" s="590" t="s">
        <v>194</v>
      </c>
      <c r="S3" s="590" t="s">
        <v>195</v>
      </c>
      <c r="T3" s="591" t="s">
        <v>196</v>
      </c>
      <c r="U3" s="592" t="s">
        <v>199</v>
      </c>
      <c r="V3" s="590" t="s">
        <v>193</v>
      </c>
      <c r="W3" s="590" t="s">
        <v>194</v>
      </c>
      <c r="X3" s="590" t="s">
        <v>195</v>
      </c>
      <c r="Y3" s="591" t="s">
        <v>196</v>
      </c>
      <c r="Z3" s="593" t="s">
        <v>200</v>
      </c>
      <c r="AA3" s="590" t="s">
        <v>193</v>
      </c>
      <c r="AB3" s="590" t="s">
        <v>194</v>
      </c>
      <c r="AC3" s="590" t="s">
        <v>195</v>
      </c>
      <c r="AD3" s="591" t="s">
        <v>196</v>
      </c>
      <c r="AE3" s="593" t="s">
        <v>201</v>
      </c>
      <c r="AF3" s="584" t="s">
        <v>209</v>
      </c>
      <c r="AG3" s="569" t="s">
        <v>279</v>
      </c>
      <c r="AH3" s="569" t="s">
        <v>297</v>
      </c>
      <c r="AI3" s="713"/>
      <c r="AJ3" s="713"/>
      <c r="AK3" s="536" t="s">
        <v>275</v>
      </c>
      <c r="AL3" s="536" t="s">
        <v>279</v>
      </c>
      <c r="AM3" s="536"/>
      <c r="AN3" s="560">
        <v>46188</v>
      </c>
      <c r="AO3" s="560"/>
      <c r="AP3" s="510" t="s">
        <v>226</v>
      </c>
      <c r="AQ3" s="197" t="s">
        <v>210</v>
      </c>
      <c r="AR3" s="152" t="s">
        <v>211</v>
      </c>
    </row>
    <row r="4" spans="1:48" ht="15.95" customHeight="1" x14ac:dyDescent="0.25">
      <c r="A4" s="551">
        <v>60</v>
      </c>
      <c r="B4" s="551" t="s">
        <v>282</v>
      </c>
      <c r="C4" s="552" t="s">
        <v>268</v>
      </c>
      <c r="D4" s="452">
        <v>105632</v>
      </c>
      <c r="E4" s="453" t="s">
        <v>58</v>
      </c>
      <c r="F4" s="503">
        <v>3</v>
      </c>
      <c r="G4" s="585"/>
      <c r="H4" s="585">
        <f>1008</f>
        <v>1008</v>
      </c>
      <c r="I4" s="586"/>
      <c r="J4" s="585">
        <v>968</v>
      </c>
      <c r="K4" s="503">
        <f>F4+G4+H4+-I4-J4</f>
        <v>43</v>
      </c>
      <c r="L4" s="587"/>
      <c r="M4" s="585">
        <v>835</v>
      </c>
      <c r="N4" s="588">
        <v>86</v>
      </c>
      <c r="O4" s="585">
        <v>792</v>
      </c>
      <c r="P4" s="503">
        <f>+K4+L4+M4-N4-O4</f>
        <v>0</v>
      </c>
      <c r="Q4" s="587"/>
      <c r="R4" s="585">
        <v>576</v>
      </c>
      <c r="S4" s="588"/>
      <c r="T4" s="585">
        <f>543+30</f>
        <v>573</v>
      </c>
      <c r="U4" s="503">
        <f>+P4+Q4+R4-S4-T4</f>
        <v>3</v>
      </c>
      <c r="V4" s="587"/>
      <c r="W4" s="585">
        <v>1288</v>
      </c>
      <c r="X4" s="588">
        <v>46</v>
      </c>
      <c r="Y4" s="585">
        <v>1098</v>
      </c>
      <c r="Z4" s="503">
        <f>+U4+V4+W4-X4-Y4</f>
        <v>147</v>
      </c>
      <c r="AA4" s="587"/>
      <c r="AB4" s="585">
        <v>1764</v>
      </c>
      <c r="AC4" s="588"/>
      <c r="AD4" s="585">
        <v>156</v>
      </c>
      <c r="AE4" s="503">
        <f>+Z4+AA4+AB4-AC4-AD4</f>
        <v>1755</v>
      </c>
      <c r="AF4" s="25">
        <f>+AE4</f>
        <v>1755</v>
      </c>
      <c r="AG4" s="25">
        <f>IF((AF4-($AI4*(NETWORKDAYS(AN3,AN3)/$O$2))+AN4)&lt;=0,0,AF4-($AI4*(NETWORKDAYS(AN3,AN3)/$O$2))+AN4)</f>
        <v>1726.4083333333333</v>
      </c>
      <c r="AH4" s="25"/>
      <c r="AI4" s="391">
        <f>AVERAGE(J4,O4,T4,Y4)</f>
        <v>857.75</v>
      </c>
      <c r="AJ4" s="578">
        <f>+AI4*1.1</f>
        <v>943.52500000000009</v>
      </c>
      <c r="AK4" s="88">
        <f>+Z4/AI4</f>
        <v>0.17137860682016906</v>
      </c>
      <c r="AL4" s="88">
        <f>+AG4/AI4</f>
        <v>2.0127173807441952</v>
      </c>
      <c r="AM4" s="88">
        <f>+AH4/AI4</f>
        <v>0</v>
      </c>
      <c r="AN4" s="337">
        <v>0</v>
      </c>
      <c r="AO4" s="337">
        <f>AR4</f>
        <v>0</v>
      </c>
      <c r="AP4" s="27">
        <v>113</v>
      </c>
      <c r="AQ4" s="146"/>
      <c r="AR4" s="179">
        <f>+AQ4*AP4</f>
        <v>0</v>
      </c>
      <c r="AS4" s="220" t="e">
        <f>+#REF!-0.4</f>
        <v>#REF!</v>
      </c>
      <c r="AT4" s="15">
        <v>1.5</v>
      </c>
      <c r="AU4" s="220" t="e">
        <f>+AT4-AS4</f>
        <v>#REF!</v>
      </c>
      <c r="AV4" s="15" t="e">
        <f t="shared" ref="AV4:AV10" si="0">+AU4*AI4</f>
        <v>#REF!</v>
      </c>
    </row>
    <row r="5" spans="1:48" ht="15.95" customHeight="1" x14ac:dyDescent="0.25">
      <c r="A5" s="551">
        <v>60</v>
      </c>
      <c r="B5" s="544" t="s">
        <v>282</v>
      </c>
      <c r="C5" s="505" t="s">
        <v>268</v>
      </c>
      <c r="D5" s="255">
        <v>102341</v>
      </c>
      <c r="E5" s="256" t="s">
        <v>59</v>
      </c>
      <c r="F5" s="352">
        <v>1000</v>
      </c>
      <c r="G5" s="337"/>
      <c r="H5" s="337"/>
      <c r="I5" s="427"/>
      <c r="J5" s="337">
        <v>527</v>
      </c>
      <c r="K5" s="352">
        <f>F5+G5+H5+-I5-J5</f>
        <v>473</v>
      </c>
      <c r="L5" s="337"/>
      <c r="M5" s="424">
        <v>4</v>
      </c>
      <c r="N5" s="428">
        <v>18</v>
      </c>
      <c r="O5" s="337">
        <v>331</v>
      </c>
      <c r="P5" s="352">
        <f t="shared" ref="P5:P21" si="1">+K5+L5+M5-N5-O5</f>
        <v>128</v>
      </c>
      <c r="Q5" s="337"/>
      <c r="R5" s="337">
        <v>324</v>
      </c>
      <c r="S5" s="337">
        <v>150</v>
      </c>
      <c r="T5" s="337">
        <v>279</v>
      </c>
      <c r="U5" s="352">
        <f t="shared" ref="U5:U25" si="2">+P5+Q5+R5-S5-T5</f>
        <v>23</v>
      </c>
      <c r="V5" s="337"/>
      <c r="W5" s="337">
        <v>120</v>
      </c>
      <c r="X5" s="337">
        <v>35</v>
      </c>
      <c r="Y5" s="337">
        <v>73</v>
      </c>
      <c r="Z5" s="352">
        <f t="shared" ref="Z5:Z14" si="3">+U5+V5+W5-X5-Y5</f>
        <v>35</v>
      </c>
      <c r="AA5" s="337"/>
      <c r="AB5" s="337">
        <v>504</v>
      </c>
      <c r="AC5" s="337"/>
      <c r="AD5" s="337">
        <v>74</v>
      </c>
      <c r="AE5" s="352">
        <f t="shared" ref="AE5:AE14" si="4">+Z5+AA5+AB5-AC5-AD5</f>
        <v>465</v>
      </c>
      <c r="AF5" s="25">
        <f>+AE5</f>
        <v>465</v>
      </c>
      <c r="AG5" s="25">
        <f>IF((AF5-($AI5*(NETWORKDAYS(AN3,AN3)/$O$2))+AN5)&lt;=0,0,AF5-($AI5*(NETWORKDAYS(AN3,AN3)/$O$2))+AN5)</f>
        <v>1126.9166666666667</v>
      </c>
      <c r="AH5" s="25"/>
      <c r="AI5" s="391">
        <f t="shared" ref="AI5:AI10" si="5">AVERAGE(J5,O5,T5,Y5)</f>
        <v>302.5</v>
      </c>
      <c r="AJ5" s="578">
        <f t="shared" ref="AJ5:AJ13" si="6">+AI5*1.1</f>
        <v>332.75</v>
      </c>
      <c r="AK5" s="88">
        <f>+Z5/AI5</f>
        <v>0.11570247933884298</v>
      </c>
      <c r="AL5" s="88">
        <f t="shared" ref="AL5:AL13" si="7">+AG5/AI5</f>
        <v>3.7253443526170802</v>
      </c>
      <c r="AM5" s="88">
        <f t="shared" ref="AM5:AM13" si="8">+AH5/AI5</f>
        <v>0</v>
      </c>
      <c r="AN5" s="337">
        <v>672</v>
      </c>
      <c r="AO5" s="337">
        <f t="shared" ref="AO5:AO13" si="9">AR5</f>
        <v>0</v>
      </c>
      <c r="AP5" s="27">
        <v>120</v>
      </c>
      <c r="AQ5" s="146"/>
      <c r="AR5" s="179">
        <f t="shared" ref="AR5:AR10" si="10">+AQ5*AP5</f>
        <v>0</v>
      </c>
      <c r="AS5" s="220" t="e">
        <f>+#REF!-0.4</f>
        <v>#REF!</v>
      </c>
      <c r="AT5" s="15">
        <v>1.5</v>
      </c>
      <c r="AU5" s="220" t="e">
        <f>+AT5-AS5</f>
        <v>#REF!</v>
      </c>
      <c r="AV5" s="15" t="e">
        <f t="shared" si="0"/>
        <v>#REF!</v>
      </c>
    </row>
    <row r="6" spans="1:48" ht="15.95" customHeight="1" x14ac:dyDescent="0.25">
      <c r="A6" s="551">
        <v>60</v>
      </c>
      <c r="B6" s="544" t="s">
        <v>282</v>
      </c>
      <c r="C6" s="505" t="s">
        <v>268</v>
      </c>
      <c r="D6" s="255">
        <v>102310</v>
      </c>
      <c r="E6" s="256" t="s">
        <v>60</v>
      </c>
      <c r="F6" s="352">
        <v>321</v>
      </c>
      <c r="G6" s="337"/>
      <c r="H6" s="337"/>
      <c r="I6" s="427">
        <v>38</v>
      </c>
      <c r="J6" s="337">
        <v>238</v>
      </c>
      <c r="K6" s="352">
        <f>F6+G6+H6+-I6-J6</f>
        <v>45</v>
      </c>
      <c r="L6" s="337"/>
      <c r="M6" s="424"/>
      <c r="N6" s="428">
        <v>8</v>
      </c>
      <c r="O6" s="337">
        <v>37</v>
      </c>
      <c r="P6" s="352">
        <f t="shared" si="1"/>
        <v>0</v>
      </c>
      <c r="Q6" s="337"/>
      <c r="R6" s="337">
        <v>603</v>
      </c>
      <c r="S6" s="428"/>
      <c r="T6" s="337">
        <v>208</v>
      </c>
      <c r="U6" s="352">
        <f t="shared" si="2"/>
        <v>395</v>
      </c>
      <c r="V6" s="337"/>
      <c r="W6" s="337">
        <v>18</v>
      </c>
      <c r="X6" s="428">
        <v>7</v>
      </c>
      <c r="Y6" s="337">
        <v>241</v>
      </c>
      <c r="Z6" s="352">
        <f t="shared" si="3"/>
        <v>165</v>
      </c>
      <c r="AA6" s="337"/>
      <c r="AB6" s="337"/>
      <c r="AC6" s="428"/>
      <c r="AD6" s="337">
        <v>66</v>
      </c>
      <c r="AE6" s="352">
        <f t="shared" si="4"/>
        <v>99</v>
      </c>
      <c r="AF6" s="25">
        <f>+AE6</f>
        <v>99</v>
      </c>
      <c r="AG6" s="25">
        <f>IF((AF6-($AI6*(NETWORKDAYS(AN3,AN3)/$O$2))+AN6)&lt;=0,0,AF6-($AI6*(NETWORKDAYS(AN3,AN3)/$O$2))+AN6)</f>
        <v>281.9666666666667</v>
      </c>
      <c r="AH6" s="25"/>
      <c r="AI6" s="391">
        <f>AVERAGE(J6,O6,T6,Y6)</f>
        <v>181</v>
      </c>
      <c r="AJ6" s="578">
        <f t="shared" si="6"/>
        <v>199.10000000000002</v>
      </c>
      <c r="AK6" s="88">
        <f t="shared" ref="AK6:AK13" si="11">+Z6/AI6</f>
        <v>0.91160220994475138</v>
      </c>
      <c r="AL6" s="88">
        <f t="shared" si="7"/>
        <v>1.5578268876611421</v>
      </c>
      <c r="AM6" s="88">
        <f t="shared" si="8"/>
        <v>0</v>
      </c>
      <c r="AN6" s="337">
        <v>189</v>
      </c>
      <c r="AO6" s="337">
        <f t="shared" si="9"/>
        <v>0</v>
      </c>
      <c r="AP6" s="27">
        <v>108</v>
      </c>
      <c r="AQ6" s="146"/>
      <c r="AR6" s="179">
        <f t="shared" si="10"/>
        <v>0</v>
      </c>
      <c r="AS6" s="220" t="e">
        <f>+#REF!-0.4</f>
        <v>#REF!</v>
      </c>
      <c r="AT6" s="15">
        <v>1.5</v>
      </c>
      <c r="AU6" s="220" t="e">
        <f t="shared" ref="AU6:AU10" si="12">+AT6-AS6</f>
        <v>#REF!</v>
      </c>
      <c r="AV6" s="15" t="e">
        <f t="shared" si="0"/>
        <v>#REF!</v>
      </c>
    </row>
    <row r="7" spans="1:48" ht="15.95" customHeight="1" x14ac:dyDescent="0.25">
      <c r="A7" s="551">
        <v>60</v>
      </c>
      <c r="B7" s="544" t="s">
        <v>282</v>
      </c>
      <c r="C7" s="505" t="s">
        <v>268</v>
      </c>
      <c r="D7" s="255">
        <v>102211</v>
      </c>
      <c r="E7" s="256" t="s">
        <v>61</v>
      </c>
      <c r="F7" s="352">
        <v>131</v>
      </c>
      <c r="G7" s="337"/>
      <c r="H7" s="337"/>
      <c r="I7" s="427"/>
      <c r="J7" s="337">
        <v>129</v>
      </c>
      <c r="K7" s="411">
        <f>F7+G7+H7+-I7-J7</f>
        <v>2</v>
      </c>
      <c r="L7" s="337"/>
      <c r="M7" s="424">
        <v>1</v>
      </c>
      <c r="N7" s="428">
        <v>2</v>
      </c>
      <c r="O7" s="337"/>
      <c r="P7" s="352">
        <f t="shared" si="1"/>
        <v>1</v>
      </c>
      <c r="Q7" s="337"/>
      <c r="R7" s="337">
        <v>828</v>
      </c>
      <c r="S7" s="428"/>
      <c r="T7" s="337">
        <v>153</v>
      </c>
      <c r="U7" s="352">
        <f t="shared" si="2"/>
        <v>676</v>
      </c>
      <c r="V7" s="337"/>
      <c r="W7" s="337">
        <v>18</v>
      </c>
      <c r="X7" s="428">
        <v>4</v>
      </c>
      <c r="Y7" s="337">
        <v>188</v>
      </c>
      <c r="Z7" s="352">
        <f t="shared" si="3"/>
        <v>502</v>
      </c>
      <c r="AA7" s="337"/>
      <c r="AB7" s="337"/>
      <c r="AC7" s="428"/>
      <c r="AD7" s="337">
        <v>36</v>
      </c>
      <c r="AE7" s="352">
        <f t="shared" si="4"/>
        <v>466</v>
      </c>
      <c r="AF7" s="25">
        <f>+AE7</f>
        <v>466</v>
      </c>
      <c r="AG7" s="25">
        <f>IF((AF7-($AI7*(NETWORKDAYS(AN3,AN3)/$O$2))+AN7)&lt;=0,0,AF7-($AI7*(NETWORKDAYS(AN3,AN3)/$O$2))+AN7)</f>
        <v>460.77777777777777</v>
      </c>
      <c r="AH7" s="25"/>
      <c r="AI7" s="391">
        <f>AVERAGE(J7,O7,T7,Y7)</f>
        <v>156.66666666666666</v>
      </c>
      <c r="AJ7" s="578">
        <f t="shared" si="6"/>
        <v>172.33333333333334</v>
      </c>
      <c r="AK7" s="88">
        <f t="shared" si="11"/>
        <v>3.2042553191489365</v>
      </c>
      <c r="AL7" s="88">
        <f t="shared" si="7"/>
        <v>2.9411347517730499</v>
      </c>
      <c r="AM7" s="88">
        <f t="shared" si="8"/>
        <v>0</v>
      </c>
      <c r="AN7" s="337"/>
      <c r="AO7" s="337">
        <f t="shared" si="9"/>
        <v>0</v>
      </c>
      <c r="AP7" s="27">
        <v>120</v>
      </c>
      <c r="AQ7" s="222"/>
      <c r="AR7" s="179">
        <f t="shared" si="10"/>
        <v>0</v>
      </c>
      <c r="AS7" s="220" t="e">
        <f>+#REF!-0.4</f>
        <v>#REF!</v>
      </c>
      <c r="AT7" s="15">
        <v>1.5</v>
      </c>
      <c r="AU7" s="220" t="e">
        <f t="shared" si="12"/>
        <v>#REF!</v>
      </c>
      <c r="AV7" s="15" t="e">
        <f t="shared" si="0"/>
        <v>#REF!</v>
      </c>
    </row>
    <row r="8" spans="1:48" ht="15.95" customHeight="1" x14ac:dyDescent="0.25">
      <c r="A8" s="551">
        <v>60</v>
      </c>
      <c r="B8" s="544" t="s">
        <v>282</v>
      </c>
      <c r="C8" s="505" t="s">
        <v>268</v>
      </c>
      <c r="D8" s="255">
        <v>104215</v>
      </c>
      <c r="E8" s="256" t="s">
        <v>62</v>
      </c>
      <c r="F8" s="352">
        <v>451</v>
      </c>
      <c r="G8" s="424">
        <v>3</v>
      </c>
      <c r="H8" s="337"/>
      <c r="I8" s="427"/>
      <c r="J8" s="337">
        <v>86</v>
      </c>
      <c r="K8" s="352">
        <f t="shared" ref="K8:K12" si="13">F8+G8+H8+-I8-J8</f>
        <v>368</v>
      </c>
      <c r="L8" s="337"/>
      <c r="M8" s="424">
        <v>12</v>
      </c>
      <c r="N8" s="428">
        <v>28</v>
      </c>
      <c r="O8" s="337">
        <v>88</v>
      </c>
      <c r="P8" s="352">
        <f t="shared" si="1"/>
        <v>264</v>
      </c>
      <c r="Q8" s="337"/>
      <c r="R8" s="337"/>
      <c r="S8" s="428"/>
      <c r="T8" s="337">
        <v>146</v>
      </c>
      <c r="U8" s="352">
        <f t="shared" si="2"/>
        <v>118</v>
      </c>
      <c r="V8" s="337"/>
      <c r="W8" s="337">
        <v>192</v>
      </c>
      <c r="X8" s="428">
        <v>18</v>
      </c>
      <c r="Y8" s="337">
        <v>292</v>
      </c>
      <c r="Z8" s="352">
        <f t="shared" si="3"/>
        <v>0</v>
      </c>
      <c r="AA8" s="337"/>
      <c r="AB8" s="337">
        <v>108</v>
      </c>
      <c r="AC8" s="428"/>
      <c r="AD8" s="337">
        <v>84</v>
      </c>
      <c r="AE8" s="352">
        <f t="shared" si="4"/>
        <v>24</v>
      </c>
      <c r="AF8" s="25">
        <f t="shared" ref="AF8:AF13" si="14">+AE8</f>
        <v>24</v>
      </c>
      <c r="AG8" s="25">
        <f>IF((AF8-($AI8*(NETWORKDAYS(AN3,AN3)/$O$2))+AN8)&lt;=0,0,AF8-($AI8*(NETWORKDAYS(AN3,AN3)/$O$2))+AN8)</f>
        <v>234.9</v>
      </c>
      <c r="AH8" s="25"/>
      <c r="AI8" s="391">
        <f t="shared" si="5"/>
        <v>153</v>
      </c>
      <c r="AJ8" s="578">
        <f t="shared" si="6"/>
        <v>168.3</v>
      </c>
      <c r="AK8" s="88">
        <f t="shared" si="11"/>
        <v>0</v>
      </c>
      <c r="AL8" s="88">
        <f t="shared" si="7"/>
        <v>1.5352941176470589</v>
      </c>
      <c r="AM8" s="88">
        <f t="shared" si="8"/>
        <v>0</v>
      </c>
      <c r="AN8" s="337">
        <v>216</v>
      </c>
      <c r="AO8" s="337">
        <f t="shared" si="9"/>
        <v>0</v>
      </c>
      <c r="AP8" s="27">
        <v>108</v>
      </c>
      <c r="AQ8" s="146"/>
      <c r="AR8" s="179">
        <f t="shared" si="10"/>
        <v>0</v>
      </c>
      <c r="AS8" s="220" t="e">
        <f>+#REF!-0.4</f>
        <v>#REF!</v>
      </c>
      <c r="AT8" s="15">
        <v>1.5</v>
      </c>
      <c r="AU8" s="220" t="e">
        <f t="shared" si="12"/>
        <v>#REF!</v>
      </c>
      <c r="AV8" s="15" t="e">
        <f t="shared" si="0"/>
        <v>#REF!</v>
      </c>
    </row>
    <row r="9" spans="1:48" ht="15.95" customHeight="1" x14ac:dyDescent="0.25">
      <c r="A9" s="551">
        <v>60</v>
      </c>
      <c r="B9" s="544" t="s">
        <v>282</v>
      </c>
      <c r="C9" s="505" t="s">
        <v>268</v>
      </c>
      <c r="D9" s="255">
        <v>114054</v>
      </c>
      <c r="E9" s="256" t="s">
        <v>63</v>
      </c>
      <c r="F9" s="352">
        <v>689</v>
      </c>
      <c r="G9" s="337"/>
      <c r="H9" s="427">
        <v>66</v>
      </c>
      <c r="I9" s="427"/>
      <c r="J9" s="337">
        <v>328</v>
      </c>
      <c r="K9" s="352">
        <f t="shared" si="13"/>
        <v>427</v>
      </c>
      <c r="L9" s="337"/>
      <c r="M9" s="424"/>
      <c r="N9" s="428">
        <v>93</v>
      </c>
      <c r="O9" s="337">
        <v>288</v>
      </c>
      <c r="P9" s="352">
        <f t="shared" si="1"/>
        <v>46</v>
      </c>
      <c r="Q9" s="337"/>
      <c r="R9" s="337">
        <v>756</v>
      </c>
      <c r="S9" s="428"/>
      <c r="T9" s="337">
        <v>281</v>
      </c>
      <c r="U9" s="352">
        <f t="shared" si="2"/>
        <v>521</v>
      </c>
      <c r="V9" s="337"/>
      <c r="W9" s="337">
        <v>240</v>
      </c>
      <c r="X9" s="428">
        <v>13</v>
      </c>
      <c r="Y9" s="337">
        <v>218</v>
      </c>
      <c r="Z9" s="352">
        <f t="shared" si="3"/>
        <v>530</v>
      </c>
      <c r="AA9" s="337"/>
      <c r="AB9" s="337"/>
      <c r="AC9" s="428"/>
      <c r="AD9" s="337">
        <v>69</v>
      </c>
      <c r="AE9" s="352">
        <f t="shared" si="4"/>
        <v>461</v>
      </c>
      <c r="AF9" s="25">
        <f t="shared" si="14"/>
        <v>461</v>
      </c>
      <c r="AG9" s="25">
        <f>IF((AF9-($AI9*(NETWORKDAYS(AN3,AN3)/$O$2))+AN9)&lt;=0,0,AF9-($AI9*(NETWORKDAYS(AN3,AN3)/$O$2))+AN9)</f>
        <v>559.70833333333326</v>
      </c>
      <c r="AH9" s="25"/>
      <c r="AI9" s="391">
        <f t="shared" si="5"/>
        <v>278.75</v>
      </c>
      <c r="AJ9" s="578">
        <f t="shared" si="6"/>
        <v>306.625</v>
      </c>
      <c r="AK9" s="88">
        <f t="shared" si="11"/>
        <v>1.9013452914798206</v>
      </c>
      <c r="AL9" s="88">
        <f t="shared" si="7"/>
        <v>2.0079222720478325</v>
      </c>
      <c r="AM9" s="88">
        <f t="shared" si="8"/>
        <v>0</v>
      </c>
      <c r="AN9" s="337">
        <v>108</v>
      </c>
      <c r="AO9" s="337">
        <f t="shared" si="9"/>
        <v>0</v>
      </c>
      <c r="AP9" s="27">
        <v>108</v>
      </c>
      <c r="AQ9" s="146"/>
      <c r="AR9" s="179">
        <f t="shared" si="10"/>
        <v>0</v>
      </c>
      <c r="AS9" s="220" t="e">
        <f>+#REF!-0.4</f>
        <v>#REF!</v>
      </c>
      <c r="AT9" s="15">
        <v>1.5</v>
      </c>
      <c r="AU9" s="220" t="e">
        <f t="shared" si="12"/>
        <v>#REF!</v>
      </c>
      <c r="AV9" s="15" t="e">
        <f t="shared" si="0"/>
        <v>#REF!</v>
      </c>
    </row>
    <row r="10" spans="1:48" ht="15.95" customHeight="1" x14ac:dyDescent="0.25">
      <c r="A10" s="551">
        <v>60</v>
      </c>
      <c r="B10" s="544" t="s">
        <v>282</v>
      </c>
      <c r="C10" s="505" t="s">
        <v>268</v>
      </c>
      <c r="D10" s="255">
        <v>102419</v>
      </c>
      <c r="E10" s="256" t="s">
        <v>64</v>
      </c>
      <c r="F10" s="353">
        <v>172</v>
      </c>
      <c r="G10" s="337"/>
      <c r="H10" s="337"/>
      <c r="I10" s="337"/>
      <c r="J10" s="337">
        <v>166</v>
      </c>
      <c r="K10" s="411">
        <f t="shared" si="13"/>
        <v>6</v>
      </c>
      <c r="L10" s="337"/>
      <c r="M10" s="424">
        <v>3</v>
      </c>
      <c r="N10" s="428">
        <v>6</v>
      </c>
      <c r="O10" s="337">
        <v>3</v>
      </c>
      <c r="P10" s="352">
        <f t="shared" si="1"/>
        <v>0</v>
      </c>
      <c r="Q10" s="337"/>
      <c r="R10" s="337">
        <v>702</v>
      </c>
      <c r="S10" s="428"/>
      <c r="T10" s="337">
        <v>277</v>
      </c>
      <c r="U10" s="352">
        <f t="shared" si="2"/>
        <v>425</v>
      </c>
      <c r="V10" s="337"/>
      <c r="W10" s="337">
        <v>20</v>
      </c>
      <c r="X10" s="428">
        <v>5</v>
      </c>
      <c r="Y10" s="337">
        <v>83</v>
      </c>
      <c r="Z10" s="352">
        <f t="shared" si="3"/>
        <v>357</v>
      </c>
      <c r="AA10" s="337"/>
      <c r="AB10" s="337"/>
      <c r="AC10" s="428"/>
      <c r="AD10" s="337">
        <v>20</v>
      </c>
      <c r="AE10" s="352">
        <f t="shared" si="4"/>
        <v>337</v>
      </c>
      <c r="AF10" s="25">
        <f t="shared" si="14"/>
        <v>337</v>
      </c>
      <c r="AG10" s="25">
        <f>IF((AF10-($AI10*(NETWORKDAYS(AN3,AN3)/$O$2))+AN10)&lt;=0,0,AF10-($AI10*(NETWORKDAYS(AN3,AN3)/$O$2))+AN10)</f>
        <v>332.59166666666664</v>
      </c>
      <c r="AH10" s="25"/>
      <c r="AI10" s="391">
        <f t="shared" si="5"/>
        <v>132.25</v>
      </c>
      <c r="AJ10" s="578">
        <f t="shared" si="6"/>
        <v>145.47500000000002</v>
      </c>
      <c r="AK10" s="88">
        <f t="shared" si="11"/>
        <v>2.6994328922495274</v>
      </c>
      <c r="AL10" s="88">
        <f t="shared" si="7"/>
        <v>2.5148708254568364</v>
      </c>
      <c r="AM10" s="88">
        <f t="shared" si="8"/>
        <v>0</v>
      </c>
      <c r="AN10" s="337"/>
      <c r="AO10" s="337">
        <f t="shared" si="9"/>
        <v>0</v>
      </c>
      <c r="AP10" s="28">
        <v>120</v>
      </c>
      <c r="AQ10" s="146"/>
      <c r="AR10" s="179">
        <f t="shared" si="10"/>
        <v>0</v>
      </c>
      <c r="AS10" s="220" t="e">
        <f>+#REF!-0.4</f>
        <v>#REF!</v>
      </c>
      <c r="AT10" s="15">
        <v>1.5</v>
      </c>
      <c r="AU10" s="220" t="e">
        <f t="shared" si="12"/>
        <v>#REF!</v>
      </c>
      <c r="AV10" s="15" t="e">
        <f t="shared" si="0"/>
        <v>#REF!</v>
      </c>
    </row>
    <row r="11" spans="1:48" ht="15.95" customHeight="1" x14ac:dyDescent="0.25">
      <c r="A11" s="551">
        <v>60</v>
      </c>
      <c r="B11" s="544" t="s">
        <v>282</v>
      </c>
      <c r="C11" s="505" t="s">
        <v>269</v>
      </c>
      <c r="D11" s="255">
        <v>70714906</v>
      </c>
      <c r="E11" s="256" t="s">
        <v>261</v>
      </c>
      <c r="F11" s="353"/>
      <c r="G11" s="337"/>
      <c r="H11" s="337">
        <v>200</v>
      </c>
      <c r="I11" s="337"/>
      <c r="J11" s="337">
        <v>104</v>
      </c>
      <c r="K11" s="352">
        <f t="shared" si="13"/>
        <v>96</v>
      </c>
      <c r="L11" s="337"/>
      <c r="M11" s="337">
        <v>100</v>
      </c>
      <c r="N11" s="428">
        <v>5</v>
      </c>
      <c r="O11" s="337">
        <v>100</v>
      </c>
      <c r="P11" s="352">
        <f t="shared" si="1"/>
        <v>91</v>
      </c>
      <c r="Q11" s="337"/>
      <c r="R11" s="337"/>
      <c r="S11" s="428"/>
      <c r="T11" s="337">
        <v>11</v>
      </c>
      <c r="U11" s="352">
        <f t="shared" si="2"/>
        <v>80</v>
      </c>
      <c r="V11" s="337"/>
      <c r="W11" s="337"/>
      <c r="X11" s="428"/>
      <c r="Y11" s="337">
        <v>8</v>
      </c>
      <c r="Z11" s="352">
        <f t="shared" si="3"/>
        <v>72</v>
      </c>
      <c r="AA11" s="337"/>
      <c r="AB11" s="337"/>
      <c r="AC11" s="428"/>
      <c r="AD11" s="337">
        <v>5</v>
      </c>
      <c r="AE11" s="352">
        <f t="shared" si="4"/>
        <v>67</v>
      </c>
      <c r="AF11" s="25">
        <f t="shared" si="14"/>
        <v>67</v>
      </c>
      <c r="AG11" s="25">
        <f>IF((AF11-($AI11*(NETWORKDAYS(AN3,AN3)/$O$2))+AN11)&lt;=0,0,AF11-($AI11*(NETWORKDAYS(AN3,AN3)/$O$2))+AN11)</f>
        <v>64.611111111111114</v>
      </c>
      <c r="AH11" s="25"/>
      <c r="AI11" s="391">
        <f>AVERAGE(J11,O11,T11)</f>
        <v>71.666666666666671</v>
      </c>
      <c r="AJ11" s="578">
        <f t="shared" si="6"/>
        <v>78.833333333333343</v>
      </c>
      <c r="AK11" s="88">
        <f t="shared" si="11"/>
        <v>1.0046511627906975</v>
      </c>
      <c r="AL11" s="88">
        <f t="shared" si="7"/>
        <v>0.90155038759689921</v>
      </c>
      <c r="AM11" s="88">
        <f t="shared" si="8"/>
        <v>0</v>
      </c>
      <c r="AN11" s="337"/>
      <c r="AO11" s="337">
        <f t="shared" si="9"/>
        <v>0</v>
      </c>
      <c r="AP11" s="28"/>
      <c r="AQ11" s="146"/>
      <c r="AR11" s="179"/>
      <c r="AS11" s="15" t="e">
        <f>+#REF!-0.4</f>
        <v>#REF!</v>
      </c>
    </row>
    <row r="12" spans="1:48" ht="15.95" customHeight="1" x14ac:dyDescent="0.25">
      <c r="A12" s="551">
        <v>60</v>
      </c>
      <c r="B12" s="544" t="s">
        <v>282</v>
      </c>
      <c r="C12" s="505" t="s">
        <v>268</v>
      </c>
      <c r="D12" s="255" t="s">
        <v>227</v>
      </c>
      <c r="E12" s="256" t="s">
        <v>228</v>
      </c>
      <c r="F12" s="353"/>
      <c r="G12" s="337"/>
      <c r="H12" s="337">
        <v>100</v>
      </c>
      <c r="I12" s="337"/>
      <c r="J12" s="337">
        <v>15</v>
      </c>
      <c r="K12" s="352">
        <f t="shared" si="13"/>
        <v>85</v>
      </c>
      <c r="L12" s="337"/>
      <c r="M12" s="424"/>
      <c r="N12" s="428">
        <v>4</v>
      </c>
      <c r="O12" s="337">
        <v>50</v>
      </c>
      <c r="P12" s="352">
        <f t="shared" si="1"/>
        <v>31</v>
      </c>
      <c r="Q12" s="337"/>
      <c r="R12" s="337">
        <v>61</v>
      </c>
      <c r="S12" s="428"/>
      <c r="T12" s="337">
        <v>28</v>
      </c>
      <c r="U12" s="352">
        <f t="shared" si="2"/>
        <v>64</v>
      </c>
      <c r="V12" s="337"/>
      <c r="W12" s="337"/>
      <c r="X12" s="428">
        <v>6</v>
      </c>
      <c r="Y12" s="337">
        <v>41</v>
      </c>
      <c r="Z12" s="352">
        <f t="shared" si="3"/>
        <v>17</v>
      </c>
      <c r="AA12" s="337"/>
      <c r="AB12" s="337"/>
      <c r="AC12" s="428"/>
      <c r="AD12" s="337">
        <v>15</v>
      </c>
      <c r="AE12" s="352">
        <f t="shared" si="4"/>
        <v>2</v>
      </c>
      <c r="AF12" s="25">
        <f t="shared" si="14"/>
        <v>2</v>
      </c>
      <c r="AG12" s="25">
        <f>IF((AF12-($AI12*(NETWORKDAYS(AN3,AN3)/$O$2))+AN12)&lt;=0,0,AF12-($AI12*(NETWORKDAYS(AN3,AN3)/$O$2))+AN12)</f>
        <v>0.96666666666666679</v>
      </c>
      <c r="AH12" s="25"/>
      <c r="AI12" s="391">
        <f>AVERAGE(J12,O12,T12)</f>
        <v>31</v>
      </c>
      <c r="AJ12" s="578">
        <f t="shared" si="6"/>
        <v>34.1</v>
      </c>
      <c r="AK12" s="88">
        <f t="shared" si="11"/>
        <v>0.54838709677419351</v>
      </c>
      <c r="AL12" s="88">
        <f t="shared" si="7"/>
        <v>3.1182795698924733E-2</v>
      </c>
      <c r="AM12" s="88">
        <f t="shared" si="8"/>
        <v>0</v>
      </c>
      <c r="AN12" s="337"/>
      <c r="AO12" s="337">
        <f t="shared" si="9"/>
        <v>0</v>
      </c>
      <c r="AP12" s="28"/>
      <c r="AQ12" s="146"/>
      <c r="AR12" s="179"/>
      <c r="AS12" s="15" t="e">
        <f>+#REF!-0.4</f>
        <v>#REF!</v>
      </c>
    </row>
    <row r="13" spans="1:48" ht="15.95" customHeight="1" thickBot="1" x14ac:dyDescent="0.3">
      <c r="A13" s="551">
        <v>60</v>
      </c>
      <c r="B13" s="544" t="s">
        <v>282</v>
      </c>
      <c r="C13" s="505" t="s">
        <v>270</v>
      </c>
      <c r="D13" s="257" t="s">
        <v>229</v>
      </c>
      <c r="E13" s="258" t="s">
        <v>264</v>
      </c>
      <c r="F13" s="353"/>
      <c r="G13" s="497"/>
      <c r="H13" s="497"/>
      <c r="I13" s="497" t="s">
        <v>230</v>
      </c>
      <c r="J13" s="497"/>
      <c r="K13" s="353"/>
      <c r="L13" s="497"/>
      <c r="M13" s="497">
        <v>64</v>
      </c>
      <c r="N13" s="498">
        <v>0</v>
      </c>
      <c r="O13" s="497">
        <v>10</v>
      </c>
      <c r="P13" s="353">
        <f t="shared" si="1"/>
        <v>54</v>
      </c>
      <c r="Q13" s="497"/>
      <c r="R13" s="497"/>
      <c r="S13" s="498"/>
      <c r="T13" s="497">
        <v>15</v>
      </c>
      <c r="U13" s="353">
        <f t="shared" si="2"/>
        <v>39</v>
      </c>
      <c r="V13" s="497"/>
      <c r="W13" s="497"/>
      <c r="X13" s="498"/>
      <c r="Y13" s="497"/>
      <c r="Z13" s="353">
        <f t="shared" si="3"/>
        <v>39</v>
      </c>
      <c r="AA13" s="497"/>
      <c r="AB13" s="497"/>
      <c r="AC13" s="498"/>
      <c r="AD13" s="497">
        <v>0</v>
      </c>
      <c r="AE13" s="353">
        <f t="shared" si="4"/>
        <v>39</v>
      </c>
      <c r="AF13" s="25">
        <f t="shared" si="14"/>
        <v>39</v>
      </c>
      <c r="AG13" s="25">
        <f>IF((AF13-($AI13*(NETWORKDAYS(AN3,AN3)/$O$2))+AN13)&lt;=0,0,AF13-($AI13*(NETWORKDAYS(AN3,AN3)/$O$2))+AN13)</f>
        <v>38.583333333333336</v>
      </c>
      <c r="AH13" s="25"/>
      <c r="AI13" s="499">
        <f>AVERAGE(J13,O13,T13)</f>
        <v>12.5</v>
      </c>
      <c r="AJ13" s="578">
        <f t="shared" si="6"/>
        <v>13.750000000000002</v>
      </c>
      <c r="AK13" s="500">
        <f t="shared" si="11"/>
        <v>3.12</v>
      </c>
      <c r="AL13" s="500">
        <f t="shared" si="7"/>
        <v>3.0866666666666669</v>
      </c>
      <c r="AM13" s="500">
        <f t="shared" si="8"/>
        <v>0</v>
      </c>
      <c r="AN13" s="497"/>
      <c r="AO13" s="337">
        <f t="shared" si="9"/>
        <v>0</v>
      </c>
      <c r="AP13" s="28">
        <v>110</v>
      </c>
      <c r="AQ13" s="501"/>
      <c r="AR13" s="502">
        <f>+AQ13*AP13</f>
        <v>0</v>
      </c>
    </row>
    <row r="14" spans="1:48" ht="15.95" customHeight="1" thickBot="1" x14ac:dyDescent="0.3">
      <c r="D14" s="720" t="s">
        <v>231</v>
      </c>
      <c r="E14" s="721"/>
      <c r="F14" s="354">
        <f t="shared" ref="F14:N14" si="15">SUM(F4:F13)</f>
        <v>2767</v>
      </c>
      <c r="G14" s="354">
        <f t="shared" si="15"/>
        <v>3</v>
      </c>
      <c r="H14" s="354">
        <f t="shared" si="15"/>
        <v>1374</v>
      </c>
      <c r="I14" s="354">
        <f t="shared" si="15"/>
        <v>38</v>
      </c>
      <c r="J14" s="354">
        <f t="shared" si="15"/>
        <v>2561</v>
      </c>
      <c r="K14" s="354">
        <f t="shared" si="15"/>
        <v>1545</v>
      </c>
      <c r="L14" s="354">
        <f t="shared" si="15"/>
        <v>0</v>
      </c>
      <c r="M14" s="354">
        <f t="shared" si="15"/>
        <v>1019</v>
      </c>
      <c r="N14" s="425">
        <f t="shared" si="15"/>
        <v>250</v>
      </c>
      <c r="O14" s="354">
        <f>SUM(O4:O13)</f>
        <v>1699</v>
      </c>
      <c r="P14" s="354">
        <f t="shared" si="1"/>
        <v>615</v>
      </c>
      <c r="Q14" s="354">
        <f>SUM(Q4:Q13)</f>
        <v>0</v>
      </c>
      <c r="R14" s="354">
        <f t="shared" ref="R14:S14" si="16">SUM(R4:R13)</f>
        <v>3850</v>
      </c>
      <c r="S14" s="354">
        <f t="shared" si="16"/>
        <v>150</v>
      </c>
      <c r="T14" s="354">
        <f>SUM(T4:T13)</f>
        <v>1971</v>
      </c>
      <c r="U14" s="354">
        <f t="shared" si="2"/>
        <v>2344</v>
      </c>
      <c r="V14" s="354">
        <f>SUM(V4:V13)</f>
        <v>0</v>
      </c>
      <c r="W14" s="354">
        <f t="shared" ref="W14:X14" si="17">SUM(W4:W13)</f>
        <v>1896</v>
      </c>
      <c r="X14" s="354">
        <f t="shared" si="17"/>
        <v>134</v>
      </c>
      <c r="Y14" s="354">
        <f>SUM(Y4:Y13)</f>
        <v>2242</v>
      </c>
      <c r="Z14" s="354">
        <f t="shared" si="3"/>
        <v>1864</v>
      </c>
      <c r="AA14" s="354">
        <f>SUM(AA4:AA13)</f>
        <v>0</v>
      </c>
      <c r="AB14" s="354">
        <f t="shared" ref="AB14:AC14" si="18">SUM(AB4:AB13)</f>
        <v>2376</v>
      </c>
      <c r="AC14" s="354">
        <f t="shared" si="18"/>
        <v>0</v>
      </c>
      <c r="AD14" s="354">
        <f>SUM(AD4:AD13)</f>
        <v>525</v>
      </c>
      <c r="AE14" s="354">
        <f t="shared" si="4"/>
        <v>3715</v>
      </c>
      <c r="AF14" s="272"/>
      <c r="AG14" s="272"/>
      <c r="AH14" s="272"/>
      <c r="AI14" s="272">
        <f>SUM(AI4:AI13)</f>
        <v>2177.0833333333335</v>
      </c>
      <c r="AJ14" s="272">
        <f>SUM(AJ4:AJ13)</f>
        <v>2394.7916666666665</v>
      </c>
      <c r="AK14" s="272"/>
      <c r="AL14" s="272"/>
      <c r="AM14" s="272"/>
      <c r="AN14" s="272">
        <f t="shared" ref="AN14:AO14" si="19">SUM(AN4:AN13)</f>
        <v>1185</v>
      </c>
      <c r="AO14" s="272">
        <f t="shared" si="19"/>
        <v>0</v>
      </c>
      <c r="AP14" s="272"/>
      <c r="AQ14" s="273">
        <f>SUM(AQ4:AQ13)</f>
        <v>0</v>
      </c>
      <c r="AR14" s="504">
        <f>SUM(AR4:AR13)</f>
        <v>0</v>
      </c>
      <c r="AS14" s="408"/>
    </row>
    <row r="15" spans="1:48" ht="38.25" customHeight="1" thickBot="1" x14ac:dyDescent="0.3">
      <c r="P15" s="503">
        <f t="shared" si="1"/>
        <v>0</v>
      </c>
      <c r="U15" s="348">
        <f t="shared" si="2"/>
        <v>0</v>
      </c>
      <c r="V15" s="348"/>
      <c r="W15" s="348"/>
      <c r="X15" s="348"/>
      <c r="Y15" s="348"/>
      <c r="Z15" s="348"/>
      <c r="AA15" s="348"/>
      <c r="AB15" s="348"/>
      <c r="AC15" s="348"/>
      <c r="AD15" s="348"/>
      <c r="AE15" s="348"/>
      <c r="AF15" s="706" t="s">
        <v>274</v>
      </c>
      <c r="AG15" s="707"/>
      <c r="AH15" s="708"/>
      <c r="AI15" s="712" t="s">
        <v>267</v>
      </c>
      <c r="AJ15" s="714" t="s">
        <v>291</v>
      </c>
      <c r="AK15" s="709" t="s">
        <v>276</v>
      </c>
      <c r="AL15" s="710"/>
      <c r="AM15" s="711"/>
      <c r="AN15" s="716" t="s">
        <v>190</v>
      </c>
      <c r="AO15" s="716"/>
      <c r="AP15" s="719" t="s">
        <v>226</v>
      </c>
      <c r="AQ15" s="717" t="s">
        <v>290</v>
      </c>
      <c r="AR15" s="718"/>
    </row>
    <row r="16" spans="1:48" ht="44.25" customHeight="1" thickBot="1" x14ac:dyDescent="0.3">
      <c r="A16" s="571" t="s">
        <v>289</v>
      </c>
      <c r="B16" s="555" t="s">
        <v>284</v>
      </c>
      <c r="C16" s="556" t="s">
        <v>271</v>
      </c>
      <c r="D16" s="557" t="s">
        <v>52</v>
      </c>
      <c r="E16" s="558" t="s">
        <v>53</v>
      </c>
      <c r="F16" s="589" t="s">
        <v>192</v>
      </c>
      <c r="G16" s="590" t="s">
        <v>193</v>
      </c>
      <c r="H16" s="590" t="s">
        <v>194</v>
      </c>
      <c r="I16" s="590" t="s">
        <v>195</v>
      </c>
      <c r="J16" s="591" t="s">
        <v>196</v>
      </c>
      <c r="K16" s="592" t="s">
        <v>197</v>
      </c>
      <c r="L16" s="590" t="s">
        <v>193</v>
      </c>
      <c r="M16" s="590" t="s">
        <v>194</v>
      </c>
      <c r="N16" s="590" t="s">
        <v>195</v>
      </c>
      <c r="O16" s="591" t="s">
        <v>196</v>
      </c>
      <c r="P16" s="592" t="s">
        <v>220</v>
      </c>
      <c r="Q16" s="590" t="s">
        <v>193</v>
      </c>
      <c r="R16" s="590" t="s">
        <v>194</v>
      </c>
      <c r="S16" s="590" t="s">
        <v>195</v>
      </c>
      <c r="T16" s="591" t="s">
        <v>196</v>
      </c>
      <c r="U16" s="592" t="s">
        <v>199</v>
      </c>
      <c r="V16" s="590" t="s">
        <v>193</v>
      </c>
      <c r="W16" s="590" t="s">
        <v>194</v>
      </c>
      <c r="X16" s="590" t="s">
        <v>195</v>
      </c>
      <c r="Y16" s="591" t="s">
        <v>196</v>
      </c>
      <c r="Z16" s="593" t="s">
        <v>200</v>
      </c>
      <c r="AA16" s="590" t="s">
        <v>193</v>
      </c>
      <c r="AB16" s="590" t="s">
        <v>194</v>
      </c>
      <c r="AC16" s="590" t="s">
        <v>195</v>
      </c>
      <c r="AD16" s="591" t="s">
        <v>196</v>
      </c>
      <c r="AE16" s="593" t="s">
        <v>294</v>
      </c>
      <c r="AF16" s="275"/>
      <c r="AG16" s="418"/>
      <c r="AH16" s="418"/>
      <c r="AI16" s="713"/>
      <c r="AJ16" s="715"/>
      <c r="AK16" s="13"/>
      <c r="AL16" s="13"/>
      <c r="AM16" s="13"/>
      <c r="AN16" s="22"/>
      <c r="AO16" s="22"/>
      <c r="AP16" s="693"/>
      <c r="AQ16" s="197" t="s">
        <v>210</v>
      </c>
      <c r="AR16" s="152" t="s">
        <v>211</v>
      </c>
    </row>
    <row r="17" spans="1:44" ht="15.95" customHeight="1" x14ac:dyDescent="0.25">
      <c r="A17" s="267">
        <v>60</v>
      </c>
      <c r="B17" s="267" t="s">
        <v>235</v>
      </c>
      <c r="C17" s="267" t="s">
        <v>278</v>
      </c>
      <c r="D17" s="267">
        <v>260612</v>
      </c>
      <c r="E17" s="268" t="s">
        <v>74</v>
      </c>
      <c r="F17" s="336">
        <v>1</v>
      </c>
      <c r="G17" s="337"/>
      <c r="H17" s="337"/>
      <c r="I17" s="337"/>
      <c r="J17" s="337"/>
      <c r="K17" s="336">
        <f>F17+G17+H17-I17-J17</f>
        <v>1</v>
      </c>
      <c r="L17" s="337"/>
      <c r="M17" s="337">
        <v>70</v>
      </c>
      <c r="N17" s="337"/>
      <c r="O17" s="337">
        <v>1</v>
      </c>
      <c r="P17" s="352">
        <f t="shared" si="1"/>
        <v>70</v>
      </c>
      <c r="Q17" s="337"/>
      <c r="R17" s="337"/>
      <c r="S17" s="337"/>
      <c r="T17" s="337">
        <v>1</v>
      </c>
      <c r="U17" s="352">
        <f t="shared" si="2"/>
        <v>69</v>
      </c>
      <c r="V17" s="337"/>
      <c r="W17" s="337"/>
      <c r="X17" s="337"/>
      <c r="Y17" s="337">
        <v>69</v>
      </c>
      <c r="Z17" s="352">
        <f t="shared" ref="Z17" si="20">+U17+V17+W17-X17-Y17</f>
        <v>0</v>
      </c>
      <c r="AA17" s="337"/>
      <c r="AB17" s="337"/>
      <c r="AC17" s="337"/>
      <c r="AD17" s="337"/>
      <c r="AE17" s="352">
        <f t="shared" ref="AE17" si="21">+Z17+AA17+AB17-AC17-AD17</f>
        <v>0</v>
      </c>
      <c r="AF17" s="385"/>
      <c r="AG17" s="385"/>
      <c r="AH17" s="385"/>
      <c r="AI17" s="391">
        <f>AVERAGE(J17,O17)</f>
        <v>1</v>
      </c>
      <c r="AJ17" s="578">
        <f t="shared" ref="AJ17:AJ18" si="22">+AI17*1.1</f>
        <v>1.1000000000000001</v>
      </c>
      <c r="AK17" s="88"/>
      <c r="AL17" s="88"/>
      <c r="AM17" s="88"/>
      <c r="AN17" s="29"/>
      <c r="AO17" s="29"/>
      <c r="AP17" s="27">
        <v>120</v>
      </c>
      <c r="AQ17" s="146"/>
      <c r="AR17" s="180"/>
    </row>
    <row r="18" spans="1:44" ht="15.95" customHeight="1" thickBot="1" x14ac:dyDescent="0.3">
      <c r="A18" s="243">
        <v>60</v>
      </c>
      <c r="B18" s="243" t="s">
        <v>235</v>
      </c>
      <c r="C18" s="243" t="s">
        <v>278</v>
      </c>
      <c r="D18" s="243">
        <v>806982</v>
      </c>
      <c r="E18" s="244" t="s">
        <v>73</v>
      </c>
      <c r="F18" s="336">
        <v>59</v>
      </c>
      <c r="G18" s="337"/>
      <c r="H18" s="337"/>
      <c r="I18" s="337"/>
      <c r="J18" s="337">
        <v>52</v>
      </c>
      <c r="K18" s="411">
        <f>F18+G18+H18-I18-J18</f>
        <v>7</v>
      </c>
      <c r="L18" s="337"/>
      <c r="M18" s="337"/>
      <c r="N18" s="424">
        <v>7</v>
      </c>
      <c r="O18" s="337"/>
      <c r="P18" s="352">
        <f t="shared" si="1"/>
        <v>0</v>
      </c>
      <c r="Q18" s="337"/>
      <c r="R18" s="337"/>
      <c r="S18" s="424"/>
      <c r="T18" s="337"/>
      <c r="U18" s="352">
        <f t="shared" si="2"/>
        <v>0</v>
      </c>
      <c r="V18" s="337"/>
      <c r="W18" s="337"/>
      <c r="X18" s="424"/>
      <c r="Y18" s="337">
        <v>1</v>
      </c>
      <c r="Z18" s="352"/>
      <c r="AA18" s="337"/>
      <c r="AB18" s="337"/>
      <c r="AC18" s="424"/>
      <c r="AD18" s="337"/>
      <c r="AE18" s="352"/>
      <c r="AF18" s="385"/>
      <c r="AG18" s="385"/>
      <c r="AH18" s="385"/>
      <c r="AI18" s="391">
        <f>AVERAGE(J18,O18)</f>
        <v>52</v>
      </c>
      <c r="AJ18" s="578">
        <f t="shared" si="22"/>
        <v>57.2</v>
      </c>
      <c r="AK18" s="88">
        <f>+K18/AI18</f>
        <v>0.13461538461538461</v>
      </c>
      <c r="AL18" s="88"/>
      <c r="AM18" s="88"/>
      <c r="AN18" s="29"/>
      <c r="AO18" s="29"/>
      <c r="AP18" s="27"/>
      <c r="AQ18" s="146"/>
      <c r="AR18" s="180"/>
    </row>
    <row r="19" spans="1:44" ht="15.95" hidden="1" customHeight="1" x14ac:dyDescent="0.25">
      <c r="A19" s="274"/>
      <c r="B19" s="274"/>
      <c r="C19" s="274"/>
      <c r="D19" s="243"/>
      <c r="E19" s="244"/>
      <c r="F19" s="336"/>
      <c r="G19" s="337"/>
      <c r="H19" s="337"/>
      <c r="I19" s="337"/>
      <c r="J19" s="337"/>
      <c r="K19" s="336">
        <f>F19+G19+H19-I19-J19</f>
        <v>0</v>
      </c>
      <c r="L19" s="337"/>
      <c r="M19" s="337"/>
      <c r="N19" s="337"/>
      <c r="O19" s="337"/>
      <c r="P19" s="352">
        <f t="shared" si="1"/>
        <v>0</v>
      </c>
      <c r="Q19" s="337"/>
      <c r="R19" s="337"/>
      <c r="S19" s="337"/>
      <c r="T19" s="337"/>
      <c r="U19" s="352">
        <f t="shared" si="2"/>
        <v>0</v>
      </c>
      <c r="V19" s="337"/>
      <c r="W19" s="337"/>
      <c r="X19" s="337"/>
      <c r="Y19" s="337"/>
      <c r="Z19" s="352"/>
      <c r="AA19" s="337"/>
      <c r="AB19" s="337"/>
      <c r="AC19" s="337"/>
      <c r="AD19" s="337"/>
      <c r="AE19" s="352"/>
      <c r="AF19" s="224"/>
      <c r="AG19" s="224"/>
      <c r="AH19" s="224"/>
      <c r="AI19" s="26"/>
      <c r="AJ19" s="26"/>
      <c r="AK19" s="143"/>
      <c r="AL19" s="143"/>
      <c r="AM19" s="143"/>
      <c r="AN19" s="29"/>
      <c r="AO19" s="29"/>
      <c r="AP19" s="27">
        <v>108</v>
      </c>
      <c r="AQ19" s="146"/>
      <c r="AR19" s="180"/>
    </row>
    <row r="20" spans="1:44" ht="15.95" hidden="1" customHeight="1" x14ac:dyDescent="0.25">
      <c r="A20" s="243"/>
      <c r="B20" s="243"/>
      <c r="C20" s="243"/>
      <c r="D20" s="243"/>
      <c r="E20" s="244"/>
      <c r="F20" s="336"/>
      <c r="G20" s="337"/>
      <c r="H20" s="337"/>
      <c r="I20" s="337"/>
      <c r="J20" s="337"/>
      <c r="K20" s="336">
        <f t="shared" ref="K20:K21" si="23">F20+G20+H20-I20-J20</f>
        <v>0</v>
      </c>
      <c r="L20" s="337"/>
      <c r="M20" s="337"/>
      <c r="N20" s="337"/>
      <c r="O20" s="337"/>
      <c r="P20" s="352">
        <f t="shared" si="1"/>
        <v>0</v>
      </c>
      <c r="Q20" s="337"/>
      <c r="R20" s="337"/>
      <c r="S20" s="337"/>
      <c r="T20" s="337"/>
      <c r="U20" s="352">
        <f t="shared" si="2"/>
        <v>0</v>
      </c>
      <c r="V20" s="337"/>
      <c r="W20" s="337"/>
      <c r="X20" s="337"/>
      <c r="Y20" s="337"/>
      <c r="Z20" s="352"/>
      <c r="AA20" s="337"/>
      <c r="AB20" s="337"/>
      <c r="AC20" s="337"/>
      <c r="AD20" s="337"/>
      <c r="AE20" s="352"/>
      <c r="AF20" s="224"/>
      <c r="AG20" s="224"/>
      <c r="AH20" s="224"/>
      <c r="AI20" s="26"/>
      <c r="AJ20" s="26"/>
      <c r="AK20" s="143"/>
      <c r="AL20" s="143"/>
      <c r="AM20" s="143"/>
      <c r="AN20" s="29"/>
      <c r="AO20" s="29"/>
      <c r="AP20" s="27">
        <v>120</v>
      </c>
      <c r="AQ20" s="146"/>
      <c r="AR20" s="180"/>
    </row>
    <row r="21" spans="1:44" ht="15.95" hidden="1" customHeight="1" thickBot="1" x14ac:dyDescent="0.3">
      <c r="A21" s="263"/>
      <c r="B21" s="263"/>
      <c r="C21" s="263"/>
      <c r="D21" s="263"/>
      <c r="E21" s="264"/>
      <c r="F21" s="336"/>
      <c r="G21" s="337"/>
      <c r="H21" s="337"/>
      <c r="I21" s="337"/>
      <c r="J21" s="337"/>
      <c r="K21" s="336">
        <f t="shared" si="23"/>
        <v>0</v>
      </c>
      <c r="L21" s="337"/>
      <c r="M21" s="337"/>
      <c r="N21" s="337"/>
      <c r="O21" s="337"/>
      <c r="P21" s="352">
        <f t="shared" si="1"/>
        <v>0</v>
      </c>
      <c r="Q21" s="337"/>
      <c r="R21" s="337"/>
      <c r="S21" s="337"/>
      <c r="T21" s="337"/>
      <c r="U21" s="352">
        <f t="shared" si="2"/>
        <v>0</v>
      </c>
      <c r="V21" s="337"/>
      <c r="W21" s="337"/>
      <c r="X21" s="337"/>
      <c r="Y21" s="337"/>
      <c r="Z21" s="352"/>
      <c r="AA21" s="337"/>
      <c r="AB21" s="337"/>
      <c r="AC21" s="337"/>
      <c r="AD21" s="337"/>
      <c r="AE21" s="352"/>
      <c r="AF21" s="224"/>
      <c r="AG21" s="224"/>
      <c r="AH21" s="224"/>
      <c r="AI21" s="26"/>
      <c r="AJ21" s="26"/>
      <c r="AK21" s="143"/>
      <c r="AL21" s="143"/>
      <c r="AM21" s="143"/>
      <c r="AN21" s="29"/>
      <c r="AO21" s="29"/>
      <c r="AP21" s="27">
        <v>120</v>
      </c>
      <c r="AQ21" s="146"/>
      <c r="AR21" s="180"/>
    </row>
    <row r="22" spans="1:44" ht="15.95" customHeight="1" thickBot="1" x14ac:dyDescent="0.3">
      <c r="A22" s="537"/>
      <c r="B22" s="537"/>
      <c r="C22" s="537"/>
      <c r="D22" s="722"/>
      <c r="E22" s="722"/>
      <c r="F22" s="346">
        <f t="shared" ref="F22:O22" si="24">SUM(F17:F21)</f>
        <v>60</v>
      </c>
      <c r="G22" s="346">
        <f t="shared" si="24"/>
        <v>0</v>
      </c>
      <c r="H22" s="346">
        <f t="shared" si="24"/>
        <v>0</v>
      </c>
      <c r="I22" s="346">
        <f t="shared" si="24"/>
        <v>0</v>
      </c>
      <c r="J22" s="346">
        <f t="shared" si="24"/>
        <v>52</v>
      </c>
      <c r="K22" s="346">
        <f t="shared" si="24"/>
        <v>8</v>
      </c>
      <c r="L22" s="346">
        <f t="shared" si="24"/>
        <v>0</v>
      </c>
      <c r="M22" s="346">
        <f t="shared" si="24"/>
        <v>70</v>
      </c>
      <c r="N22" s="426">
        <f t="shared" si="24"/>
        <v>7</v>
      </c>
      <c r="O22" s="346">
        <f t="shared" si="24"/>
        <v>1</v>
      </c>
      <c r="P22" s="346">
        <f>SUM(P17:P21)</f>
        <v>70</v>
      </c>
      <c r="Q22" s="346"/>
      <c r="R22" s="346"/>
      <c r="S22" s="426"/>
      <c r="T22" s="346">
        <f>SUM(T17:T18)</f>
        <v>1</v>
      </c>
      <c r="U22" s="346">
        <f>+P22+Q22+R22-S22-T22</f>
        <v>69</v>
      </c>
      <c r="V22" s="346">
        <f t="shared" ref="V22:Y22" si="25">SUM(V17:V18)</f>
        <v>0</v>
      </c>
      <c r="W22" s="346">
        <f t="shared" si="25"/>
        <v>0</v>
      </c>
      <c r="X22" s="346">
        <f t="shared" si="25"/>
        <v>0</v>
      </c>
      <c r="Y22" s="346">
        <f t="shared" si="25"/>
        <v>70</v>
      </c>
      <c r="Z22" s="346">
        <f>+U22+V22+W22-X22-Y22</f>
        <v>-1</v>
      </c>
      <c r="AA22" s="346">
        <f t="shared" ref="AA22:AD22" si="26">SUM(AA17:AA18)</f>
        <v>0</v>
      </c>
      <c r="AB22" s="346">
        <f t="shared" si="26"/>
        <v>0</v>
      </c>
      <c r="AC22" s="346">
        <f t="shared" si="26"/>
        <v>0</v>
      </c>
      <c r="AD22" s="346">
        <f t="shared" si="26"/>
        <v>0</v>
      </c>
      <c r="AE22" s="346">
        <f>+Z22+AA22+AB22-AC22-AD22</f>
        <v>-1</v>
      </c>
      <c r="AF22" s="270"/>
      <c r="AG22" s="270"/>
      <c r="AH22" s="270"/>
      <c r="AI22" s="270">
        <f>SUM(AI17:AI21)</f>
        <v>53</v>
      </c>
      <c r="AJ22" s="270">
        <f>SUM(AJ17:AJ21)</f>
        <v>58.300000000000004</v>
      </c>
      <c r="AK22" s="269"/>
      <c r="AL22" s="269"/>
      <c r="AM22" s="269"/>
      <c r="AN22" s="271"/>
      <c r="AO22" s="271"/>
      <c r="AP22" s="271"/>
      <c r="AQ22" s="271">
        <f>+SUM(AQ17:AQ19)</f>
        <v>0</v>
      </c>
      <c r="AR22" s="271">
        <f>+SUM(AR17:AR19)</f>
        <v>0</v>
      </c>
    </row>
    <row r="23" spans="1:44" ht="15.95" customHeight="1" thickBot="1" x14ac:dyDescent="0.3">
      <c r="B23" s="542"/>
      <c r="C23" s="542"/>
      <c r="D23" s="543"/>
      <c r="E23" s="543"/>
      <c r="F23" s="538"/>
      <c r="G23" s="538"/>
      <c r="H23" s="538"/>
      <c r="I23" s="538"/>
      <c r="J23" s="538"/>
      <c r="K23" s="538"/>
      <c r="L23" s="538"/>
      <c r="M23" s="538"/>
      <c r="N23" s="539"/>
      <c r="O23" s="538"/>
      <c r="P23" s="538"/>
      <c r="Q23" s="538"/>
      <c r="R23" s="538"/>
      <c r="S23" s="539"/>
      <c r="T23" s="538"/>
      <c r="U23" s="538"/>
      <c r="V23" s="538"/>
      <c r="W23" s="538"/>
      <c r="X23" s="538"/>
      <c r="Y23" s="538"/>
      <c r="Z23" s="538"/>
      <c r="AA23" s="538"/>
      <c r="AB23" s="538"/>
      <c r="AC23" s="538"/>
      <c r="AD23" s="538"/>
      <c r="AE23" s="538"/>
      <c r="AF23" s="540"/>
      <c r="AG23" s="540"/>
      <c r="AH23" s="540"/>
      <c r="AI23" s="540"/>
      <c r="AJ23" s="540"/>
      <c r="AK23" s="540"/>
      <c r="AL23" s="540"/>
      <c r="AM23" s="540"/>
      <c r="AN23" s="541"/>
      <c r="AO23" s="541"/>
      <c r="AP23" s="541"/>
      <c r="AQ23" s="541"/>
      <c r="AR23" s="541"/>
    </row>
    <row r="24" spans="1:44" ht="41.25" customHeight="1" thickBot="1" x14ac:dyDescent="0.3">
      <c r="A24" s="571" t="s">
        <v>289</v>
      </c>
      <c r="B24" s="555" t="s">
        <v>284</v>
      </c>
      <c r="C24" s="556" t="s">
        <v>271</v>
      </c>
      <c r="D24" s="557" t="s">
        <v>52</v>
      </c>
      <c r="E24" s="558" t="s">
        <v>53</v>
      </c>
      <c r="F24" s="589"/>
      <c r="G24" s="590"/>
      <c r="H24" s="590"/>
      <c r="I24" s="590"/>
      <c r="J24" s="591"/>
      <c r="K24" s="592"/>
      <c r="L24" s="590"/>
      <c r="M24" s="590"/>
      <c r="N24" s="590"/>
      <c r="O24" s="591"/>
      <c r="P24" s="592"/>
      <c r="Q24" s="590"/>
      <c r="R24" s="590"/>
      <c r="S24" s="590"/>
      <c r="T24" s="591"/>
      <c r="U24" s="592">
        <f t="shared" si="2"/>
        <v>0</v>
      </c>
      <c r="V24" s="590"/>
      <c r="W24" s="590"/>
      <c r="X24" s="590"/>
      <c r="Y24" s="591"/>
      <c r="Z24" s="593" t="s">
        <v>200</v>
      </c>
      <c r="AA24" s="590"/>
      <c r="AB24" s="590"/>
      <c r="AC24" s="590"/>
      <c r="AD24" s="591"/>
      <c r="AE24" s="593" t="s">
        <v>294</v>
      </c>
      <c r="AF24" s="706" t="s">
        <v>274</v>
      </c>
      <c r="AG24" s="707"/>
      <c r="AH24" s="708"/>
      <c r="AI24" s="577" t="s">
        <v>267</v>
      </c>
      <c r="AJ24" s="606" t="s">
        <v>291</v>
      </c>
      <c r="AK24" s="709" t="s">
        <v>276</v>
      </c>
      <c r="AL24" s="710"/>
      <c r="AM24" s="711"/>
      <c r="AN24" s="689" t="s">
        <v>190</v>
      </c>
      <c r="AO24" s="689"/>
      <c r="AP24" s="602" t="s">
        <v>226</v>
      </c>
      <c r="AQ24" s="197" t="s">
        <v>210</v>
      </c>
      <c r="AR24" s="152" t="s">
        <v>211</v>
      </c>
    </row>
    <row r="25" spans="1:44" ht="15.95" customHeight="1" x14ac:dyDescent="0.25">
      <c r="A25" s="553">
        <v>60</v>
      </c>
      <c r="B25" s="553" t="s">
        <v>283</v>
      </c>
      <c r="C25" s="554" t="s">
        <v>268</v>
      </c>
      <c r="D25" s="449">
        <v>505015</v>
      </c>
      <c r="E25" s="450" t="s">
        <v>95</v>
      </c>
      <c r="F25" s="336"/>
      <c r="G25" s="337"/>
      <c r="H25" s="337"/>
      <c r="I25" s="337"/>
      <c r="J25" s="337"/>
      <c r="K25" s="337">
        <v>0</v>
      </c>
      <c r="L25" s="337"/>
      <c r="M25" s="337">
        <v>2000</v>
      </c>
      <c r="N25" s="337"/>
      <c r="O25" s="352">
        <v>45</v>
      </c>
      <c r="P25" s="352">
        <f t="shared" ref="P25" si="27">+K25+L25+M25-N25-O25</f>
        <v>1955</v>
      </c>
      <c r="Q25" s="337"/>
      <c r="R25" s="337"/>
      <c r="S25" s="337"/>
      <c r="T25" s="352">
        <v>255</v>
      </c>
      <c r="U25" s="352">
        <f t="shared" si="2"/>
        <v>1700</v>
      </c>
      <c r="V25" s="427">
        <v>25</v>
      </c>
      <c r="W25" s="337">
        <v>2221</v>
      </c>
      <c r="X25" s="337"/>
      <c r="Y25" s="352">
        <v>1098</v>
      </c>
      <c r="Z25" s="352">
        <f t="shared" ref="Z25" si="28">+U25+V25+W25-X25-Y25</f>
        <v>2848</v>
      </c>
      <c r="AA25" s="337"/>
      <c r="AB25" s="337">
        <v>1121</v>
      </c>
      <c r="AC25" s="337"/>
      <c r="AD25" s="352">
        <v>333</v>
      </c>
      <c r="AE25" s="352">
        <f t="shared" ref="AE25" si="29">+Z25+AA25+AB25-AC25-AD25</f>
        <v>3636</v>
      </c>
      <c r="AF25" s="25">
        <f>IF((Z25-($AI25*(NETWORKDAYS(AN3,AN3)/$O$2))+AN25)&lt;=0,0,Z25-($AI25*(NETWORKDAYS(AN3,AN3)/$O$2))+AN25)</f>
        <v>2832.4666666666667</v>
      </c>
      <c r="AG25" s="25">
        <f>IF((AF25-($AI25*(NETWORKDAYS(AN3,AN3)/$O$2))+AN25)&lt;=0,0,AF25-($AI25*(NETWORKDAYS(AN3,AN3)/$O$2))+AN25)</f>
        <v>2816.9333333333334</v>
      </c>
      <c r="AH25" s="25">
        <f>IF((AG25-($AI25*(NETWORKDAYS(AO3,AO3)/$O$2))+AO25)&lt;=0,0,AG25-($AI25*(NETWORKDAYS(AO3,AO3)/$O$2))+AO25)</f>
        <v>2816.9333333333334</v>
      </c>
      <c r="AI25" s="391">
        <f>AVERAGE(J25,O25,T25,Y25)</f>
        <v>466</v>
      </c>
      <c r="AJ25" s="578">
        <f t="shared" ref="AJ25" si="30">+AI25*1.1</f>
        <v>512.6</v>
      </c>
      <c r="AK25" s="88">
        <f t="shared" ref="AK25" si="31">+Z25/AI25</f>
        <v>6.1115879828326181</v>
      </c>
      <c r="AL25" s="88">
        <f>+AG25/AI25</f>
        <v>6.0449213161659516</v>
      </c>
      <c r="AM25" s="88">
        <f>+AH25/AI25</f>
        <v>6.0449213161659516</v>
      </c>
      <c r="AN25" s="24"/>
      <c r="AO25" s="24">
        <f t="shared" ref="AO25" si="32">+AR25</f>
        <v>0</v>
      </c>
      <c r="AP25" s="27"/>
      <c r="AQ25" s="146"/>
      <c r="AR25" s="179">
        <f>+AQ25*AP25</f>
        <v>0</v>
      </c>
    </row>
    <row r="26" spans="1:44" ht="15.95" customHeight="1" x14ac:dyDescent="0.25">
      <c r="A26" s="570"/>
      <c r="B26" s="570"/>
      <c r="C26" s="570"/>
      <c r="D26" s="570"/>
      <c r="E26" s="570"/>
      <c r="F26" s="287"/>
      <c r="G26" s="287"/>
      <c r="H26" s="287"/>
      <c r="I26" s="287"/>
      <c r="J26" s="287"/>
      <c r="K26" s="431">
        <f>SUM(K25)</f>
        <v>0</v>
      </c>
      <c r="L26" s="287"/>
      <c r="M26" s="431">
        <f>+M25</f>
        <v>2000</v>
      </c>
      <c r="N26" s="287"/>
      <c r="O26" s="431">
        <f>+O25</f>
        <v>45</v>
      </c>
      <c r="P26" s="431">
        <f>+P25</f>
        <v>1955</v>
      </c>
      <c r="Q26" s="287"/>
      <c r="R26" s="431"/>
      <c r="S26" s="287"/>
      <c r="T26" s="431">
        <f>+T25</f>
        <v>255</v>
      </c>
      <c r="U26" s="431">
        <f>+U25</f>
        <v>1700</v>
      </c>
      <c r="V26" s="613">
        <f t="shared" ref="V26:Y26" si="33">+V25</f>
        <v>25</v>
      </c>
      <c r="W26" s="431">
        <f t="shared" si="33"/>
        <v>2221</v>
      </c>
      <c r="X26" s="431">
        <f t="shared" si="33"/>
        <v>0</v>
      </c>
      <c r="Y26" s="431">
        <f t="shared" si="33"/>
        <v>1098</v>
      </c>
      <c r="Z26" s="431">
        <f>+Z25</f>
        <v>2848</v>
      </c>
      <c r="AA26" s="431">
        <f t="shared" ref="AA26:AD26" si="34">+AA25</f>
        <v>0</v>
      </c>
      <c r="AB26" s="431">
        <f t="shared" si="34"/>
        <v>1121</v>
      </c>
      <c r="AC26" s="431">
        <f t="shared" si="34"/>
        <v>0</v>
      </c>
      <c r="AD26" s="431">
        <f t="shared" si="34"/>
        <v>333</v>
      </c>
      <c r="AE26" s="431">
        <f>+AE25</f>
        <v>3636</v>
      </c>
      <c r="AF26"/>
      <c r="AG26"/>
      <c r="AH26"/>
      <c r="AI26"/>
      <c r="AJ26"/>
      <c r="AK26"/>
      <c r="AL26"/>
      <c r="AM26"/>
      <c r="AN26"/>
      <c r="AO26"/>
      <c r="AP26"/>
    </row>
    <row r="27" spans="1:44" ht="15.75" thickBot="1" x14ac:dyDescent="0.3">
      <c r="V27" s="348"/>
      <c r="W27" s="348"/>
      <c r="X27" s="348"/>
      <c r="Y27" s="348"/>
      <c r="AA27" s="348"/>
      <c r="AB27" s="348"/>
      <c r="AC27" s="348"/>
      <c r="AD27" s="348"/>
      <c r="AN27" s="468"/>
      <c r="AO27" s="468"/>
    </row>
    <row r="28" spans="1:44" ht="15.75" thickBot="1" x14ac:dyDescent="0.3">
      <c r="F28" s="355">
        <f t="shared" ref="F28:I28" si="35">+F22+F14</f>
        <v>2827</v>
      </c>
      <c r="G28" s="355">
        <f t="shared" si="35"/>
        <v>3</v>
      </c>
      <c r="H28" s="355">
        <f t="shared" si="35"/>
        <v>1374</v>
      </c>
      <c r="I28" s="355">
        <f t="shared" si="35"/>
        <v>38</v>
      </c>
      <c r="J28" s="355">
        <f>+J22+J14</f>
        <v>2613</v>
      </c>
      <c r="K28" s="355">
        <f>+K22+K14</f>
        <v>1553</v>
      </c>
      <c r="L28" s="355">
        <f t="shared" ref="L28:N28" si="36">+L22+L14+L26</f>
        <v>0</v>
      </c>
      <c r="M28" s="355">
        <f t="shared" si="36"/>
        <v>3089</v>
      </c>
      <c r="N28" s="432">
        <f t="shared" si="36"/>
        <v>257</v>
      </c>
      <c r="O28" s="355">
        <f>+O22+O14+O26</f>
        <v>1745</v>
      </c>
      <c r="P28" s="355">
        <f>+P22+P14+P26</f>
        <v>2640</v>
      </c>
      <c r="Q28" s="355"/>
      <c r="R28" s="355"/>
      <c r="S28" s="432"/>
      <c r="T28" s="355">
        <f>+T22+T14+T26</f>
        <v>2227</v>
      </c>
      <c r="U28" s="355">
        <f>+U22+U14+U26</f>
        <v>4113</v>
      </c>
      <c r="V28" s="355">
        <f>+V22+V14+V26</f>
        <v>25</v>
      </c>
      <c r="W28" s="355">
        <f>+W22+W14+W26</f>
        <v>4117</v>
      </c>
      <c r="X28" s="355">
        <f t="shared" ref="X28" si="37">+X22+X14+X26</f>
        <v>134</v>
      </c>
      <c r="Y28" s="355">
        <f>+Y22+Y14+Y26</f>
        <v>3410</v>
      </c>
      <c r="Z28" s="355">
        <f>+Z22+Z14+Z26</f>
        <v>4711</v>
      </c>
      <c r="AA28" s="355">
        <f>+AA22+AA14+AA26</f>
        <v>0</v>
      </c>
      <c r="AB28" s="355">
        <f>+AB22+AB14+AB26</f>
        <v>3497</v>
      </c>
      <c r="AC28" s="355">
        <f t="shared" ref="AC28" si="38">+AC22+AC14+AC26</f>
        <v>0</v>
      </c>
      <c r="AD28" s="355">
        <f>+AD22+AD14+AD26</f>
        <v>858</v>
      </c>
      <c r="AE28" s="355">
        <f>+AE22+AE14+AE26</f>
        <v>7350</v>
      </c>
      <c r="AI28" s="355">
        <f>+Y28</f>
        <v>3410</v>
      </c>
      <c r="AN28" s="468"/>
      <c r="AO28" s="468"/>
    </row>
    <row r="29" spans="1:44" ht="12.75" customHeight="1" thickBot="1" x14ac:dyDescent="0.3">
      <c r="I29" s="328"/>
      <c r="J29" s="355" t="s">
        <v>219</v>
      </c>
      <c r="K29" s="355">
        <f>+K28/50</f>
        <v>31.06</v>
      </c>
      <c r="N29" s="328"/>
      <c r="O29" s="355" t="s">
        <v>219</v>
      </c>
      <c r="P29" s="355">
        <f>+P28/50</f>
        <v>52.8</v>
      </c>
      <c r="S29" s="328"/>
      <c r="T29" s="355"/>
      <c r="U29" s="355"/>
      <c r="V29" s="348"/>
      <c r="W29" s="348"/>
      <c r="X29" s="328"/>
      <c r="Y29" s="355"/>
      <c r="Z29" s="355"/>
      <c r="AA29" s="348"/>
      <c r="AB29" s="348"/>
      <c r="AC29" s="328"/>
      <c r="AD29" s="355"/>
      <c r="AE29" s="355"/>
      <c r="AF29" s="15" t="s">
        <v>232</v>
      </c>
      <c r="AI29" s="355">
        <f>+AE28/Y28</f>
        <v>2.1554252199413488</v>
      </c>
    </row>
  </sheetData>
  <mergeCells count="18">
    <mergeCell ref="D14:E14"/>
    <mergeCell ref="D22:E22"/>
    <mergeCell ref="AF2:AH2"/>
    <mergeCell ref="AK2:AM2"/>
    <mergeCell ref="AP2:AR2"/>
    <mergeCell ref="AN1:AO1"/>
    <mergeCell ref="AN15:AO15"/>
    <mergeCell ref="AF15:AH15"/>
    <mergeCell ref="AK15:AM15"/>
    <mergeCell ref="AQ15:AR15"/>
    <mergeCell ref="AP15:AP16"/>
    <mergeCell ref="AF24:AH24"/>
    <mergeCell ref="AK24:AM24"/>
    <mergeCell ref="AN24:AO24"/>
    <mergeCell ref="AI2:AI3"/>
    <mergeCell ref="AI15:AI16"/>
    <mergeCell ref="AJ2:AJ3"/>
    <mergeCell ref="AJ15:AJ16"/>
  </mergeCells>
  <conditionalFormatting sqref="AK4:AM13 AK25:AM25">
    <cfRule type="cellIs" dxfId="5" priority="3" operator="lessThan">
      <formula>1.5</formula>
    </cfRule>
    <cfRule type="cellIs" dxfId="4" priority="7" operator="lessThan">
      <formula>1</formula>
    </cfRule>
  </conditionalFormatting>
  <conditionalFormatting sqref="AK17:AM18">
    <cfRule type="cellIs" dxfId="3" priority="6" operator="less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4E08A-4F65-4B1A-ACC4-4A4521769956}">
  <sheetPr>
    <tabColor theme="6" tint="0.39997558519241921"/>
  </sheetPr>
  <dimension ref="A1:AA38"/>
  <sheetViews>
    <sheetView zoomScaleNormal="100" workbookViewId="0">
      <pane xSplit="5" ySplit="3" topLeftCell="F18" activePane="bottomRight" state="frozen"/>
      <selection pane="topRight" activeCell="V13" sqref="V13"/>
      <selection pane="bottomLeft" activeCell="V13" sqref="V13"/>
      <selection pane="bottomRight" activeCell="Y10" sqref="Y10"/>
    </sheetView>
  </sheetViews>
  <sheetFormatPr baseColWidth="10" defaultColWidth="10.7109375" defaultRowHeight="13.5" x14ac:dyDescent="0.25"/>
  <cols>
    <col min="1" max="2" width="10.7109375" style="15"/>
    <col min="3" max="3" width="12.5703125" style="15" customWidth="1"/>
    <col min="4" max="4" width="15.28515625" style="15" bestFit="1" customWidth="1"/>
    <col min="5" max="5" width="41.5703125" style="15" bestFit="1" customWidth="1"/>
    <col min="6" max="6" width="9" style="348" bestFit="1" customWidth="1"/>
    <col min="7" max="7" width="9.85546875" style="348" bestFit="1" customWidth="1"/>
    <col min="8" max="8" width="12.7109375" style="378" bestFit="1" customWidth="1"/>
    <col min="9" max="9" width="13" style="15" customWidth="1"/>
    <col min="10" max="10" width="8.28515625" style="15" bestFit="1" customWidth="1"/>
    <col min="11" max="11" width="7" style="15" customWidth="1"/>
    <col min="12" max="12" width="8.28515625" style="15" customWidth="1"/>
    <col min="13" max="13" width="9.42578125" style="15" hidden="1" customWidth="1"/>
    <col min="14" max="14" width="9.28515625" style="15" hidden="1" customWidth="1"/>
    <col min="15" max="16" width="9.28515625" style="348" customWidth="1"/>
    <col min="17" max="17" width="10.85546875" style="15" customWidth="1"/>
    <col min="18" max="20" width="9.85546875" style="15" customWidth="1"/>
    <col min="21" max="21" width="10" style="15" customWidth="1"/>
    <col min="22" max="22" width="9.140625" style="15" customWidth="1"/>
    <col min="23" max="23" width="7.5703125" style="35" bestFit="1" customWidth="1"/>
    <col min="24" max="16384" width="10.7109375" style="15"/>
  </cols>
  <sheetData>
    <row r="1" spans="1:27" ht="26.25" customHeight="1" x14ac:dyDescent="0.25">
      <c r="C1" s="443"/>
      <c r="D1" s="443"/>
      <c r="E1" s="443"/>
      <c r="F1" s="512"/>
      <c r="G1" s="512"/>
      <c r="H1" s="513"/>
      <c r="I1" s="443"/>
      <c r="J1" s="746" t="s">
        <v>274</v>
      </c>
      <c r="K1" s="746"/>
      <c r="L1" s="746"/>
      <c r="O1" s="727" t="s">
        <v>267</v>
      </c>
      <c r="P1" s="732" t="s">
        <v>299</v>
      </c>
      <c r="Q1" s="735" t="s">
        <v>276</v>
      </c>
      <c r="R1" s="735"/>
      <c r="S1" s="735"/>
      <c r="T1" s="716" t="s">
        <v>190</v>
      </c>
      <c r="U1" s="737"/>
      <c r="V1" s="736" t="s">
        <v>290</v>
      </c>
      <c r="W1" s="736"/>
      <c r="X1" s="736"/>
    </row>
    <row r="2" spans="1:27" ht="26.25" customHeight="1" thickBot="1" x14ac:dyDescent="0.3">
      <c r="C2" s="456"/>
      <c r="D2" s="456"/>
      <c r="E2" s="456"/>
      <c r="F2" s="456"/>
      <c r="G2" s="456"/>
      <c r="H2" s="456"/>
      <c r="I2" s="456"/>
      <c r="J2" s="746"/>
      <c r="K2" s="746"/>
      <c r="L2" s="746"/>
      <c r="M2" s="456"/>
      <c r="N2" s="456"/>
      <c r="O2" s="728"/>
      <c r="P2" s="733"/>
      <c r="Q2" s="735"/>
      <c r="R2" s="735"/>
      <c r="S2" s="735"/>
      <c r="T2" s="511" t="s">
        <v>257</v>
      </c>
      <c r="U2" s="511" t="s">
        <v>292</v>
      </c>
      <c r="V2" s="736"/>
      <c r="W2" s="736"/>
      <c r="X2" s="736"/>
    </row>
    <row r="3" spans="1:27" ht="37.5" customHeight="1" thickBot="1" x14ac:dyDescent="0.3">
      <c r="A3" s="571" t="s">
        <v>289</v>
      </c>
      <c r="B3" s="545" t="s">
        <v>284</v>
      </c>
      <c r="C3" s="549" t="s">
        <v>272</v>
      </c>
      <c r="D3" s="550" t="s">
        <v>52</v>
      </c>
      <c r="E3" s="548" t="s">
        <v>53</v>
      </c>
      <c r="F3" s="581" t="s">
        <v>237</v>
      </c>
      <c r="G3" s="582" t="s">
        <v>236</v>
      </c>
      <c r="H3" s="611" t="s">
        <v>295</v>
      </c>
      <c r="I3" s="583" t="s">
        <v>296</v>
      </c>
      <c r="J3" s="517" t="s">
        <v>209</v>
      </c>
      <c r="K3" s="516" t="s">
        <v>254</v>
      </c>
      <c r="L3" s="516" t="s">
        <v>287</v>
      </c>
      <c r="M3" s="225" t="s">
        <v>239</v>
      </c>
      <c r="N3" s="579" t="s">
        <v>240</v>
      </c>
      <c r="O3" s="729"/>
      <c r="P3" s="734"/>
      <c r="Q3" s="515" t="s">
        <v>209</v>
      </c>
      <c r="R3" s="515" t="s">
        <v>254</v>
      </c>
      <c r="S3" s="515" t="s">
        <v>287</v>
      </c>
      <c r="T3" s="514">
        <v>46178</v>
      </c>
      <c r="U3" s="514">
        <v>46199</v>
      </c>
      <c r="V3" s="393" t="s">
        <v>191</v>
      </c>
      <c r="W3" s="197" t="s">
        <v>210</v>
      </c>
      <c r="X3" s="152" t="s">
        <v>211</v>
      </c>
    </row>
    <row r="4" spans="1:27" ht="15" x14ac:dyDescent="0.25">
      <c r="A4" s="437">
        <v>60</v>
      </c>
      <c r="B4" s="437" t="s">
        <v>235</v>
      </c>
      <c r="C4" s="437" t="s">
        <v>268</v>
      </c>
      <c r="D4" s="437">
        <v>807769</v>
      </c>
      <c r="E4" s="435" t="s">
        <v>241</v>
      </c>
      <c r="F4" s="524">
        <f>VLOOKUP(D4,'BAJO CERO'!$A$1:$AB$86,28,0)</f>
        <v>177</v>
      </c>
      <c r="G4" s="524">
        <f>VLOOKUP(D4,'VULPES PAPAS'!$A$1:$AB$36,28,0)</f>
        <v>23.9</v>
      </c>
      <c r="H4" s="580">
        <f>SUM(F4:G4)</f>
        <v>200.9</v>
      </c>
      <c r="I4" s="525">
        <f>VLOOKUP(D4,'VULPES PAPAS'!$A:$AB,27,0)</f>
        <v>2</v>
      </c>
      <c r="J4" s="25">
        <f>+H4</f>
        <v>200.9</v>
      </c>
      <c r="K4" s="25">
        <f ca="1">IF((J4-($O4*(NETWORKDAYS(TODAY(),$T$3)/45))+T4)&lt;=0,0,J4-($O4*(NETWORKDAYS(TODAY(),$T$3)/45))+T4)</f>
        <v>300.19</v>
      </c>
      <c r="L4" s="25">
        <f ca="1">IF((K4-($O4*(NETWORKDAYS(TODAY(),$T$3)/45))+U4)&lt;=0,0,K4-($O4*(NETWORKDAYS(TODAY(),$U$3)/45))+U4)</f>
        <v>262.22166666666669</v>
      </c>
      <c r="M4" s="41"/>
      <c r="N4" s="41"/>
      <c r="O4" s="471">
        <f>AVERAGE('VULPES PAPAS'!G2,'VULPES PAPAS'!L2,'VULPES PAPAS'!Q2,'VULPES PAPAS'!V2)</f>
        <v>51.774999999999999</v>
      </c>
      <c r="P4" s="471">
        <f>+O4*1.2</f>
        <v>62.129999999999995</v>
      </c>
      <c r="Q4" s="340">
        <f>+H4/O4</f>
        <v>3.8802510864316759</v>
      </c>
      <c r="R4" s="340">
        <f ca="1">+K4/O4</f>
        <v>5.7979719942056978</v>
      </c>
      <c r="S4" s="340">
        <f ca="1">+L4/O4</f>
        <v>5.0646386608723653</v>
      </c>
      <c r="T4" s="445">
        <v>120</v>
      </c>
      <c r="U4" s="445"/>
      <c r="V4" s="55">
        <v>120</v>
      </c>
      <c r="W4" s="358"/>
      <c r="X4" s="433">
        <f>+W4*V4</f>
        <v>0</v>
      </c>
    </row>
    <row r="5" spans="1:27" ht="15" x14ac:dyDescent="0.25">
      <c r="A5" s="437">
        <v>60</v>
      </c>
      <c r="B5" s="437" t="s">
        <v>235</v>
      </c>
      <c r="C5" s="438" t="s">
        <v>268</v>
      </c>
      <c r="D5" s="438">
        <v>807329</v>
      </c>
      <c r="E5" s="436" t="s">
        <v>242</v>
      </c>
      <c r="F5" s="524">
        <f>VLOOKUP(D5,'BAJO CERO'!$A$1:$AB$86,28,0)</f>
        <v>145</v>
      </c>
      <c r="G5" s="524">
        <f>VLOOKUP(D5,'VULPES PAPAS'!$A$1:$AB$36,28,0)</f>
        <v>61.5</v>
      </c>
      <c r="H5" s="373">
        <f t="shared" ref="H5:H10" si="0">SUM(F5:G5)</f>
        <v>206.5</v>
      </c>
      <c r="I5" s="525">
        <f>VLOOKUP(D5,'VULPES PAPAS'!$A:$AB,27,0)</f>
        <v>0</v>
      </c>
      <c r="J5" s="25">
        <f>+H5</f>
        <v>206.5</v>
      </c>
      <c r="K5" s="25">
        <f ca="1">IF((J5-($O5*(NETWORKDAYS(TODAY(),$T$3)/45))+T5)&lt;=0,0,J5-($O5*(NETWORKDAYS(TODAY(),$T$3)/45))+T5)</f>
        <v>203.45</v>
      </c>
      <c r="L5" s="25">
        <f ca="1">IF((K5-($O5*(NETWORKDAYS(TODAY(),$T$3)/45))+U5)&lt;=0,0,K5-($O5*(NETWORKDAYS(TODAY(),$U$3)/45))+U5)</f>
        <v>197.85833333333332</v>
      </c>
      <c r="M5" s="41"/>
      <c r="N5" s="41"/>
      <c r="O5" s="471">
        <f>AVERAGE('VULPES PAPAS'!G3,'VULPES PAPAS'!L3,'VULPES PAPAS'!Q3,'VULPES PAPAS'!V3)</f>
        <v>7.625</v>
      </c>
      <c r="P5" s="471">
        <f t="shared" ref="P5:P12" si="1">+O5*1.2</f>
        <v>9.15</v>
      </c>
      <c r="Q5" s="340">
        <f>+H5/O5</f>
        <v>27.081967213114755</v>
      </c>
      <c r="R5" s="340">
        <f ca="1">+K5/O5</f>
        <v>26.681967213114753</v>
      </c>
      <c r="S5" s="340">
        <f ca="1">+L5/O5</f>
        <v>25.948633879781418</v>
      </c>
      <c r="T5" s="445"/>
      <c r="U5" s="445"/>
      <c r="V5" s="55">
        <v>120</v>
      </c>
      <c r="W5" s="358"/>
      <c r="X5" s="433">
        <f t="shared" ref="X5:X13" si="2">+W5*V5</f>
        <v>0</v>
      </c>
    </row>
    <row r="6" spans="1:27" ht="15" x14ac:dyDescent="0.25">
      <c r="A6" s="437">
        <v>60</v>
      </c>
      <c r="B6" s="437" t="s">
        <v>235</v>
      </c>
      <c r="C6" s="438" t="s">
        <v>268</v>
      </c>
      <c r="D6" s="438">
        <v>805411</v>
      </c>
      <c r="E6" s="436" t="s">
        <v>243</v>
      </c>
      <c r="F6" s="524">
        <f>VLOOKUP(D6,'BAJO CERO'!$A$1:$AB$86,28,0)</f>
        <v>0</v>
      </c>
      <c r="G6" s="524">
        <f>VLOOKUP(D6,'VULPES PAPAS'!$A$1:$AB$36,28,0)</f>
        <v>34.92</v>
      </c>
      <c r="H6" s="373">
        <f t="shared" si="0"/>
        <v>34.92</v>
      </c>
      <c r="I6" s="525">
        <f>VLOOKUP(D6,'VULPES PAPAS'!$A:$AB,27,0)</f>
        <v>0</v>
      </c>
      <c r="J6" s="25">
        <f>+H6</f>
        <v>34.92</v>
      </c>
      <c r="K6" s="25">
        <f ca="1">IF((J6-($O6*(NETWORKDAYS(TODAY(),$T$3)/45))+T6)&lt;=0,0,J6-($O6*(NETWORKDAYS(TODAY(),$T$3)/45))+T6)</f>
        <v>496.61200000000002</v>
      </c>
      <c r="L6" s="25">
        <f ca="1">IF((K6-($O6*(NETWORKDAYS(TODAY(),$T$3)/45))+U6)&lt;=0,0,K6-($O6*(NETWORKDAYS(TODAY(),$U$3)/45))+U6)</f>
        <v>823.04733333333343</v>
      </c>
      <c r="M6" s="41"/>
      <c r="N6" s="41"/>
      <c r="O6" s="471">
        <f>AVERAGE('VULPES PAPAS'!G4,'VULPES PAPAS'!L4,'VULPES PAPAS'!Q4,'VULPES PAPAS'!V4)</f>
        <v>45.77</v>
      </c>
      <c r="P6" s="471">
        <f t="shared" si="1"/>
        <v>54.923999999999999</v>
      </c>
      <c r="Q6" s="340">
        <f>+H6/O6</f>
        <v>0.76294516058553641</v>
      </c>
      <c r="R6" s="340">
        <f ca="1">+K6/O6</f>
        <v>10.850163862792222</v>
      </c>
      <c r="S6" s="340">
        <f t="shared" ref="S6:S13" ca="1" si="3">+L6/O6</f>
        <v>17.982244556113905</v>
      </c>
      <c r="T6" s="445">
        <v>480</v>
      </c>
      <c r="U6" s="445">
        <v>360</v>
      </c>
      <c r="V6" s="55">
        <v>120</v>
      </c>
      <c r="W6" s="358"/>
      <c r="X6" s="433">
        <f t="shared" si="2"/>
        <v>0</v>
      </c>
    </row>
    <row r="7" spans="1:27" ht="15" x14ac:dyDescent="0.25">
      <c r="A7" s="437">
        <v>60</v>
      </c>
      <c r="B7" s="437" t="s">
        <v>235</v>
      </c>
      <c r="C7" s="438" t="s">
        <v>268</v>
      </c>
      <c r="D7" s="438">
        <v>807679</v>
      </c>
      <c r="E7" s="436" t="s">
        <v>244</v>
      </c>
      <c r="F7" s="524">
        <v>0</v>
      </c>
      <c r="G7" s="524">
        <f>VLOOKUP(D7,'VULPES PAPAS'!$A$1:$AB$36,28,0)</f>
        <v>60.449999999999989</v>
      </c>
      <c r="H7" s="373">
        <f t="shared" si="0"/>
        <v>60.449999999999989</v>
      </c>
      <c r="I7" s="525">
        <f>VLOOKUP(D7,'VULPES PAPAS'!$A:$AB,27,0)</f>
        <v>70</v>
      </c>
      <c r="J7" s="25">
        <f>+H7</f>
        <v>60.449999999999989</v>
      </c>
      <c r="K7" s="25">
        <f t="shared" ref="K7:K10" ca="1" si="4">IF((J7-($O7*(NETWORKDAYS(TODAY(),$T$3)/45))+T7)&lt;=0,0,J7-($O7*(NETWORKDAYS(TODAY(),$T$3)/45))+T7)</f>
        <v>145.01999999999998</v>
      </c>
      <c r="L7" s="25">
        <f ca="1">IF((K7-($O7*(NETWORKDAYS(TODAY(),$T$3)/45))+U7)&lt;=0,0,K7-($O7*(NETWORKDAYS(TODAY(),$U$3)/45))+U7)</f>
        <v>440.065</v>
      </c>
      <c r="M7" s="41"/>
      <c r="N7" s="41"/>
      <c r="O7" s="471">
        <f>AVERAGE('VULPES PAPAS'!G5,'VULPES PAPAS'!L5,'VULPES PAPAS'!Q5,'VULPES PAPAS'!V5)</f>
        <v>88.575000000000003</v>
      </c>
      <c r="P7" s="471">
        <f t="shared" si="1"/>
        <v>106.29</v>
      </c>
      <c r="Q7" s="340">
        <f>+H7/O7</f>
        <v>0.68247248094834867</v>
      </c>
      <c r="R7" s="340">
        <f ca="1">+K7/O7</f>
        <v>1.6372565622353934</v>
      </c>
      <c r="S7" s="340">
        <f t="shared" ca="1" si="3"/>
        <v>4.968275472763195</v>
      </c>
      <c r="T7" s="445">
        <v>120</v>
      </c>
      <c r="U7" s="445">
        <v>360</v>
      </c>
      <c r="V7" s="55">
        <v>120</v>
      </c>
      <c r="W7" s="358"/>
      <c r="X7" s="433">
        <f t="shared" si="2"/>
        <v>0</v>
      </c>
    </row>
    <row r="8" spans="1:27" ht="15" x14ac:dyDescent="0.25">
      <c r="A8" s="562">
        <v>60</v>
      </c>
      <c r="B8" s="562" t="s">
        <v>235</v>
      </c>
      <c r="C8" s="563" t="s">
        <v>277</v>
      </c>
      <c r="D8" s="563">
        <v>260612</v>
      </c>
      <c r="E8" s="564" t="s">
        <v>74</v>
      </c>
      <c r="F8" s="524">
        <v>0</v>
      </c>
      <c r="G8" s="524">
        <f>VLOOKUP(D8,'VULPES PAPAS'!$A$1:$AB$36,28,0)</f>
        <v>0.5</v>
      </c>
      <c r="H8" s="373">
        <f t="shared" si="0"/>
        <v>0.5</v>
      </c>
      <c r="I8" s="525">
        <f>VLOOKUP(D8,'VULPES PAPAS'!$A:$AB,27,0)</f>
        <v>0</v>
      </c>
      <c r="J8" s="25">
        <f>+H8</f>
        <v>0.5</v>
      </c>
      <c r="K8" s="25">
        <f t="shared" ca="1" si="4"/>
        <v>0</v>
      </c>
      <c r="L8" s="25">
        <f ca="1">IF((K8-($O8*(NETWORKDAYS(TODAY(),$T$3)/45))+U8)&lt;=0,0,K8-($O8*(NETWORKDAYS(TODAY(),$U$3)/45))+U8)</f>
        <v>0</v>
      </c>
      <c r="M8" s="41"/>
      <c r="N8" s="41"/>
      <c r="O8" s="471">
        <f>AVERAGE('VULPES PAPAS'!G6,'VULPES PAPAS'!L6,'VULPES PAPAS'!Q6,'VULPES PAPAS'!V6)</f>
        <v>85.125</v>
      </c>
      <c r="P8" s="471">
        <f t="shared" si="1"/>
        <v>102.14999999999999</v>
      </c>
      <c r="Q8" s="340">
        <f>+H8/O8</f>
        <v>5.8737151248164461E-3</v>
      </c>
      <c r="R8" s="340">
        <f ca="1">+K8/O8</f>
        <v>0</v>
      </c>
      <c r="S8" s="340">
        <f t="shared" ca="1" si="3"/>
        <v>0</v>
      </c>
      <c r="T8" s="445"/>
      <c r="U8" s="445"/>
      <c r="V8" s="55">
        <v>120</v>
      </c>
      <c r="W8" s="358"/>
      <c r="X8" s="433">
        <f t="shared" si="2"/>
        <v>0</v>
      </c>
      <c r="AA8" s="468"/>
    </row>
    <row r="9" spans="1:27" ht="15" x14ac:dyDescent="0.25">
      <c r="A9" s="562">
        <v>60</v>
      </c>
      <c r="B9" s="562" t="s">
        <v>235</v>
      </c>
      <c r="C9" s="563" t="s">
        <v>277</v>
      </c>
      <c r="D9" s="563">
        <v>802142</v>
      </c>
      <c r="E9" s="564" t="s">
        <v>92</v>
      </c>
      <c r="F9" s="524">
        <f>VLOOKUP(D9,'BAJO CERO'!$A$1:$AB$86,28,0)</f>
        <v>0</v>
      </c>
      <c r="G9" s="524">
        <f>VLOOKUP(D9,'VULPES PAPAS'!$A$1:$AB$36,28,0)</f>
        <v>0.25</v>
      </c>
      <c r="H9" s="373">
        <f t="shared" si="0"/>
        <v>0.25</v>
      </c>
      <c r="I9" s="525">
        <f>VLOOKUP(D9,'VULPES PAPAS'!$A:$AB,27,0)</f>
        <v>0</v>
      </c>
      <c r="J9" s="25">
        <f t="shared" ref="J9:J13" si="5">+H9</f>
        <v>0.25</v>
      </c>
      <c r="K9" s="25">
        <f t="shared" ca="1" si="4"/>
        <v>0</v>
      </c>
      <c r="L9" s="25">
        <f t="shared" ref="L9:L13" ca="1" si="6">IF((K9-($O9*(NETWORKDAYS(TODAY(),$T$3)/45))+U9)&lt;=0,0,K9-($O9*(NETWORKDAYS(TODAY(),$U$3)/45))+U9)</f>
        <v>0</v>
      </c>
      <c r="M9" s="41"/>
      <c r="N9" s="41"/>
      <c r="O9" s="471">
        <f>AVERAGE('VULPES PAPAS'!G7,'VULPES PAPAS'!L7,'VULPES PAPAS'!Q7,'VULPES PAPAS'!V7)</f>
        <v>46.75</v>
      </c>
      <c r="P9" s="471">
        <f t="shared" si="1"/>
        <v>56.1</v>
      </c>
      <c r="Q9" s="340"/>
      <c r="R9" s="340"/>
      <c r="S9" s="340">
        <f t="shared" ca="1" si="3"/>
        <v>0</v>
      </c>
      <c r="T9" s="445"/>
      <c r="U9" s="445"/>
      <c r="V9" s="55"/>
      <c r="W9" s="358"/>
      <c r="X9" s="433">
        <f t="shared" si="2"/>
        <v>0</v>
      </c>
      <c r="AA9" s="468"/>
    </row>
    <row r="10" spans="1:27" ht="15" x14ac:dyDescent="0.25">
      <c r="A10" s="437">
        <v>60</v>
      </c>
      <c r="B10" s="437" t="s">
        <v>235</v>
      </c>
      <c r="C10" s="438" t="s">
        <v>268</v>
      </c>
      <c r="D10" s="438">
        <v>806982</v>
      </c>
      <c r="E10" s="436" t="s">
        <v>94</v>
      </c>
      <c r="F10" s="524">
        <f>VLOOKUP(D10,'BAJO CERO'!$A$1:$AB$86,28,0)</f>
        <v>173</v>
      </c>
      <c r="G10" s="524">
        <f>VLOOKUP(D10,'VULPES PAPAS'!$A$1:$AB$36,28,0)</f>
        <v>92.67</v>
      </c>
      <c r="H10" s="373">
        <f t="shared" si="0"/>
        <v>265.67</v>
      </c>
      <c r="I10" s="525">
        <f>VLOOKUP(D10,'VULPES PAPAS'!$A:$AB,27,0)</f>
        <v>2</v>
      </c>
      <c r="J10" s="25">
        <f>+H10</f>
        <v>265.67</v>
      </c>
      <c r="K10" s="25">
        <f t="shared" ca="1" si="4"/>
        <v>256.08699999999999</v>
      </c>
      <c r="L10" s="25">
        <f t="shared" ca="1" si="6"/>
        <v>238.51816666666667</v>
      </c>
      <c r="M10" s="41"/>
      <c r="N10" s="41"/>
      <c r="O10" s="471">
        <f>AVERAGE('VULPES PAPAS'!G8,'VULPES PAPAS'!L8,'VULPES PAPAS'!Q8,'VULPES PAPAS'!V8)</f>
        <v>23.9575</v>
      </c>
      <c r="P10" s="471">
        <f t="shared" si="1"/>
        <v>28.748999999999999</v>
      </c>
      <c r="Q10" s="340">
        <f>+H10/O10</f>
        <v>11.0892204946259</v>
      </c>
      <c r="R10" s="340">
        <f>+J10/O10</f>
        <v>11.0892204946259</v>
      </c>
      <c r="S10" s="340">
        <f t="shared" ca="1" si="3"/>
        <v>9.9558871612925675</v>
      </c>
      <c r="T10" s="445"/>
      <c r="U10" s="445"/>
      <c r="V10" s="55">
        <v>108</v>
      </c>
      <c r="W10" s="358"/>
      <c r="X10" s="433">
        <f t="shared" si="2"/>
        <v>0</v>
      </c>
    </row>
    <row r="11" spans="1:27" ht="15" x14ac:dyDescent="0.25">
      <c r="A11" s="562">
        <v>60</v>
      </c>
      <c r="B11" s="562" t="s">
        <v>235</v>
      </c>
      <c r="C11" s="563" t="s">
        <v>277</v>
      </c>
      <c r="D11" s="563">
        <v>806685</v>
      </c>
      <c r="E11" s="564" t="s">
        <v>57</v>
      </c>
      <c r="F11" s="524">
        <f>VLOOKUP(D11,'BAJO CERO'!$A$1:$AB$86,28,0)</f>
        <v>0</v>
      </c>
      <c r="G11" s="524">
        <f>VLOOKUP(D11,'VULPES PAPAS'!$A$1:$AB$36,28,0)</f>
        <v>0.5</v>
      </c>
      <c r="H11" s="373">
        <f t="shared" ref="H11:H12" si="7">+F11+G11</f>
        <v>0.5</v>
      </c>
      <c r="I11" s="525">
        <f>VLOOKUP(D11,'VULPES PAPAS'!$A:$AB,27,0)</f>
        <v>0</v>
      </c>
      <c r="J11" s="25">
        <f t="shared" si="5"/>
        <v>0.5</v>
      </c>
      <c r="K11" s="25">
        <f t="shared" ref="K11:K13" ca="1" si="8">IF((J11-($O11*(NETWORKDAYS(TODAY(),$T$3)/45))+T11)&lt;=0,0,J11-($O11*(NETWORKDAYS(TODAY(),$T$3)/45))+T11)</f>
        <v>9.9999999999999978E-2</v>
      </c>
      <c r="L11" s="25">
        <f t="shared" ca="1" si="6"/>
        <v>0</v>
      </c>
      <c r="M11" s="41"/>
      <c r="N11" s="41"/>
      <c r="O11" s="471">
        <f>+'VULPES PAPAS'!V9</f>
        <v>1</v>
      </c>
      <c r="P11" s="471">
        <f t="shared" si="1"/>
        <v>1.2</v>
      </c>
      <c r="Q11" s="340"/>
      <c r="R11" s="340"/>
      <c r="S11" s="340">
        <f t="shared" ca="1" si="3"/>
        <v>0</v>
      </c>
      <c r="T11" s="445"/>
      <c r="U11" s="445"/>
      <c r="V11" s="55"/>
      <c r="W11" s="358"/>
      <c r="X11" s="433">
        <f t="shared" si="2"/>
        <v>0</v>
      </c>
    </row>
    <row r="12" spans="1:27" ht="15.75" thickBot="1" x14ac:dyDescent="0.3">
      <c r="A12" s="562">
        <v>60</v>
      </c>
      <c r="B12" s="562" t="s">
        <v>235</v>
      </c>
      <c r="C12" s="563" t="s">
        <v>277</v>
      </c>
      <c r="D12" s="563">
        <v>804104</v>
      </c>
      <c r="E12" s="564" t="s">
        <v>69</v>
      </c>
      <c r="F12" s="524">
        <f>VLOOKUP(D12,'BAJO CERO'!$A$1:$AB$86,28,0)</f>
        <v>0</v>
      </c>
      <c r="G12" s="524">
        <f>VLOOKUP(D12,'VULPES PAPAS'!$A$1:$AB$36,28,0)</f>
        <v>0.25</v>
      </c>
      <c r="H12" s="373">
        <f t="shared" si="7"/>
        <v>0.25</v>
      </c>
      <c r="I12" s="525">
        <f>VLOOKUP(D12,'VULPES PAPAS'!$A:$AB,27,0)</f>
        <v>0</v>
      </c>
      <c r="J12" s="25">
        <f t="shared" si="5"/>
        <v>0.25</v>
      </c>
      <c r="K12" s="25">
        <f t="shared" ca="1" si="8"/>
        <v>0</v>
      </c>
      <c r="L12" s="25">
        <f t="shared" ca="1" si="6"/>
        <v>0</v>
      </c>
      <c r="M12" s="41"/>
      <c r="N12" s="41"/>
      <c r="O12" s="471">
        <f>+'VULPES PAPAS'!V10</f>
        <v>2</v>
      </c>
      <c r="P12" s="471">
        <f t="shared" si="1"/>
        <v>2.4</v>
      </c>
      <c r="Q12" s="340"/>
      <c r="R12" s="340"/>
      <c r="S12" s="340">
        <f t="shared" ca="1" si="3"/>
        <v>0</v>
      </c>
      <c r="T12" s="445"/>
      <c r="U12" s="445"/>
      <c r="V12" s="55"/>
      <c r="W12" s="358"/>
      <c r="X12" s="433">
        <f t="shared" si="2"/>
        <v>0</v>
      </c>
    </row>
    <row r="13" spans="1:27" ht="15.75" hidden="1" thickBot="1" x14ac:dyDescent="0.3">
      <c r="B13" s="562" t="s">
        <v>235</v>
      </c>
      <c r="C13" s="563" t="s">
        <v>280</v>
      </c>
      <c r="D13" s="563">
        <v>806694</v>
      </c>
      <c r="E13" s="564" t="s">
        <v>70</v>
      </c>
      <c r="F13" s="372"/>
      <c r="G13" s="372"/>
      <c r="H13" s="373"/>
      <c r="I13" s="43">
        <v>0</v>
      </c>
      <c r="J13" s="25">
        <f t="shared" si="5"/>
        <v>0</v>
      </c>
      <c r="K13" s="25">
        <f t="shared" ca="1" si="8"/>
        <v>0</v>
      </c>
      <c r="L13" s="25">
        <f t="shared" ca="1" si="6"/>
        <v>0</v>
      </c>
      <c r="M13" s="41"/>
      <c r="N13" s="41"/>
      <c r="O13" s="471">
        <f>+'VULPES PAPAS'!V11</f>
        <v>0</v>
      </c>
      <c r="P13" s="471"/>
      <c r="Q13" s="340"/>
      <c r="R13" s="340"/>
      <c r="S13" s="340" t="e">
        <f t="shared" ca="1" si="3"/>
        <v>#DIV/0!</v>
      </c>
      <c r="T13" s="445"/>
      <c r="U13" s="445"/>
      <c r="V13" s="55">
        <v>108</v>
      </c>
      <c r="W13" s="358"/>
      <c r="X13" s="433">
        <f t="shared" si="2"/>
        <v>0</v>
      </c>
    </row>
    <row r="14" spans="1:27" ht="15" hidden="1" x14ac:dyDescent="0.25">
      <c r="B14" s="437"/>
      <c r="C14" s="438"/>
      <c r="D14" s="243"/>
      <c r="E14" s="244"/>
      <c r="F14" s="372" t="e">
        <f>VLOOKUP(D14,'VULPES PAPAS'!$A:$R,18,0)</f>
        <v>#N/A</v>
      </c>
      <c r="G14" s="372"/>
      <c r="H14" s="373"/>
      <c r="I14" s="43"/>
      <c r="J14" s="37"/>
      <c r="K14" s="37"/>
      <c r="L14" s="25">
        <f t="shared" ref="L14:L16" ca="1" si="9">IF((I14-($O14*(NETWORKDAYS(TODAY(),$U$3)/45))+U14)&lt;=0,0,I14-($O14*(NETWORKDAYS(TODAY(),$T$3)/45))+U14)</f>
        <v>0</v>
      </c>
      <c r="M14" s="41"/>
      <c r="N14" s="41"/>
      <c r="O14" s="471">
        <f>+'VULPES PAPAS'!V12</f>
        <v>0</v>
      </c>
      <c r="P14" s="471"/>
      <c r="Q14" s="14"/>
      <c r="R14" s="14"/>
      <c r="S14" s="14"/>
      <c r="T14" s="445"/>
      <c r="U14" s="445"/>
      <c r="V14" s="55"/>
      <c r="W14" s="358"/>
      <c r="X14" s="433"/>
    </row>
    <row r="15" spans="1:27" ht="15" hidden="1" x14ac:dyDescent="0.25">
      <c r="B15" s="437"/>
      <c r="C15" s="438"/>
      <c r="D15" s="243"/>
      <c r="E15" s="244"/>
      <c r="F15" s="372" t="e">
        <f>VLOOKUP(D15,'VULPES PAPAS'!$A:$R,18,0)</f>
        <v>#N/A</v>
      </c>
      <c r="G15" s="372"/>
      <c r="H15" s="373"/>
      <c r="I15" s="43"/>
      <c r="J15" s="42"/>
      <c r="K15" s="42"/>
      <c r="L15" s="25">
        <f t="shared" ca="1" si="9"/>
        <v>0</v>
      </c>
      <c r="M15" s="41"/>
      <c r="N15" s="41"/>
      <c r="O15" s="471">
        <f>+'VULPES PAPAS'!V13</f>
        <v>0</v>
      </c>
      <c r="P15" s="471"/>
      <c r="Q15" s="30"/>
      <c r="R15" s="30"/>
      <c r="S15" s="30"/>
      <c r="T15" s="445"/>
      <c r="U15" s="445"/>
      <c r="V15" s="55"/>
      <c r="W15" s="358"/>
      <c r="X15" s="433"/>
    </row>
    <row r="16" spans="1:27" ht="15.75" hidden="1" thickBot="1" x14ac:dyDescent="0.3">
      <c r="B16" s="437"/>
      <c r="C16" s="438"/>
      <c r="D16" s="243"/>
      <c r="E16" s="244"/>
      <c r="F16" s="372" t="e">
        <f>VLOOKUP(D16,'VULPES PAPAS'!$A:$R,18,0)</f>
        <v>#N/A</v>
      </c>
      <c r="G16" s="372"/>
      <c r="H16" s="373"/>
      <c r="I16" s="43"/>
      <c r="J16" s="42"/>
      <c r="K16" s="42"/>
      <c r="L16" s="25">
        <f t="shared" ca="1" si="9"/>
        <v>0</v>
      </c>
      <c r="M16" s="41"/>
      <c r="N16" s="41"/>
      <c r="O16" s="471">
        <f>+'VULPES PAPAS'!V14</f>
        <v>0</v>
      </c>
      <c r="P16" s="471"/>
      <c r="Q16" s="30"/>
      <c r="R16" s="30"/>
      <c r="S16" s="30"/>
      <c r="T16" s="445"/>
      <c r="U16" s="445"/>
      <c r="V16" s="55"/>
      <c r="W16" s="358"/>
      <c r="X16" s="434"/>
    </row>
    <row r="17" spans="1:26" ht="14.25" thickBot="1" x14ac:dyDescent="0.3">
      <c r="D17" s="704"/>
      <c r="E17" s="705"/>
      <c r="F17" s="457">
        <f>SUM(F4:F12)</f>
        <v>495</v>
      </c>
      <c r="G17" s="374">
        <f>SUM(G4:G16)</f>
        <v>274.94</v>
      </c>
      <c r="H17" s="375">
        <f>SUM(H4:H16)</f>
        <v>769.94</v>
      </c>
      <c r="I17" s="280">
        <f>SUM(I4:I16)</f>
        <v>74</v>
      </c>
      <c r="J17" s="280"/>
      <c r="K17" s="280"/>
      <c r="L17" s="280"/>
      <c r="M17" s="280"/>
      <c r="N17" s="280"/>
      <c r="O17" s="374">
        <f>SUM(O4:O16)</f>
        <v>352.57749999999999</v>
      </c>
      <c r="P17" s="374">
        <f>SUM(P4:P16)</f>
        <v>423.09300000000002</v>
      </c>
      <c r="Q17" s="280"/>
      <c r="R17" s="280"/>
      <c r="S17" s="280"/>
      <c r="T17" s="374">
        <f>SUM(T4:T13)</f>
        <v>720</v>
      </c>
      <c r="U17" s="374">
        <f>SUM(U4:U13)</f>
        <v>720</v>
      </c>
      <c r="V17" s="280">
        <f>SUM(V4:V16)</f>
        <v>816</v>
      </c>
      <c r="W17" s="457">
        <f>SUM(W4:W13)</f>
        <v>0</v>
      </c>
      <c r="X17" s="458">
        <f>SUM(X4:X13)</f>
        <v>0</v>
      </c>
    </row>
    <row r="18" spans="1:26" s="443" customFormat="1" ht="22.5" customHeight="1" x14ac:dyDescent="0.25">
      <c r="D18" s="456"/>
      <c r="E18" s="456"/>
      <c r="F18" s="456"/>
      <c r="G18" s="492"/>
      <c r="H18" s="456"/>
      <c r="I18" s="456"/>
      <c r="J18" s="747" t="s">
        <v>274</v>
      </c>
      <c r="K18" s="747"/>
      <c r="L18" s="747"/>
      <c r="M18" s="456"/>
      <c r="N18" s="456"/>
      <c r="O18" s="730" t="s">
        <v>267</v>
      </c>
      <c r="P18" s="732" t="s">
        <v>299</v>
      </c>
      <c r="Q18" s="739" t="s">
        <v>276</v>
      </c>
      <c r="R18" s="739"/>
      <c r="S18" s="740"/>
      <c r="T18" s="738" t="s">
        <v>190</v>
      </c>
      <c r="U18" s="738"/>
      <c r="V18" s="742" t="s">
        <v>290</v>
      </c>
      <c r="W18" s="742"/>
      <c r="X18" s="742"/>
    </row>
    <row r="19" spans="1:26" s="443" customFormat="1" ht="21" customHeight="1" thickBot="1" x14ac:dyDescent="0.3">
      <c r="D19" s="456"/>
      <c r="E19" s="456"/>
      <c r="F19" s="456"/>
      <c r="G19" s="492"/>
      <c r="H19" s="456"/>
      <c r="I19" s="456"/>
      <c r="J19" s="746"/>
      <c r="K19" s="746"/>
      <c r="L19" s="746"/>
      <c r="M19" s="456"/>
      <c r="N19" s="456"/>
      <c r="O19" s="730"/>
      <c r="P19" s="733"/>
      <c r="Q19" s="735"/>
      <c r="R19" s="735"/>
      <c r="S19" s="741"/>
      <c r="T19" s="442" t="s">
        <v>286</v>
      </c>
      <c r="U19" s="518"/>
      <c r="V19" s="736"/>
      <c r="W19" s="736"/>
      <c r="X19" s="736"/>
    </row>
    <row r="20" spans="1:26" ht="43.5" customHeight="1" thickBot="1" x14ac:dyDescent="0.3">
      <c r="A20" s="571" t="s">
        <v>289</v>
      </c>
      <c r="B20" s="545" t="s">
        <v>284</v>
      </c>
      <c r="C20" s="549" t="s">
        <v>272</v>
      </c>
      <c r="D20" s="550" t="s">
        <v>52</v>
      </c>
      <c r="E20" s="548" t="s">
        <v>53</v>
      </c>
      <c r="F20" s="547" t="s">
        <v>237</v>
      </c>
      <c r="G20" s="454" t="s">
        <v>236</v>
      </c>
      <c r="H20" s="611" t="s">
        <v>295</v>
      </c>
      <c r="I20" s="455" t="s">
        <v>296</v>
      </c>
      <c r="J20" s="519" t="s">
        <v>209</v>
      </c>
      <c r="K20" s="520" t="s">
        <v>279</v>
      </c>
      <c r="L20" s="521"/>
      <c r="M20" s="522" t="s">
        <v>239</v>
      </c>
      <c r="N20" s="526" t="s">
        <v>240</v>
      </c>
      <c r="O20" s="731"/>
      <c r="P20" s="734"/>
      <c r="Q20" s="527" t="s">
        <v>209</v>
      </c>
      <c r="R20" s="523" t="s">
        <v>279</v>
      </c>
      <c r="S20" s="523"/>
      <c r="T20" s="561">
        <v>46188</v>
      </c>
      <c r="U20" s="496"/>
      <c r="V20" s="529" t="s">
        <v>191</v>
      </c>
      <c r="W20" s="197" t="s">
        <v>210</v>
      </c>
      <c r="X20" s="152" t="s">
        <v>211</v>
      </c>
    </row>
    <row r="21" spans="1:26" ht="15" x14ac:dyDescent="0.25">
      <c r="A21" s="255">
        <v>60</v>
      </c>
      <c r="B21" s="255" t="s">
        <v>281</v>
      </c>
      <c r="C21" s="255" t="s">
        <v>268</v>
      </c>
      <c r="D21" s="255">
        <v>102341</v>
      </c>
      <c r="E21" s="256" t="s">
        <v>59</v>
      </c>
      <c r="F21" s="524">
        <f>VLOOKUP(D21,'BAJO CERO'!$A$1:$AB$86,28,0)</f>
        <v>385</v>
      </c>
      <c r="G21" s="524">
        <f>VLOOKUP(D21,'VULPES PAPAS'!$A$1:$AB$36,28,0)</f>
        <v>49</v>
      </c>
      <c r="H21" s="491">
        <f t="shared" ref="H21:H30" si="10">SUM(F21:G21)</f>
        <v>434</v>
      </c>
      <c r="I21" s="525">
        <f>VLOOKUP(D21,'VULPES PAPAS'!$A:$AB,27,0)</f>
        <v>25</v>
      </c>
      <c r="J21" s="25">
        <f>+H21</f>
        <v>434</v>
      </c>
      <c r="K21" s="25">
        <f t="shared" ref="K21:K26" ca="1" si="11">IF((J21-($O21*(NETWORKDAYS(TODAY(),$T$20)/45))+T21)&lt;=0,0,J21-($O21*(NETWORKDAYS(TODAY(),$T$20)/45))+T21)</f>
        <v>715.76666666666665</v>
      </c>
      <c r="L21" s="25"/>
      <c r="M21" s="41"/>
      <c r="N21" s="41"/>
      <c r="O21" s="528">
        <f>AVERAGE('VULPES PAPAS'!G21,'VULPES PAPAS'!L21,'VULPES PAPAS'!Q21,'VULPES PAPAS'!V21)</f>
        <v>371.6875</v>
      </c>
      <c r="P21" s="471">
        <f t="shared" ref="P21:P31" si="12">+O21*1.2</f>
        <v>446.02499999999998</v>
      </c>
      <c r="Q21" s="340">
        <f>+J21/O21</f>
        <v>1.1676475533882631</v>
      </c>
      <c r="R21" s="340">
        <f ca="1">+K21/O21</f>
        <v>1.9257216523737459</v>
      </c>
      <c r="S21" s="444"/>
      <c r="T21" s="444">
        <v>480</v>
      </c>
      <c r="U21" s="445"/>
      <c r="V21" s="55">
        <v>120</v>
      </c>
      <c r="W21" s="140"/>
      <c r="X21" s="36">
        <f>+W21*V21</f>
        <v>0</v>
      </c>
      <c r="Y21" s="220"/>
      <c r="Z21" s="220"/>
    </row>
    <row r="22" spans="1:26" ht="15" x14ac:dyDescent="0.25">
      <c r="A22" s="255">
        <v>60</v>
      </c>
      <c r="B22" s="255" t="s">
        <v>281</v>
      </c>
      <c r="C22" s="255" t="s">
        <v>268</v>
      </c>
      <c r="D22" s="255">
        <v>102310</v>
      </c>
      <c r="E22" s="256" t="s">
        <v>60</v>
      </c>
      <c r="F22" s="524">
        <f>VLOOKUP(D22,'BAJO CERO'!$A$1:$AB$86,28,0)</f>
        <v>273</v>
      </c>
      <c r="G22" s="524">
        <f>VLOOKUP(D22,'VULPES PAPAS'!$A$1:$AB$36,28,0)</f>
        <v>66.7</v>
      </c>
      <c r="H22" s="491">
        <f t="shared" si="10"/>
        <v>339.7</v>
      </c>
      <c r="I22" s="525">
        <f>VLOOKUP(D22,'VULPES PAPAS'!$A:$AB,27,0)</f>
        <v>16</v>
      </c>
      <c r="J22" s="25">
        <f>+H22</f>
        <v>339.7</v>
      </c>
      <c r="K22" s="25">
        <f t="shared" ca="1" si="11"/>
        <v>325.62666666666667</v>
      </c>
      <c r="L22" s="25"/>
      <c r="M22" s="41"/>
      <c r="N22" s="41"/>
      <c r="O22" s="471">
        <f>AVERAGE('VULPES PAPAS'!G22,'VULPES PAPAS'!L22,'VULPES PAPAS'!Q22,'VULPES PAPAS'!V22)</f>
        <v>26.387499999999999</v>
      </c>
      <c r="P22" s="471">
        <f t="shared" si="12"/>
        <v>31.664999999999999</v>
      </c>
      <c r="Q22" s="340">
        <f t="shared" ref="Q22:Q28" si="13">+H22/O22</f>
        <v>12.873519658929418</v>
      </c>
      <c r="R22" s="340">
        <f t="shared" ref="R22:R31" ca="1" si="14">+K22/O22</f>
        <v>12.340186325596084</v>
      </c>
      <c r="S22" s="444"/>
      <c r="T22" s="444"/>
      <c r="U22" s="445"/>
      <c r="V22" s="55">
        <v>108</v>
      </c>
      <c r="W22" s="140"/>
      <c r="X22" s="36">
        <f t="shared" ref="X22:X27" si="15">+W22*V22</f>
        <v>0</v>
      </c>
      <c r="Y22" s="220"/>
      <c r="Z22" s="220"/>
    </row>
    <row r="23" spans="1:26" ht="15" x14ac:dyDescent="0.25">
      <c r="A23" s="255">
        <v>60</v>
      </c>
      <c r="B23" s="255" t="s">
        <v>281</v>
      </c>
      <c r="C23" s="255" t="s">
        <v>268</v>
      </c>
      <c r="D23" s="255">
        <v>102211</v>
      </c>
      <c r="E23" s="256" t="s">
        <v>61</v>
      </c>
      <c r="F23" s="524">
        <f>VLOOKUP(D23,'BAJO CERO'!$A$1:$AB$86,28,0)</f>
        <v>139</v>
      </c>
      <c r="G23" s="524">
        <f>VLOOKUP(D23,'VULPES PAPAS'!$A$1:$AB$36,28,0)</f>
        <v>40</v>
      </c>
      <c r="H23" s="491">
        <f t="shared" si="10"/>
        <v>179</v>
      </c>
      <c r="I23" s="525">
        <f>VLOOKUP(D23,'VULPES PAPAS'!$A:$AB,27,0)</f>
        <v>64</v>
      </c>
      <c r="J23" s="25">
        <f t="shared" ref="J23:J31" si="16">+H23</f>
        <v>179</v>
      </c>
      <c r="K23" s="25">
        <f t="shared" ca="1" si="11"/>
        <v>251.16666666666666</v>
      </c>
      <c r="L23" s="25"/>
      <c r="M23" s="41"/>
      <c r="N23" s="41"/>
      <c r="O23" s="471">
        <f>AVERAGE('VULPES PAPAS'!G23,'VULPES PAPAS'!L23,'VULPES PAPAS'!Q23,'VULPES PAPAS'!V23)</f>
        <v>100.9375</v>
      </c>
      <c r="P23" s="471">
        <f t="shared" si="12"/>
        <v>121.125</v>
      </c>
      <c r="Q23" s="340">
        <f t="shared" si="13"/>
        <v>1.7733746130030961</v>
      </c>
      <c r="R23" s="340">
        <f t="shared" ca="1" si="14"/>
        <v>2.4883384932920536</v>
      </c>
      <c r="S23" s="444"/>
      <c r="T23" s="444">
        <v>126</v>
      </c>
      <c r="U23" s="445"/>
      <c r="V23" s="55">
        <v>108</v>
      </c>
      <c r="W23" s="140"/>
      <c r="X23" s="36">
        <f t="shared" si="15"/>
        <v>0</v>
      </c>
      <c r="Y23" s="220"/>
      <c r="Z23" s="220"/>
    </row>
    <row r="24" spans="1:26" ht="15" x14ac:dyDescent="0.25">
      <c r="A24" s="255">
        <v>60</v>
      </c>
      <c r="B24" s="255" t="s">
        <v>281</v>
      </c>
      <c r="C24" s="255" t="s">
        <v>268</v>
      </c>
      <c r="D24" s="255">
        <v>104215</v>
      </c>
      <c r="E24" s="256" t="s">
        <v>62</v>
      </c>
      <c r="F24" s="524">
        <f>VLOOKUP(D24,'BAJO CERO'!$A$1:$AB$86,28,0)</f>
        <v>279</v>
      </c>
      <c r="G24" s="524">
        <f>VLOOKUP(D24,'VULPES PAPAS'!$A$1:$AB$36,28,0)</f>
        <v>68.75</v>
      </c>
      <c r="H24" s="491">
        <f t="shared" si="10"/>
        <v>347.75</v>
      </c>
      <c r="I24" s="525">
        <f>VLOOKUP(D24,'VULPES PAPAS'!$A:$AB,27,0)</f>
        <v>25</v>
      </c>
      <c r="J24" s="25">
        <f t="shared" si="16"/>
        <v>347.75</v>
      </c>
      <c r="K24" s="25">
        <f t="shared" ca="1" si="11"/>
        <v>293.01666666666665</v>
      </c>
      <c r="L24" s="25"/>
      <c r="M24" s="41"/>
      <c r="N24" s="41"/>
      <c r="O24" s="471">
        <f>AVERAGE('VULPES PAPAS'!G24,'VULPES PAPAS'!L24,'VULPES PAPAS'!Q24,'VULPES PAPAS'!V24)</f>
        <v>102.625</v>
      </c>
      <c r="P24" s="471">
        <f t="shared" si="12"/>
        <v>123.14999999999999</v>
      </c>
      <c r="Q24" s="340">
        <f t="shared" si="13"/>
        <v>3.3885505481120584</v>
      </c>
      <c r="R24" s="340">
        <f t="shared" ca="1" si="14"/>
        <v>2.8552172147787251</v>
      </c>
      <c r="S24" s="444"/>
      <c r="T24" s="444">
        <v>0</v>
      </c>
      <c r="U24" s="445"/>
      <c r="V24" s="55">
        <v>108</v>
      </c>
      <c r="W24" s="140"/>
      <c r="X24" s="36">
        <f t="shared" si="15"/>
        <v>0</v>
      </c>
      <c r="Y24" s="220"/>
      <c r="Z24" s="220"/>
    </row>
    <row r="25" spans="1:26" ht="15" x14ac:dyDescent="0.25">
      <c r="A25" s="255">
        <v>60</v>
      </c>
      <c r="B25" s="255" t="s">
        <v>281</v>
      </c>
      <c r="C25" s="255" t="s">
        <v>268</v>
      </c>
      <c r="D25" s="255">
        <v>114054</v>
      </c>
      <c r="E25" s="256" t="s">
        <v>63</v>
      </c>
      <c r="F25" s="524">
        <f>VLOOKUP(D25,'BAJO CERO'!$A$1:$AB$86,28,0)</f>
        <v>128</v>
      </c>
      <c r="G25" s="524">
        <f>VLOOKUP(D25,'VULPES PAPAS'!$A$1:$AB$36,28,0)</f>
        <v>21.450000000000003</v>
      </c>
      <c r="H25" s="491">
        <f t="shared" si="10"/>
        <v>149.44999999999999</v>
      </c>
      <c r="I25" s="525">
        <f>VLOOKUP(D25,'VULPES PAPAS'!$A:$AB,27,0)</f>
        <v>39</v>
      </c>
      <c r="J25" s="25">
        <f t="shared" si="16"/>
        <v>149.44999999999999</v>
      </c>
      <c r="K25" s="25">
        <f t="shared" ca="1" si="11"/>
        <v>326.24333333333334</v>
      </c>
      <c r="L25" s="25"/>
      <c r="M25" s="41"/>
      <c r="N25" s="41"/>
      <c r="O25" s="471">
        <f>AVERAGE('VULPES PAPAS'!G25,'VULPES PAPAS'!L25,'VULPES PAPAS'!Q25,'VULPES PAPAS'!V25)</f>
        <v>73.512500000000003</v>
      </c>
      <c r="P25" s="471">
        <f t="shared" si="12"/>
        <v>88.215000000000003</v>
      </c>
      <c r="Q25" s="340">
        <f t="shared" si="13"/>
        <v>2.0329875871450431</v>
      </c>
      <c r="R25" s="340">
        <f t="shared" ca="1" si="14"/>
        <v>4.4379300572464997</v>
      </c>
      <c r="S25" s="444"/>
      <c r="T25" s="444">
        <v>216</v>
      </c>
      <c r="U25" s="445"/>
      <c r="V25" s="55">
        <v>120</v>
      </c>
      <c r="W25" s="140"/>
      <c r="X25" s="36">
        <f t="shared" si="15"/>
        <v>0</v>
      </c>
      <c r="Y25" s="220"/>
      <c r="Z25" s="220"/>
    </row>
    <row r="26" spans="1:26" ht="15" x14ac:dyDescent="0.25">
      <c r="A26" s="255">
        <v>60</v>
      </c>
      <c r="B26" s="255" t="s">
        <v>281</v>
      </c>
      <c r="C26" s="255" t="s">
        <v>268</v>
      </c>
      <c r="D26" s="255">
        <v>102419</v>
      </c>
      <c r="E26" s="256" t="s">
        <v>64</v>
      </c>
      <c r="F26" s="524">
        <f>VLOOKUP(D26,'BAJO CERO'!$A$1:$AB$86,28,0)</f>
        <v>226</v>
      </c>
      <c r="G26" s="524">
        <f>VLOOKUP(D26,'VULPES PAPAS'!$A$1:$AB$36,28,0)</f>
        <v>28.25</v>
      </c>
      <c r="H26" s="491">
        <f t="shared" si="10"/>
        <v>254.25</v>
      </c>
      <c r="I26" s="525">
        <f>VLOOKUP(D26,'VULPES PAPAS'!$A:$AB,27,0)</f>
        <v>38</v>
      </c>
      <c r="J26" s="25">
        <f t="shared" si="16"/>
        <v>254.25</v>
      </c>
      <c r="K26" s="25">
        <f t="shared" ca="1" si="11"/>
        <v>330.81666666666666</v>
      </c>
      <c r="L26" s="25"/>
      <c r="M26" s="41"/>
      <c r="N26" s="41"/>
      <c r="O26" s="471">
        <f>AVERAGE('VULPES PAPAS'!G26,'VULPES PAPAS'!L26,'VULPES PAPAS'!Q26,'VULPES PAPAS'!V26)</f>
        <v>58.9375</v>
      </c>
      <c r="P26" s="471">
        <f t="shared" si="12"/>
        <v>70.724999999999994</v>
      </c>
      <c r="Q26" s="340">
        <f t="shared" si="13"/>
        <v>4.3138918345705193</v>
      </c>
      <c r="R26" s="340">
        <f t="shared" ca="1" si="14"/>
        <v>5.6130081300813011</v>
      </c>
      <c r="S26" s="444"/>
      <c r="T26" s="444">
        <v>108</v>
      </c>
      <c r="U26" s="445"/>
      <c r="V26" s="55">
        <v>108</v>
      </c>
      <c r="W26" s="140"/>
      <c r="X26" s="36">
        <f t="shared" si="15"/>
        <v>0</v>
      </c>
      <c r="Y26" s="220"/>
      <c r="Z26" s="220"/>
    </row>
    <row r="27" spans="1:26" ht="15" x14ac:dyDescent="0.25">
      <c r="A27" s="255">
        <v>60</v>
      </c>
      <c r="B27" s="255" t="s">
        <v>281</v>
      </c>
      <c r="C27" s="255" t="s">
        <v>268</v>
      </c>
      <c r="D27" s="255">
        <v>102013</v>
      </c>
      <c r="E27" s="256" t="s">
        <v>58</v>
      </c>
      <c r="F27" s="524">
        <f>+'BAJO CERO'!AB20</f>
        <v>158</v>
      </c>
      <c r="G27" s="524">
        <f>VLOOKUP(D27,'VULPES PAPAS'!$A$1:$AB$36,28,0)</f>
        <v>69.230000000000018</v>
      </c>
      <c r="H27" s="491">
        <f t="shared" si="10"/>
        <v>227.23000000000002</v>
      </c>
      <c r="I27" s="525">
        <f>VLOOKUP(D27,'VULPES PAPAS'!$A:$AB,27,0)</f>
        <v>38</v>
      </c>
      <c r="J27" s="25">
        <f t="shared" si="16"/>
        <v>227.23000000000002</v>
      </c>
      <c r="K27" s="25">
        <f t="shared" ref="K27:K30" ca="1" si="17">IF((J27-($O27*(NETWORKDAYS(TODAY(),$T$20)/45))+T27)&lt;=0,0,J27-($O27*(NETWORKDAYS(TODAY(),$T$20)/45))+T27)</f>
        <v>371.16066666666666</v>
      </c>
      <c r="L27" s="25"/>
      <c r="M27" s="41"/>
      <c r="N27" s="41"/>
      <c r="O27" s="471">
        <f>AVERAGE('VULPES PAPAS'!G27,'VULPES PAPAS'!L27,'VULPES PAPAS'!Q27,'VULPES PAPAS'!V27)</f>
        <v>202.63</v>
      </c>
      <c r="P27" s="471">
        <f t="shared" si="12"/>
        <v>243.15599999999998</v>
      </c>
      <c r="Q27" s="340">
        <f t="shared" si="13"/>
        <v>1.1214035434042344</v>
      </c>
      <c r="R27" s="340">
        <f t="shared" ca="1" si="14"/>
        <v>1.8317162644557403</v>
      </c>
      <c r="S27" s="444"/>
      <c r="T27" s="444">
        <v>252</v>
      </c>
      <c r="U27" s="445"/>
      <c r="V27" s="55">
        <v>108</v>
      </c>
      <c r="W27" s="140"/>
      <c r="X27" s="36">
        <f t="shared" si="15"/>
        <v>0</v>
      </c>
    </row>
    <row r="28" spans="1:26" ht="15" hidden="1" x14ac:dyDescent="0.25">
      <c r="A28" s="255">
        <v>60</v>
      </c>
      <c r="B28" s="255" t="s">
        <v>281</v>
      </c>
      <c r="C28" s="243"/>
      <c r="D28" s="243" t="s">
        <v>245</v>
      </c>
      <c r="E28" s="244" t="s">
        <v>246</v>
      </c>
      <c r="F28" s="524" t="e">
        <f>VLOOKUP(D28,'BAJO CERO'!$A$1:$AB$86,28,0)</f>
        <v>#N/A</v>
      </c>
      <c r="G28" s="524">
        <f>VLOOKUP(D28,'VULPES PAPAS'!$A$1:$AB$36,28,0)</f>
        <v>0</v>
      </c>
      <c r="H28" s="491" t="e">
        <f t="shared" si="10"/>
        <v>#N/A</v>
      </c>
      <c r="I28" s="525">
        <f>VLOOKUP(D28,'VULPES PAPAS'!$A:$AB,27,0)</f>
        <v>0</v>
      </c>
      <c r="J28" s="25" t="e">
        <f t="shared" si="16"/>
        <v>#N/A</v>
      </c>
      <c r="K28" s="25" t="e">
        <f t="shared" ca="1" si="17"/>
        <v>#N/A</v>
      </c>
      <c r="L28" s="25"/>
      <c r="M28" s="41"/>
      <c r="N28" s="41"/>
      <c r="O28" s="471"/>
      <c r="P28" s="471">
        <f t="shared" si="12"/>
        <v>0</v>
      </c>
      <c r="Q28" s="340" t="e">
        <f t="shared" si="13"/>
        <v>#N/A</v>
      </c>
      <c r="R28" s="340" t="e">
        <f t="shared" ca="1" si="14"/>
        <v>#N/A</v>
      </c>
      <c r="S28" s="444"/>
      <c r="T28" s="444">
        <v>0</v>
      </c>
      <c r="V28" s="55">
        <v>108</v>
      </c>
      <c r="W28" s="38"/>
      <c r="X28" s="36"/>
    </row>
    <row r="29" spans="1:26" ht="15" hidden="1" x14ac:dyDescent="0.25">
      <c r="A29" s="255">
        <v>60</v>
      </c>
      <c r="B29" s="255" t="s">
        <v>281</v>
      </c>
      <c r="C29" s="255"/>
      <c r="D29" s="255" t="s">
        <v>247</v>
      </c>
      <c r="E29" s="256" t="s">
        <v>248</v>
      </c>
      <c r="F29" s="524" t="e">
        <f>VLOOKUP(D29,'BAJO CERO'!$A$1:$AB$86,28,0)</f>
        <v>#N/A</v>
      </c>
      <c r="G29" s="524">
        <f>VLOOKUP(D29,'VULPES PAPAS'!$A$1:$AB$36,28,0)</f>
        <v>0</v>
      </c>
      <c r="H29" s="491" t="e">
        <f t="shared" si="10"/>
        <v>#N/A</v>
      </c>
      <c r="I29" s="525">
        <f>VLOOKUP(D29,'VULPES PAPAS'!$A:$AB,27,0)</f>
        <v>0</v>
      </c>
      <c r="J29" s="25" t="e">
        <f t="shared" si="16"/>
        <v>#N/A</v>
      </c>
      <c r="K29" s="25" t="e">
        <f t="shared" ca="1" si="17"/>
        <v>#N/A</v>
      </c>
      <c r="L29" s="25"/>
      <c r="M29" s="41"/>
      <c r="N29" s="41"/>
      <c r="O29" s="471"/>
      <c r="P29" s="471">
        <f t="shared" si="12"/>
        <v>0</v>
      </c>
      <c r="Q29" s="340"/>
      <c r="R29" s="340" t="e">
        <f t="shared" ca="1" si="14"/>
        <v>#N/A</v>
      </c>
      <c r="S29" s="444"/>
      <c r="T29" s="444"/>
      <c r="V29" s="55"/>
      <c r="W29" s="38"/>
      <c r="X29" s="36"/>
    </row>
    <row r="30" spans="1:26" ht="15" x14ac:dyDescent="0.25">
      <c r="A30" s="255">
        <v>60</v>
      </c>
      <c r="B30" s="255" t="s">
        <v>281</v>
      </c>
      <c r="C30" s="255" t="s">
        <v>231</v>
      </c>
      <c r="D30" s="255" t="s">
        <v>249</v>
      </c>
      <c r="E30" s="256" t="s">
        <v>266</v>
      </c>
      <c r="F30" s="524"/>
      <c r="G30" s="524">
        <f>VLOOKUP(D30,'VULPES PAPAS'!$A$1:$AB$36,28,0)</f>
        <v>0</v>
      </c>
      <c r="H30" s="491">
        <f t="shared" si="10"/>
        <v>0</v>
      </c>
      <c r="I30" s="525">
        <f>VLOOKUP(D30,'VULPES PAPAS'!$A:$AB,27,0)</f>
        <v>3</v>
      </c>
      <c r="J30" s="25">
        <f t="shared" si="16"/>
        <v>0</v>
      </c>
      <c r="K30" s="25">
        <f t="shared" ca="1" si="17"/>
        <v>0</v>
      </c>
      <c r="L30" s="25"/>
      <c r="M30" s="41"/>
      <c r="N30" s="41"/>
      <c r="O30" s="471">
        <f>AVERAGE('VULPES PAPAS'!L14,'VULPES PAPAS'!Q14,'VULPES PAPAS'!V14)</f>
        <v>25</v>
      </c>
      <c r="P30" s="471">
        <f t="shared" si="12"/>
        <v>30</v>
      </c>
      <c r="Q30" s="340">
        <f>+H30/O30</f>
        <v>0</v>
      </c>
      <c r="R30" s="340">
        <f t="shared" ca="1" si="14"/>
        <v>0</v>
      </c>
      <c r="S30" s="444"/>
      <c r="T30" s="444"/>
      <c r="U30" s="445"/>
      <c r="V30" s="55"/>
      <c r="W30" s="38"/>
      <c r="X30" s="36"/>
    </row>
    <row r="31" spans="1:26" ht="15.75" thickBot="1" x14ac:dyDescent="0.3">
      <c r="A31" s="257">
        <v>60</v>
      </c>
      <c r="B31" s="257" t="s">
        <v>281</v>
      </c>
      <c r="C31" s="257" t="s">
        <v>231</v>
      </c>
      <c r="D31" s="257" t="s">
        <v>251</v>
      </c>
      <c r="E31" s="258" t="s">
        <v>265</v>
      </c>
      <c r="F31" s="524"/>
      <c r="G31" s="524">
        <f>VLOOKUP(D31,'VULPES PAPAS'!$A$1:$AB$36,28,0)</f>
        <v>0.60999999999999943</v>
      </c>
      <c r="H31" s="491">
        <f>SUM(F31:G31)</f>
        <v>0.60999999999999943</v>
      </c>
      <c r="I31" s="525">
        <f>VLOOKUP(D31,'VULPES PAPAS'!$A:$AB,27,0)</f>
        <v>11</v>
      </c>
      <c r="J31" s="25">
        <f t="shared" si="16"/>
        <v>0.60999999999999943</v>
      </c>
      <c r="K31" s="25">
        <f ca="1">IF((H31-($O31*(NETWORKDAYS(TODAY(),$T$20)/45))+T31)&lt;=0,0,H31-($O31*(NETWORKDAYS(TODAY(),$T$20)/45))+T31)</f>
        <v>0</v>
      </c>
      <c r="L31" s="25"/>
      <c r="M31" s="41"/>
      <c r="N31" s="41"/>
      <c r="O31" s="471">
        <f>AVERAGE('VULPES PAPAS'!Q16,'VULPES PAPAS'!V16)</f>
        <v>44.164999999999999</v>
      </c>
      <c r="P31" s="471">
        <f t="shared" si="12"/>
        <v>52.997999999999998</v>
      </c>
      <c r="Q31" s="340">
        <f>+H31/O31</f>
        <v>1.3811841956300225E-2</v>
      </c>
      <c r="R31" s="340">
        <f t="shared" ca="1" si="14"/>
        <v>0</v>
      </c>
      <c r="S31" s="444"/>
      <c r="T31" s="444">
        <v>0</v>
      </c>
      <c r="U31" s="445"/>
      <c r="V31" s="55">
        <v>108</v>
      </c>
      <c r="W31" s="38"/>
      <c r="X31" s="36"/>
    </row>
    <row r="32" spans="1:26" s="32" customFormat="1" ht="14.25" thickBot="1" x14ac:dyDescent="0.3">
      <c r="A32" s="255"/>
      <c r="B32" s="255"/>
      <c r="C32" s="255"/>
      <c r="D32" s="743"/>
      <c r="E32" s="743"/>
      <c r="F32" s="376">
        <f>+F21+F22+F23+F24+F25+F26+F27+F30+F31</f>
        <v>1588</v>
      </c>
      <c r="G32" s="377">
        <f>SUM(G21:G31)</f>
        <v>343.99</v>
      </c>
      <c r="H32" s="377">
        <f>+H21+H22+H23+H24+H25+H26+H27+H30+H31</f>
        <v>1931.99</v>
      </c>
      <c r="I32" s="281">
        <f>SUM(I21:I31)</f>
        <v>259</v>
      </c>
      <c r="J32" s="282"/>
      <c r="K32" s="282"/>
      <c r="L32" s="282"/>
      <c r="M32" s="283"/>
      <c r="N32" s="283"/>
      <c r="O32" s="376">
        <f>SUM(O21:O28)</f>
        <v>936.71750000000009</v>
      </c>
      <c r="P32" s="376">
        <f>SUM(P21:P28)</f>
        <v>1124.0610000000001</v>
      </c>
      <c r="Q32" s="283"/>
      <c r="R32" s="283"/>
      <c r="S32" s="283"/>
      <c r="T32" s="376">
        <f>SUM(T21:T31)</f>
        <v>1182</v>
      </c>
      <c r="U32" s="376"/>
      <c r="V32" s="283">
        <f>SUM(V21:V31)</f>
        <v>996</v>
      </c>
      <c r="W32" s="284">
        <f>SUM(W21:W27)</f>
        <v>0</v>
      </c>
      <c r="X32" s="284">
        <f>SUM(X21:X27)</f>
        <v>0</v>
      </c>
    </row>
    <row r="33" spans="1:24" customFormat="1" ht="15.75" thickBot="1" x14ac:dyDescent="0.3">
      <c r="O33" s="328"/>
      <c r="P33" s="328"/>
    </row>
    <row r="34" spans="1:24" s="447" customFormat="1" ht="24" customHeight="1" thickBot="1" x14ac:dyDescent="0.25">
      <c r="A34" s="572" t="s">
        <v>289</v>
      </c>
      <c r="B34" s="573" t="s">
        <v>285</v>
      </c>
      <c r="C34" s="574" t="s">
        <v>272</v>
      </c>
      <c r="D34" s="575" t="s">
        <v>52</v>
      </c>
      <c r="E34" s="576" t="s">
        <v>53</v>
      </c>
      <c r="F34" s="546" t="s">
        <v>237</v>
      </c>
      <c r="G34" s="451" t="s">
        <v>236</v>
      </c>
      <c r="H34" s="446" t="s">
        <v>238</v>
      </c>
      <c r="I34" s="448" t="s">
        <v>296</v>
      </c>
      <c r="O34" s="472"/>
      <c r="P34" s="472"/>
    </row>
    <row r="35" spans="1:24" ht="15.75" thickBot="1" x14ac:dyDescent="0.3">
      <c r="A35" s="287">
        <v>60</v>
      </c>
      <c r="B35" s="287" t="s">
        <v>283</v>
      </c>
      <c r="C35" s="287" t="s">
        <v>268</v>
      </c>
      <c r="D35" s="596">
        <v>505015</v>
      </c>
      <c r="E35" s="597" t="s">
        <v>95</v>
      </c>
      <c r="F35" s="524">
        <f>VLOOKUP(D35,'BAJO CERO'!$A$1:$AB$86,28,0)-650</f>
        <v>2193.16</v>
      </c>
      <c r="G35" s="524">
        <f>VLOOKUP(D35,'VULPES PAPAS'!$A$1:$AB$36,28,0)-650</f>
        <v>117.30999999999995</v>
      </c>
      <c r="H35" s="598">
        <f>+F35+G35</f>
        <v>2310.4699999999998</v>
      </c>
      <c r="I35" s="525">
        <f>VLOOKUP(D35,'VULPES PAPAS'!$A:$AB,27,0)</f>
        <v>580</v>
      </c>
      <c r="J35" s="25">
        <f>+H35</f>
        <v>2310.4699999999998</v>
      </c>
      <c r="K35" s="25">
        <f ca="1">IF((J35-($O35*(NETWORKDAYS(TODAY(),$T$20)/45))+T35)&lt;=0,0,J35-($O35*(NETWORKDAYS(TODAY(),$T$20)/45))+T35)</f>
        <v>1982.2006666666664</v>
      </c>
      <c r="L35" s="25"/>
      <c r="M35" s="41"/>
      <c r="N35" s="41"/>
      <c r="O35" s="471">
        <f>AVERAGE('VULPES PAPAS'!G33,'VULPES PAPAS'!L33,'VULPES PAPAS'!Q33,'VULPES PAPAS'!V33)</f>
        <v>615.505</v>
      </c>
      <c r="P35" s="471">
        <f t="shared" ref="P35" si="18">+O35*1.2</f>
        <v>738.60599999999999</v>
      </c>
      <c r="Q35" s="340">
        <f t="shared" ref="Q35" si="19">+H35/O35</f>
        <v>3.7537794169015681</v>
      </c>
      <c r="R35" s="340">
        <f t="shared" ref="R35" ca="1" si="20">+K35/O35</f>
        <v>3.2204460835682349</v>
      </c>
      <c r="S35" s="444"/>
      <c r="T35" s="444"/>
      <c r="U35" s="445"/>
      <c r="V35" s="55">
        <v>108</v>
      </c>
      <c r="W35" s="140"/>
      <c r="X35" s="36">
        <f t="shared" ref="X35" si="21">+W35*V35</f>
        <v>0</v>
      </c>
    </row>
    <row r="36" spans="1:24" ht="14.25" thickBot="1" x14ac:dyDescent="0.3">
      <c r="D36" s="744"/>
      <c r="E36" s="745"/>
      <c r="F36" s="599">
        <f>SUM(F35)</f>
        <v>2193.16</v>
      </c>
      <c r="G36" s="599">
        <f t="shared" ref="G36:I36" si="22">SUM(G35)</f>
        <v>117.30999999999995</v>
      </c>
      <c r="H36" s="599">
        <f>SUM(H35)</f>
        <v>2310.4699999999998</v>
      </c>
      <c r="I36" s="600">
        <f t="shared" si="22"/>
        <v>580</v>
      </c>
      <c r="J36" s="392"/>
      <c r="W36" s="15"/>
    </row>
    <row r="37" spans="1:24" ht="14.25" thickBot="1" x14ac:dyDescent="0.3">
      <c r="F37" s="340">
        <f>+F36+F32+F17</f>
        <v>4276.16</v>
      </c>
      <c r="G37" s="340">
        <f>+G36+G32+G17</f>
        <v>736.24</v>
      </c>
      <c r="H37" s="340">
        <f>+H36+H32+H17</f>
        <v>5012.3999999999996</v>
      </c>
      <c r="I37" s="594">
        <f>+I36+I32+I17</f>
        <v>913</v>
      </c>
      <c r="J37" s="595">
        <f>+H37/'VULPES PAPAS'!Q35</f>
        <v>3.5197460816808044</v>
      </c>
    </row>
    <row r="38" spans="1:24" x14ac:dyDescent="0.25">
      <c r="F38" s="493">
        <f>+F37-'BAJO CERO'!AB35</f>
        <v>-650</v>
      </c>
      <c r="G38" s="493">
        <f>+G37-'VULPES PAPAS'!AB35</f>
        <v>-650</v>
      </c>
      <c r="H38" s="494">
        <f>+H37-'VULPES PAPAS'!AB35-'BAJO CERO'!AB35</f>
        <v>-1300</v>
      </c>
      <c r="I38" s="493"/>
    </row>
  </sheetData>
  <mergeCells count="15">
    <mergeCell ref="D17:E17"/>
    <mergeCell ref="D32:E32"/>
    <mergeCell ref="D36:E36"/>
    <mergeCell ref="J1:L2"/>
    <mergeCell ref="J18:L19"/>
    <mergeCell ref="V1:X2"/>
    <mergeCell ref="T1:U1"/>
    <mergeCell ref="T18:U18"/>
    <mergeCell ref="Q18:S19"/>
    <mergeCell ref="V18:X19"/>
    <mergeCell ref="O1:O3"/>
    <mergeCell ref="O18:O20"/>
    <mergeCell ref="P1:P3"/>
    <mergeCell ref="P18:P20"/>
    <mergeCell ref="Q1:S2"/>
  </mergeCells>
  <conditionalFormatting sqref="Q21:R31">
    <cfRule type="cellIs" dxfId="2" priority="5" operator="lessThan">
      <formula>1</formula>
    </cfRule>
  </conditionalFormatting>
  <conditionalFormatting sqref="Q35:R35">
    <cfRule type="cellIs" dxfId="1" priority="1" operator="lessThan">
      <formula>1</formula>
    </cfRule>
  </conditionalFormatting>
  <conditionalFormatting sqref="Q4:S13">
    <cfRule type="cellIs" dxfId="0" priority="2" operator="lessThan">
      <formula>1</formula>
    </cfRule>
  </conditionalFormatting>
  <pageMargins left="0.7" right="0.7" top="0.75" bottom="0.75" header="0.3" footer="0.3"/>
  <pageSetup orientation="portrait" r:id="rId1"/>
  <ignoredErrors>
    <ignoredError sqref="T17" formulaRange="1"/>
    <ignoredError sqref="H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90999-2184-4AA3-A184-5A678C95C54C}">
  <sheetPr>
    <tabColor rgb="FFFFC000"/>
  </sheetPr>
  <dimension ref="A1:AB39"/>
  <sheetViews>
    <sheetView workbookViewId="0">
      <pane xSplit="2" ySplit="1" topLeftCell="X2" activePane="bottomRight" state="frozen"/>
      <selection pane="topRight" activeCell="D1" sqref="D1"/>
      <selection pane="bottomLeft" activeCell="A2" sqref="A2"/>
      <selection pane="bottomRight" activeCell="AA26" sqref="AA26"/>
    </sheetView>
  </sheetViews>
  <sheetFormatPr baseColWidth="10" defaultColWidth="10.7109375" defaultRowHeight="15" x14ac:dyDescent="0.25"/>
  <cols>
    <col min="2" max="2" width="59.42578125" bestFit="1" customWidth="1"/>
    <col min="3" max="3" width="11.28515625" style="328" customWidth="1"/>
    <col min="4" max="17" width="10.7109375" style="328" customWidth="1"/>
    <col min="18" max="28" width="10.7109375" style="328"/>
  </cols>
  <sheetData>
    <row r="1" spans="1:28" ht="45" x14ac:dyDescent="0.25">
      <c r="A1" s="17" t="s">
        <v>52</v>
      </c>
      <c r="B1" s="18" t="s">
        <v>53</v>
      </c>
      <c r="C1" s="329" t="s">
        <v>192</v>
      </c>
      <c r="D1" s="334" t="s">
        <v>193</v>
      </c>
      <c r="E1" s="334" t="s">
        <v>194</v>
      </c>
      <c r="F1" s="334" t="s">
        <v>195</v>
      </c>
      <c r="G1" s="335" t="s">
        <v>196</v>
      </c>
      <c r="H1" s="317" t="s">
        <v>197</v>
      </c>
      <c r="I1" s="334" t="s">
        <v>193</v>
      </c>
      <c r="J1" s="334" t="s">
        <v>194</v>
      </c>
      <c r="K1" s="334" t="s">
        <v>195</v>
      </c>
      <c r="L1" s="335" t="s">
        <v>196</v>
      </c>
      <c r="M1" s="317" t="s">
        <v>220</v>
      </c>
      <c r="N1" s="334" t="s">
        <v>193</v>
      </c>
      <c r="O1" s="334" t="s">
        <v>194</v>
      </c>
      <c r="P1" s="334" t="s">
        <v>195</v>
      </c>
      <c r="Q1" s="335" t="s">
        <v>196</v>
      </c>
      <c r="R1" s="317" t="s">
        <v>199</v>
      </c>
      <c r="S1" s="334" t="s">
        <v>193</v>
      </c>
      <c r="T1" s="334" t="s">
        <v>194</v>
      </c>
      <c r="U1" s="334" t="s">
        <v>195</v>
      </c>
      <c r="V1" s="335" t="s">
        <v>196</v>
      </c>
      <c r="W1" s="317" t="s">
        <v>200</v>
      </c>
      <c r="X1" s="334" t="s">
        <v>193</v>
      </c>
      <c r="Y1" s="334" t="s">
        <v>194</v>
      </c>
      <c r="Z1" s="334" t="s">
        <v>195</v>
      </c>
      <c r="AA1" s="335" t="s">
        <v>196</v>
      </c>
      <c r="AB1" s="317" t="s">
        <v>201</v>
      </c>
    </row>
    <row r="2" spans="1:28" x14ac:dyDescent="0.25">
      <c r="A2" s="267">
        <v>807769</v>
      </c>
      <c r="B2" s="268" t="s">
        <v>77</v>
      </c>
      <c r="C2" s="318">
        <v>208</v>
      </c>
      <c r="D2" s="360"/>
      <c r="E2" s="360"/>
      <c r="F2" s="360">
        <v>0</v>
      </c>
      <c r="G2" s="361">
        <v>99</v>
      </c>
      <c r="H2" s="318">
        <f>+C2+D2+E2-F2-G2</f>
        <v>109</v>
      </c>
      <c r="I2" s="360"/>
      <c r="J2" s="360"/>
      <c r="K2" s="360"/>
      <c r="L2" s="361">
        <v>77</v>
      </c>
      <c r="M2" s="318">
        <f>+H2+I2+J2-K2-L2</f>
        <v>32</v>
      </c>
      <c r="N2" s="360"/>
      <c r="O2" s="360"/>
      <c r="P2" s="360"/>
      <c r="Q2" s="361">
        <v>22</v>
      </c>
      <c r="R2" s="318">
        <f>+M2+N2+O2-P2-Q2</f>
        <v>10</v>
      </c>
      <c r="S2" s="360"/>
      <c r="T2" s="360">
        <v>25</v>
      </c>
      <c r="U2" s="360"/>
      <c r="V2" s="361">
        <v>9.1</v>
      </c>
      <c r="W2" s="318">
        <f>+R2+S2+T2-U2-V2</f>
        <v>25.9</v>
      </c>
      <c r="X2" s="360"/>
      <c r="Y2" s="360"/>
      <c r="Z2" s="360"/>
      <c r="AA2" s="361">
        <v>2</v>
      </c>
      <c r="AB2" s="318">
        <f>+W2+X2+Y2-Z2-AA2</f>
        <v>23.9</v>
      </c>
    </row>
    <row r="3" spans="1:28" x14ac:dyDescent="0.25">
      <c r="A3" s="243">
        <v>807329</v>
      </c>
      <c r="B3" s="244" t="s">
        <v>78</v>
      </c>
      <c r="C3" s="318">
        <v>76.75</v>
      </c>
      <c r="D3" s="360"/>
      <c r="E3" s="360"/>
      <c r="F3" s="360"/>
      <c r="G3" s="361">
        <v>13.25</v>
      </c>
      <c r="H3" s="318">
        <f t="shared" ref="H3:H17" si="0">+C3+D3+E3-F3-G3</f>
        <v>63.5</v>
      </c>
      <c r="I3" s="360"/>
      <c r="J3" s="360"/>
      <c r="K3" s="360"/>
      <c r="L3" s="361"/>
      <c r="M3" s="318">
        <f t="shared" ref="M3:M17" si="1">+H3+I3+J3-K3-L3</f>
        <v>63.5</v>
      </c>
      <c r="N3" s="360"/>
      <c r="O3" s="360"/>
      <c r="P3" s="360"/>
      <c r="Q3" s="361">
        <v>2</v>
      </c>
      <c r="R3" s="318">
        <f t="shared" ref="R3:R17" si="2">+M3+N3+O3-P3-Q3</f>
        <v>61.5</v>
      </c>
      <c r="S3" s="360"/>
      <c r="T3" s="360"/>
      <c r="U3" s="360"/>
      <c r="V3" s="361"/>
      <c r="W3" s="318">
        <f t="shared" ref="W3:W17" si="3">+R3+S3+T3-U3-V3</f>
        <v>61.5</v>
      </c>
      <c r="X3" s="360"/>
      <c r="Y3" s="360"/>
      <c r="Z3" s="360"/>
      <c r="AA3" s="361"/>
      <c r="AB3" s="318">
        <f t="shared" ref="AB3:AB17" si="4">+W3+X3+Y3-Z3-AA3</f>
        <v>61.5</v>
      </c>
    </row>
    <row r="4" spans="1:28" x14ac:dyDescent="0.25">
      <c r="A4" s="243">
        <v>805411</v>
      </c>
      <c r="B4" s="244" t="s">
        <v>79</v>
      </c>
      <c r="C4" s="318">
        <v>28.67</v>
      </c>
      <c r="D4" s="360"/>
      <c r="E4" s="360">
        <v>60</v>
      </c>
      <c r="F4" s="362"/>
      <c r="G4" s="361">
        <v>25</v>
      </c>
      <c r="H4" s="318">
        <f t="shared" si="0"/>
        <v>63.67</v>
      </c>
      <c r="I4" s="364">
        <v>4.33</v>
      </c>
      <c r="J4" s="360">
        <v>10</v>
      </c>
      <c r="K4" s="362"/>
      <c r="L4" s="361">
        <v>68</v>
      </c>
      <c r="M4" s="318">
        <f t="shared" si="1"/>
        <v>10</v>
      </c>
      <c r="N4" s="364"/>
      <c r="O4" s="360">
        <v>90</v>
      </c>
      <c r="P4" s="362"/>
      <c r="Q4" s="361">
        <v>90</v>
      </c>
      <c r="R4" s="318">
        <f t="shared" si="2"/>
        <v>10</v>
      </c>
      <c r="S4" s="364"/>
      <c r="T4" s="360">
        <v>25</v>
      </c>
      <c r="U4" s="362"/>
      <c r="V4" s="361">
        <v>0.08</v>
      </c>
      <c r="W4" s="318">
        <f t="shared" si="3"/>
        <v>34.92</v>
      </c>
      <c r="X4" s="364"/>
      <c r="Y4" s="360"/>
      <c r="Z4" s="362"/>
      <c r="AA4" s="361"/>
      <c r="AB4" s="318">
        <f t="shared" si="4"/>
        <v>34.92</v>
      </c>
    </row>
    <row r="5" spans="1:28" x14ac:dyDescent="0.25">
      <c r="A5" s="243">
        <v>807679</v>
      </c>
      <c r="B5" s="244" t="s">
        <v>80</v>
      </c>
      <c r="C5" s="318">
        <v>76.75</v>
      </c>
      <c r="D5" s="360"/>
      <c r="E5" s="360">
        <v>80</v>
      </c>
      <c r="F5" s="360"/>
      <c r="G5" s="361">
        <v>88</v>
      </c>
      <c r="H5" s="318">
        <f t="shared" si="0"/>
        <v>68.75</v>
      </c>
      <c r="I5" s="360"/>
      <c r="J5" s="360">
        <v>24</v>
      </c>
      <c r="K5" s="360"/>
      <c r="L5" s="361">
        <v>92.25</v>
      </c>
      <c r="M5" s="318">
        <f t="shared" si="1"/>
        <v>0.5</v>
      </c>
      <c r="N5" s="360"/>
      <c r="O5" s="360">
        <v>110</v>
      </c>
      <c r="P5" s="360"/>
      <c r="Q5" s="361">
        <v>92</v>
      </c>
      <c r="R5" s="318">
        <f t="shared" si="2"/>
        <v>18.5</v>
      </c>
      <c r="S5" s="360"/>
      <c r="T5" s="360">
        <v>64</v>
      </c>
      <c r="U5" s="360"/>
      <c r="V5" s="361">
        <v>82.05</v>
      </c>
      <c r="W5" s="318">
        <f t="shared" si="3"/>
        <v>0.45000000000000284</v>
      </c>
      <c r="X5" s="360"/>
      <c r="Y5" s="360">
        <v>130</v>
      </c>
      <c r="Z5" s="360"/>
      <c r="AA5" s="361">
        <v>70</v>
      </c>
      <c r="AB5" s="318">
        <f t="shared" si="4"/>
        <v>60.449999999999989</v>
      </c>
    </row>
    <row r="6" spans="1:28" x14ac:dyDescent="0.25">
      <c r="A6" s="243">
        <v>260612</v>
      </c>
      <c r="B6" s="244" t="s">
        <v>74</v>
      </c>
      <c r="C6" s="318">
        <v>33.5</v>
      </c>
      <c r="D6" s="360"/>
      <c r="E6" s="360">
        <v>132</v>
      </c>
      <c r="F6" s="360"/>
      <c r="G6" s="361">
        <v>108</v>
      </c>
      <c r="H6" s="318">
        <f t="shared" si="0"/>
        <v>57.5</v>
      </c>
      <c r="I6" s="364">
        <v>5</v>
      </c>
      <c r="J6" s="360">
        <v>0.25</v>
      </c>
      <c r="K6" s="360"/>
      <c r="L6" s="361">
        <v>62.25</v>
      </c>
      <c r="M6" s="318">
        <f t="shared" si="1"/>
        <v>0.5</v>
      </c>
      <c r="N6" s="364"/>
      <c r="O6" s="360"/>
      <c r="P6" s="360"/>
      <c r="Q6" s="361"/>
      <c r="R6" s="318">
        <f t="shared" si="2"/>
        <v>0.5</v>
      </c>
      <c r="S6" s="364"/>
      <c r="T6" s="360"/>
      <c r="U6" s="360"/>
      <c r="V6" s="361"/>
      <c r="W6" s="318">
        <f t="shared" si="3"/>
        <v>0.5</v>
      </c>
      <c r="X6" s="364"/>
      <c r="Y6" s="360"/>
      <c r="Z6" s="360"/>
      <c r="AA6" s="361"/>
      <c r="AB6" s="318">
        <f t="shared" si="4"/>
        <v>0.5</v>
      </c>
    </row>
    <row r="7" spans="1:28" x14ac:dyDescent="0.25">
      <c r="A7" s="243">
        <v>802142</v>
      </c>
      <c r="B7" s="244" t="s">
        <v>92</v>
      </c>
      <c r="C7" s="318">
        <v>47</v>
      </c>
      <c r="D7" s="360"/>
      <c r="E7" s="360"/>
      <c r="F7" s="361"/>
      <c r="G7" s="361">
        <v>46.75</v>
      </c>
      <c r="H7" s="318">
        <f t="shared" si="0"/>
        <v>0.25</v>
      </c>
      <c r="I7" s="360"/>
      <c r="J7" s="360"/>
      <c r="K7" s="361"/>
      <c r="L7" s="361"/>
      <c r="M7" s="318">
        <f t="shared" si="1"/>
        <v>0.25</v>
      </c>
      <c r="N7" s="360"/>
      <c r="O7" s="360"/>
      <c r="P7" s="361"/>
      <c r="Q7" s="361"/>
      <c r="R7" s="318">
        <f t="shared" si="2"/>
        <v>0.25</v>
      </c>
      <c r="S7" s="360"/>
      <c r="T7" s="360"/>
      <c r="U7" s="361"/>
      <c r="V7" s="361"/>
      <c r="W7" s="318">
        <f t="shared" si="3"/>
        <v>0.25</v>
      </c>
      <c r="X7" s="360"/>
      <c r="Y7" s="360"/>
      <c r="Z7" s="361"/>
      <c r="AA7" s="361"/>
      <c r="AB7" s="318">
        <f t="shared" si="4"/>
        <v>0.25</v>
      </c>
    </row>
    <row r="8" spans="1:28" x14ac:dyDescent="0.25">
      <c r="A8" s="243">
        <v>806982</v>
      </c>
      <c r="B8" s="244" t="s">
        <v>94</v>
      </c>
      <c r="C8" s="318">
        <v>54.5</v>
      </c>
      <c r="D8" s="360"/>
      <c r="E8" s="360"/>
      <c r="F8" s="360"/>
      <c r="G8" s="363">
        <v>42.33</v>
      </c>
      <c r="H8" s="318">
        <f t="shared" si="0"/>
        <v>12.170000000000002</v>
      </c>
      <c r="I8" s="360"/>
      <c r="J8" s="360">
        <v>86</v>
      </c>
      <c r="K8" s="360"/>
      <c r="L8" s="363">
        <v>39.33</v>
      </c>
      <c r="M8" s="318">
        <f t="shared" si="1"/>
        <v>58.84</v>
      </c>
      <c r="N8" s="360"/>
      <c r="O8" s="360">
        <v>50</v>
      </c>
      <c r="P8" s="360"/>
      <c r="Q8" s="363">
        <v>7</v>
      </c>
      <c r="R8" s="318">
        <f t="shared" si="2"/>
        <v>101.84</v>
      </c>
      <c r="S8" s="360"/>
      <c r="T8" s="360"/>
      <c r="U8" s="360"/>
      <c r="V8" s="363">
        <v>7.17</v>
      </c>
      <c r="W8" s="318">
        <f t="shared" si="3"/>
        <v>94.67</v>
      </c>
      <c r="X8" s="360"/>
      <c r="Y8" s="360"/>
      <c r="Z8" s="360"/>
      <c r="AA8" s="363">
        <v>2</v>
      </c>
      <c r="AB8" s="318">
        <f t="shared" si="4"/>
        <v>92.67</v>
      </c>
    </row>
    <row r="9" spans="1:28" x14ac:dyDescent="0.25">
      <c r="A9" s="243">
        <v>806685</v>
      </c>
      <c r="B9" s="244" t="s">
        <v>57</v>
      </c>
      <c r="C9" s="318">
        <v>1.5</v>
      </c>
      <c r="D9" s="360"/>
      <c r="E9" s="360"/>
      <c r="F9" s="364"/>
      <c r="G9" s="361"/>
      <c r="H9" s="318">
        <f t="shared" si="0"/>
        <v>1.5</v>
      </c>
      <c r="I9" s="360"/>
      <c r="J9" s="360"/>
      <c r="K9" s="364"/>
      <c r="L9" s="361"/>
      <c r="M9" s="318">
        <f t="shared" si="1"/>
        <v>1.5</v>
      </c>
      <c r="N9" s="360"/>
      <c r="O9" s="360"/>
      <c r="P9" s="364"/>
      <c r="Q9" s="361"/>
      <c r="R9" s="318">
        <f t="shared" si="2"/>
        <v>1.5</v>
      </c>
      <c r="S9" s="360"/>
      <c r="T9" s="360"/>
      <c r="U9" s="364"/>
      <c r="V9" s="361">
        <v>1</v>
      </c>
      <c r="W9" s="318">
        <f t="shared" si="3"/>
        <v>0.5</v>
      </c>
      <c r="X9" s="360"/>
      <c r="Y9" s="360"/>
      <c r="Z9" s="364"/>
      <c r="AA9" s="361"/>
      <c r="AB9" s="318">
        <f t="shared" si="4"/>
        <v>0.5</v>
      </c>
    </row>
    <row r="10" spans="1:28" x14ac:dyDescent="0.25">
      <c r="A10" s="243">
        <v>804104</v>
      </c>
      <c r="B10" s="244" t="s">
        <v>69</v>
      </c>
      <c r="C10" s="318">
        <v>2.25</v>
      </c>
      <c r="D10" s="360"/>
      <c r="E10" s="360"/>
      <c r="F10" s="360"/>
      <c r="G10" s="361"/>
      <c r="H10" s="318">
        <f t="shared" si="0"/>
        <v>2.25</v>
      </c>
      <c r="I10" s="360"/>
      <c r="J10" s="360"/>
      <c r="K10" s="360"/>
      <c r="L10" s="361"/>
      <c r="M10" s="318">
        <f t="shared" si="1"/>
        <v>2.25</v>
      </c>
      <c r="N10" s="360"/>
      <c r="O10" s="360"/>
      <c r="P10" s="360"/>
      <c r="Q10" s="361"/>
      <c r="R10" s="318">
        <f t="shared" si="2"/>
        <v>2.25</v>
      </c>
      <c r="S10" s="360"/>
      <c r="T10" s="360"/>
      <c r="U10" s="360"/>
      <c r="V10" s="361">
        <v>2</v>
      </c>
      <c r="W10" s="318">
        <f t="shared" si="3"/>
        <v>0.25</v>
      </c>
      <c r="X10" s="360"/>
      <c r="Y10" s="360"/>
      <c r="Z10" s="360"/>
      <c r="AA10" s="361"/>
      <c r="AB10" s="318">
        <f t="shared" si="4"/>
        <v>0.25</v>
      </c>
    </row>
    <row r="11" spans="1:28" x14ac:dyDescent="0.25">
      <c r="A11" s="243">
        <v>806686</v>
      </c>
      <c r="B11" s="244" t="s">
        <v>70</v>
      </c>
      <c r="C11" s="318">
        <v>13.5</v>
      </c>
      <c r="D11" s="360"/>
      <c r="E11" s="360"/>
      <c r="F11" s="360"/>
      <c r="G11" s="361">
        <v>13.5</v>
      </c>
      <c r="H11" s="318">
        <f t="shared" si="0"/>
        <v>0</v>
      </c>
      <c r="I11" s="360"/>
      <c r="J11" s="360"/>
      <c r="K11" s="360"/>
      <c r="L11" s="361"/>
      <c r="M11" s="318">
        <f t="shared" si="1"/>
        <v>0</v>
      </c>
      <c r="N11" s="360"/>
      <c r="O11" s="360"/>
      <c r="P11" s="360"/>
      <c r="Q11" s="361"/>
      <c r="R11" s="318">
        <f t="shared" si="2"/>
        <v>0</v>
      </c>
      <c r="S11" s="360"/>
      <c r="T11" s="360"/>
      <c r="U11" s="360"/>
      <c r="V11" s="361"/>
      <c r="W11" s="318">
        <f t="shared" si="3"/>
        <v>0</v>
      </c>
      <c r="X11" s="360"/>
      <c r="Y11" s="360"/>
      <c r="Z11" s="360"/>
      <c r="AA11" s="361"/>
      <c r="AB11" s="318">
        <f t="shared" si="4"/>
        <v>0</v>
      </c>
    </row>
    <row r="12" spans="1:28" x14ac:dyDescent="0.25">
      <c r="A12" s="243"/>
      <c r="B12" s="244" t="s">
        <v>253</v>
      </c>
      <c r="C12" s="318"/>
      <c r="D12" s="360"/>
      <c r="E12" s="360"/>
      <c r="F12" s="360"/>
      <c r="G12" s="361"/>
      <c r="H12" s="318">
        <f t="shared" si="0"/>
        <v>0</v>
      </c>
      <c r="I12" s="360"/>
      <c r="J12" s="360">
        <v>70</v>
      </c>
      <c r="K12" s="360"/>
      <c r="L12" s="361">
        <v>1</v>
      </c>
      <c r="M12" s="318">
        <f t="shared" si="1"/>
        <v>69</v>
      </c>
      <c r="N12" s="360"/>
      <c r="O12" s="360"/>
      <c r="P12" s="360">
        <v>61</v>
      </c>
      <c r="Q12" s="361">
        <v>8</v>
      </c>
      <c r="R12" s="318">
        <f t="shared" si="2"/>
        <v>0</v>
      </c>
      <c r="S12" s="360"/>
      <c r="T12" s="360"/>
      <c r="U12" s="360"/>
      <c r="V12" s="361"/>
      <c r="W12" s="318">
        <f t="shared" si="3"/>
        <v>0</v>
      </c>
      <c r="X12" s="360"/>
      <c r="Y12" s="360"/>
      <c r="Z12" s="360"/>
      <c r="AA12" s="361"/>
      <c r="AB12" s="318">
        <f t="shared" si="4"/>
        <v>0</v>
      </c>
    </row>
    <row r="13" spans="1:28" x14ac:dyDescent="0.25">
      <c r="A13" s="243" t="s">
        <v>245</v>
      </c>
      <c r="B13" s="244" t="s">
        <v>246</v>
      </c>
      <c r="C13" s="318"/>
      <c r="D13" s="360"/>
      <c r="E13" s="360"/>
      <c r="F13" s="360"/>
      <c r="G13" s="361"/>
      <c r="H13" s="318">
        <f t="shared" si="0"/>
        <v>0</v>
      </c>
      <c r="I13" s="360"/>
      <c r="J13" s="360">
        <v>85</v>
      </c>
      <c r="K13" s="360"/>
      <c r="L13" s="361">
        <v>77</v>
      </c>
      <c r="M13" s="318">
        <f t="shared" si="1"/>
        <v>8</v>
      </c>
      <c r="N13" s="360"/>
      <c r="O13" s="360"/>
      <c r="P13" s="360"/>
      <c r="Q13" s="361">
        <v>8</v>
      </c>
      <c r="R13" s="318">
        <f t="shared" si="2"/>
        <v>0</v>
      </c>
      <c r="S13" s="360"/>
      <c r="T13" s="360"/>
      <c r="U13" s="360"/>
      <c r="V13" s="361"/>
      <c r="W13" s="318">
        <f t="shared" si="3"/>
        <v>0</v>
      </c>
      <c r="X13" s="360"/>
      <c r="Y13" s="360"/>
      <c r="Z13" s="360"/>
      <c r="AA13" s="361"/>
      <c r="AB13" s="318">
        <f t="shared" si="4"/>
        <v>0</v>
      </c>
    </row>
    <row r="14" spans="1:28" x14ac:dyDescent="0.25">
      <c r="A14" s="243" t="s">
        <v>247</v>
      </c>
      <c r="B14" s="244" t="s">
        <v>248</v>
      </c>
      <c r="C14" s="318"/>
      <c r="D14" s="360"/>
      <c r="E14" s="360"/>
      <c r="F14" s="360"/>
      <c r="G14" s="361"/>
      <c r="H14" s="318">
        <f t="shared" si="0"/>
        <v>0</v>
      </c>
      <c r="I14" s="360"/>
      <c r="J14" s="360">
        <v>50</v>
      </c>
      <c r="K14" s="360"/>
      <c r="L14" s="361">
        <v>34</v>
      </c>
      <c r="M14" s="318">
        <f t="shared" si="1"/>
        <v>16</v>
      </c>
      <c r="N14" s="360"/>
      <c r="O14" s="360"/>
      <c r="P14" s="360"/>
      <c r="Q14" s="361">
        <v>16</v>
      </c>
      <c r="R14" s="318">
        <f t="shared" si="2"/>
        <v>0</v>
      </c>
      <c r="S14" s="360"/>
      <c r="T14" s="360"/>
      <c r="U14" s="360"/>
      <c r="V14" s="361"/>
      <c r="W14" s="318">
        <f t="shared" si="3"/>
        <v>0</v>
      </c>
      <c r="X14" s="360"/>
      <c r="Y14" s="360"/>
      <c r="Z14" s="360"/>
      <c r="AA14" s="361"/>
      <c r="AB14" s="318">
        <f t="shared" si="4"/>
        <v>0</v>
      </c>
    </row>
    <row r="15" spans="1:28" x14ac:dyDescent="0.25">
      <c r="A15" s="243" t="s">
        <v>249</v>
      </c>
      <c r="B15" s="244" t="s">
        <v>250</v>
      </c>
      <c r="C15" s="318"/>
      <c r="D15" s="360"/>
      <c r="E15" s="360"/>
      <c r="F15" s="361"/>
      <c r="G15" s="361"/>
      <c r="H15" s="318">
        <f t="shared" si="0"/>
        <v>0</v>
      </c>
      <c r="I15" s="360"/>
      <c r="J15" s="360"/>
      <c r="K15" s="361"/>
      <c r="L15" s="361"/>
      <c r="M15" s="318">
        <f t="shared" si="1"/>
        <v>0</v>
      </c>
      <c r="N15" s="360">
        <v>52</v>
      </c>
      <c r="O15" s="360"/>
      <c r="P15" s="361"/>
      <c r="Q15" s="361">
        <v>29</v>
      </c>
      <c r="R15" s="318">
        <f t="shared" si="2"/>
        <v>23</v>
      </c>
      <c r="S15" s="360"/>
      <c r="T15" s="360"/>
      <c r="U15" s="361"/>
      <c r="V15" s="361">
        <v>20</v>
      </c>
      <c r="W15" s="318">
        <f t="shared" si="3"/>
        <v>3</v>
      </c>
      <c r="X15" s="360"/>
      <c r="Y15" s="360"/>
      <c r="Z15" s="361"/>
      <c r="AA15" s="361">
        <v>3</v>
      </c>
      <c r="AB15" s="318">
        <f t="shared" si="4"/>
        <v>0</v>
      </c>
    </row>
    <row r="16" spans="1:28" x14ac:dyDescent="0.25">
      <c r="A16" s="243" t="s">
        <v>251</v>
      </c>
      <c r="B16" s="244" t="s">
        <v>252</v>
      </c>
      <c r="C16" s="318"/>
      <c r="D16" s="360"/>
      <c r="E16" s="360"/>
      <c r="F16" s="361"/>
      <c r="G16" s="361"/>
      <c r="H16" s="318">
        <f t="shared" si="0"/>
        <v>0</v>
      </c>
      <c r="I16" s="360"/>
      <c r="J16" s="360"/>
      <c r="K16" s="361"/>
      <c r="L16" s="361"/>
      <c r="M16" s="318">
        <f t="shared" si="1"/>
        <v>0</v>
      </c>
      <c r="N16" s="360">
        <v>99.94</v>
      </c>
      <c r="O16" s="360"/>
      <c r="P16" s="361"/>
      <c r="Q16" s="361">
        <v>50.33</v>
      </c>
      <c r="R16" s="318">
        <f t="shared" si="2"/>
        <v>49.61</v>
      </c>
      <c r="S16" s="360"/>
      <c r="T16" s="360"/>
      <c r="U16" s="361"/>
      <c r="V16" s="361">
        <v>38</v>
      </c>
      <c r="W16" s="318">
        <f t="shared" si="3"/>
        <v>11.61</v>
      </c>
      <c r="X16" s="360"/>
      <c r="Y16" s="360"/>
      <c r="Z16" s="361"/>
      <c r="AA16" s="361">
        <v>11</v>
      </c>
      <c r="AB16" s="318">
        <f t="shared" si="4"/>
        <v>0.60999999999999943</v>
      </c>
    </row>
    <row r="17" spans="1:28" ht="15.75" thickBot="1" x14ac:dyDescent="0.3">
      <c r="A17" s="243"/>
      <c r="B17" s="244"/>
      <c r="C17" s="318"/>
      <c r="D17" s="360"/>
      <c r="E17" s="360"/>
      <c r="F17" s="361"/>
      <c r="G17" s="361"/>
      <c r="H17" s="318">
        <f t="shared" si="0"/>
        <v>0</v>
      </c>
      <c r="I17" s="360"/>
      <c r="J17" s="360"/>
      <c r="K17" s="361"/>
      <c r="L17" s="361"/>
      <c r="M17" s="318">
        <f t="shared" si="1"/>
        <v>0</v>
      </c>
      <c r="N17" s="360"/>
      <c r="O17" s="360"/>
      <c r="P17" s="361"/>
      <c r="Q17" s="361"/>
      <c r="R17" s="318">
        <f t="shared" si="2"/>
        <v>0</v>
      </c>
      <c r="S17" s="360"/>
      <c r="T17" s="360"/>
      <c r="U17" s="361"/>
      <c r="V17" s="361"/>
      <c r="W17" s="318">
        <f t="shared" si="3"/>
        <v>0</v>
      </c>
      <c r="X17" s="360"/>
      <c r="Y17" s="360"/>
      <c r="Z17" s="361"/>
      <c r="AA17" s="361"/>
      <c r="AB17" s="318">
        <f t="shared" si="4"/>
        <v>0</v>
      </c>
    </row>
    <row r="18" spans="1:28" ht="15.75" thickBot="1" x14ac:dyDescent="0.3">
      <c r="A18" s="748"/>
      <c r="B18" s="749"/>
      <c r="C18" s="319">
        <f>+SUM(C2:C17)</f>
        <v>542.42000000000007</v>
      </c>
      <c r="D18" s="319">
        <f t="shared" ref="D18:G18" si="5">+SUM(D2:D17)</f>
        <v>0</v>
      </c>
      <c r="E18" s="319">
        <f t="shared" si="5"/>
        <v>272</v>
      </c>
      <c r="F18" s="319">
        <f t="shared" si="5"/>
        <v>0</v>
      </c>
      <c r="G18" s="319">
        <f t="shared" si="5"/>
        <v>435.83</v>
      </c>
      <c r="H18" s="319">
        <f>+SUM(H2:H17)</f>
        <v>378.59000000000003</v>
      </c>
      <c r="I18" s="319">
        <f t="shared" ref="I18:L18" si="6">+SUM(I2:I17)</f>
        <v>9.33</v>
      </c>
      <c r="J18" s="319">
        <f t="shared" si="6"/>
        <v>325.25</v>
      </c>
      <c r="K18" s="319">
        <f t="shared" si="6"/>
        <v>0</v>
      </c>
      <c r="L18" s="319">
        <f t="shared" si="6"/>
        <v>450.83</v>
      </c>
      <c r="M18" s="319">
        <f>+SUM(M2:M17)</f>
        <v>262.34000000000003</v>
      </c>
      <c r="N18" s="319">
        <f t="shared" ref="N18:Q18" si="7">+SUM(N2:N17)</f>
        <v>151.94</v>
      </c>
      <c r="O18" s="319">
        <f t="shared" si="7"/>
        <v>250</v>
      </c>
      <c r="P18" s="319">
        <f t="shared" si="7"/>
        <v>61</v>
      </c>
      <c r="Q18" s="319">
        <f t="shared" si="7"/>
        <v>324.33</v>
      </c>
      <c r="R18" s="319">
        <f>+SUM(R2:R17)</f>
        <v>278.95</v>
      </c>
      <c r="S18" s="319">
        <f t="shared" ref="S18:V18" si="8">+SUM(S2:S17)</f>
        <v>0</v>
      </c>
      <c r="T18" s="319">
        <f t="shared" si="8"/>
        <v>114</v>
      </c>
      <c r="U18" s="319">
        <f t="shared" si="8"/>
        <v>0</v>
      </c>
      <c r="V18" s="319">
        <f t="shared" si="8"/>
        <v>159.39999999999998</v>
      </c>
      <c r="W18" s="319">
        <f>+SUM(W2:W17)</f>
        <v>233.55</v>
      </c>
      <c r="X18" s="319">
        <f t="shared" ref="X18:Z18" si="9">+SUM(X2:X17)</f>
        <v>0</v>
      </c>
      <c r="Y18" s="319">
        <f t="shared" si="9"/>
        <v>130</v>
      </c>
      <c r="Z18" s="319">
        <f t="shared" si="9"/>
        <v>0</v>
      </c>
      <c r="AA18" s="319">
        <f>+SUM(AA2:AA17)</f>
        <v>88</v>
      </c>
      <c r="AB18" s="319">
        <f>+SUM(AB2:AB17)</f>
        <v>275.55</v>
      </c>
    </row>
    <row r="19" spans="1:28" ht="45" x14ac:dyDescent="0.25">
      <c r="A19" s="17" t="s">
        <v>52</v>
      </c>
      <c r="B19" s="18" t="s">
        <v>53</v>
      </c>
      <c r="C19" s="330" t="s">
        <v>192</v>
      </c>
      <c r="D19" s="334" t="s">
        <v>193</v>
      </c>
      <c r="E19" s="334" t="s">
        <v>194</v>
      </c>
      <c r="F19" s="334" t="s">
        <v>195</v>
      </c>
      <c r="G19" s="335" t="s">
        <v>196</v>
      </c>
      <c r="H19" s="320" t="s">
        <v>197</v>
      </c>
      <c r="I19" s="334" t="s">
        <v>193</v>
      </c>
      <c r="J19" s="334" t="s">
        <v>194</v>
      </c>
      <c r="K19" s="334" t="s">
        <v>195</v>
      </c>
      <c r="L19" s="335" t="s">
        <v>196</v>
      </c>
      <c r="M19" s="320" t="s">
        <v>220</v>
      </c>
      <c r="N19" s="334" t="s">
        <v>193</v>
      </c>
      <c r="O19" s="334" t="s">
        <v>194</v>
      </c>
      <c r="P19" s="334" t="s">
        <v>195</v>
      </c>
      <c r="Q19" s="335" t="s">
        <v>196</v>
      </c>
      <c r="R19" s="320" t="s">
        <v>199</v>
      </c>
      <c r="S19" s="334" t="s">
        <v>193</v>
      </c>
      <c r="T19" s="334" t="s">
        <v>194</v>
      </c>
      <c r="U19" s="334" t="s">
        <v>195</v>
      </c>
      <c r="V19" s="335" t="s">
        <v>196</v>
      </c>
      <c r="W19" s="320" t="s">
        <v>200</v>
      </c>
      <c r="X19" s="334" t="s">
        <v>193</v>
      </c>
      <c r="Y19" s="334" t="s">
        <v>194</v>
      </c>
      <c r="Z19" s="334" t="s">
        <v>195</v>
      </c>
      <c r="AA19" s="335" t="s">
        <v>196</v>
      </c>
      <c r="AB19" s="320" t="s">
        <v>201</v>
      </c>
    </row>
    <row r="20" spans="1:28" x14ac:dyDescent="0.25">
      <c r="A20" s="255">
        <v>105632</v>
      </c>
      <c r="B20" s="256" t="s">
        <v>58</v>
      </c>
      <c r="C20" s="321">
        <v>0</v>
      </c>
      <c r="D20" s="365"/>
      <c r="E20" s="365"/>
      <c r="F20" s="366"/>
      <c r="G20" s="367"/>
      <c r="H20" s="321">
        <f>+C20+D20+E20-F20-G20</f>
        <v>0</v>
      </c>
      <c r="I20" s="365"/>
      <c r="J20" s="365"/>
      <c r="K20" s="366"/>
      <c r="L20" s="367"/>
      <c r="M20" s="321">
        <f>+H20+I20+J20-K20-L20</f>
        <v>0</v>
      </c>
      <c r="N20" s="365"/>
      <c r="O20" s="365"/>
      <c r="P20" s="366"/>
      <c r="Q20" s="367"/>
      <c r="R20" s="321">
        <f>+M20+N20+O20-P20-Q20</f>
        <v>0</v>
      </c>
      <c r="S20" s="365"/>
      <c r="T20" s="365"/>
      <c r="U20" s="366"/>
      <c r="V20" s="367"/>
      <c r="W20" s="321">
        <f>+R20+S20+T20-U20-V20</f>
        <v>0</v>
      </c>
      <c r="X20" s="365"/>
      <c r="Y20" s="365"/>
      <c r="Z20" s="366"/>
      <c r="AA20" s="367"/>
      <c r="AB20" s="321">
        <f>+W20+X20+Y20-Z20-AA20</f>
        <v>0</v>
      </c>
    </row>
    <row r="21" spans="1:28" x14ac:dyDescent="0.25">
      <c r="A21" s="255">
        <v>102341</v>
      </c>
      <c r="B21" s="256" t="s">
        <v>59</v>
      </c>
      <c r="C21" s="322">
        <v>250.5</v>
      </c>
      <c r="D21" s="368"/>
      <c r="E21" s="368">
        <v>578</v>
      </c>
      <c r="F21" s="368"/>
      <c r="G21" s="363">
        <v>695.25</v>
      </c>
      <c r="H21" s="321">
        <f t="shared" ref="H21:H30" si="10">+C21+D21+E21-F21-G21</f>
        <v>133.25</v>
      </c>
      <c r="I21" s="369">
        <v>5.5</v>
      </c>
      <c r="J21" s="368">
        <v>1.75</v>
      </c>
      <c r="K21" s="368"/>
      <c r="L21" s="363">
        <v>138.5</v>
      </c>
      <c r="M21" s="321">
        <f t="shared" ref="M21:M30" si="11">+H21+I21+J21-K21-L21</f>
        <v>2</v>
      </c>
      <c r="N21" s="369"/>
      <c r="O21" s="368">
        <v>150</v>
      </c>
      <c r="P21" s="368"/>
      <c r="Q21" s="363">
        <v>150</v>
      </c>
      <c r="R21" s="321">
        <f t="shared" ref="R21:R30" si="12">+M21+N21+O21-P21-Q21</f>
        <v>2</v>
      </c>
      <c r="S21" s="369"/>
      <c r="T21" s="368">
        <v>545</v>
      </c>
      <c r="U21" s="368"/>
      <c r="V21" s="363">
        <v>503</v>
      </c>
      <c r="W21" s="321">
        <f t="shared" ref="W21:W30" si="13">+R21+S21+T21-U21-V21</f>
        <v>44</v>
      </c>
      <c r="X21" s="369"/>
      <c r="Y21" s="368">
        <v>30</v>
      </c>
      <c r="Z21" s="368"/>
      <c r="AA21" s="363">
        <v>25</v>
      </c>
      <c r="AB21" s="321">
        <f t="shared" ref="AB21" si="14">+W21+X21+Y21-Z21-AA21</f>
        <v>49</v>
      </c>
    </row>
    <row r="22" spans="1:28" x14ac:dyDescent="0.25">
      <c r="A22" s="255">
        <v>102310</v>
      </c>
      <c r="B22" s="256" t="s">
        <v>60</v>
      </c>
      <c r="C22" s="322">
        <v>39.25</v>
      </c>
      <c r="D22" s="368"/>
      <c r="E22" s="368"/>
      <c r="F22" s="368"/>
      <c r="G22" s="363">
        <v>14</v>
      </c>
      <c r="H22" s="321">
        <f t="shared" si="10"/>
        <v>25.25</v>
      </c>
      <c r="I22" s="369">
        <v>3</v>
      </c>
      <c r="J22" s="368">
        <v>1</v>
      </c>
      <c r="K22" s="368"/>
      <c r="L22" s="363">
        <v>28.25</v>
      </c>
      <c r="M22" s="321">
        <f t="shared" si="11"/>
        <v>1</v>
      </c>
      <c r="N22" s="369"/>
      <c r="O22" s="368">
        <v>70</v>
      </c>
      <c r="P22" s="368"/>
      <c r="Q22" s="363">
        <v>36</v>
      </c>
      <c r="R22" s="321">
        <f t="shared" si="12"/>
        <v>35</v>
      </c>
      <c r="S22" s="369"/>
      <c r="T22" s="368">
        <v>65</v>
      </c>
      <c r="U22" s="368"/>
      <c r="V22" s="363">
        <v>27.3</v>
      </c>
      <c r="W22" s="321">
        <f>+R22+S22+T22-U22-V22</f>
        <v>72.7</v>
      </c>
      <c r="X22" s="369"/>
      <c r="Y22" s="368">
        <v>10</v>
      </c>
      <c r="Z22" s="368"/>
      <c r="AA22" s="363">
        <v>16</v>
      </c>
      <c r="AB22" s="321">
        <f>+W22+X22+Y22-Z22-AA22</f>
        <v>66.7</v>
      </c>
    </row>
    <row r="23" spans="1:28" x14ac:dyDescent="0.25">
      <c r="A23" s="255">
        <v>102211</v>
      </c>
      <c r="B23" s="256" t="s">
        <v>61</v>
      </c>
      <c r="C23" s="322">
        <v>169.75</v>
      </c>
      <c r="D23" s="368"/>
      <c r="E23" s="368">
        <v>41</v>
      </c>
      <c r="F23" s="369"/>
      <c r="G23" s="363">
        <v>178.75</v>
      </c>
      <c r="H23" s="321">
        <f t="shared" si="10"/>
        <v>32</v>
      </c>
      <c r="I23" s="368"/>
      <c r="J23" s="368"/>
      <c r="K23" s="369"/>
      <c r="L23" s="363">
        <v>31</v>
      </c>
      <c r="M23" s="321">
        <f t="shared" si="11"/>
        <v>1</v>
      </c>
      <c r="N23" s="368"/>
      <c r="O23" s="368">
        <v>87</v>
      </c>
      <c r="P23" s="369"/>
      <c r="Q23" s="363">
        <v>77</v>
      </c>
      <c r="R23" s="321">
        <f t="shared" si="12"/>
        <v>11</v>
      </c>
      <c r="S23" s="368"/>
      <c r="T23" s="368">
        <v>120</v>
      </c>
      <c r="U23" s="369"/>
      <c r="V23" s="363">
        <v>117</v>
      </c>
      <c r="W23" s="321">
        <f t="shared" si="13"/>
        <v>14</v>
      </c>
      <c r="X23" s="368"/>
      <c r="Y23" s="368">
        <v>90</v>
      </c>
      <c r="Z23" s="369"/>
      <c r="AA23" s="363">
        <v>64</v>
      </c>
      <c r="AB23" s="321">
        <f t="shared" ref="AB23:AB30" si="15">+W23+X23+Y23-Z23-AA23</f>
        <v>40</v>
      </c>
    </row>
    <row r="24" spans="1:28" x14ac:dyDescent="0.25">
      <c r="A24" s="255">
        <v>104215</v>
      </c>
      <c r="B24" s="256" t="s">
        <v>62</v>
      </c>
      <c r="C24" s="322">
        <v>217.25</v>
      </c>
      <c r="D24" s="368"/>
      <c r="E24" s="368"/>
      <c r="F24" s="368"/>
      <c r="G24" s="363">
        <v>68</v>
      </c>
      <c r="H24" s="321">
        <f t="shared" si="10"/>
        <v>149.25</v>
      </c>
      <c r="I24" s="368"/>
      <c r="J24" s="368"/>
      <c r="K24" s="368"/>
      <c r="L24" s="363">
        <v>130</v>
      </c>
      <c r="M24" s="321">
        <v>21.25</v>
      </c>
      <c r="N24" s="368"/>
      <c r="O24" s="368"/>
      <c r="P24" s="368"/>
      <c r="Q24" s="363">
        <v>21</v>
      </c>
      <c r="R24" s="321">
        <f t="shared" si="12"/>
        <v>0.25</v>
      </c>
      <c r="S24" s="368"/>
      <c r="T24" s="368">
        <v>285</v>
      </c>
      <c r="U24" s="368"/>
      <c r="V24" s="363">
        <v>191.5</v>
      </c>
      <c r="W24" s="321">
        <f t="shared" si="13"/>
        <v>93.75</v>
      </c>
      <c r="X24" s="368"/>
      <c r="Y24" s="368"/>
      <c r="Z24" s="368"/>
      <c r="AA24" s="363">
        <v>25</v>
      </c>
      <c r="AB24" s="321">
        <f t="shared" si="15"/>
        <v>68.75</v>
      </c>
    </row>
    <row r="25" spans="1:28" x14ac:dyDescent="0.25">
      <c r="A25" s="255">
        <v>114054</v>
      </c>
      <c r="B25" s="256" t="s">
        <v>63</v>
      </c>
      <c r="C25" s="322">
        <v>34.5</v>
      </c>
      <c r="D25" s="368"/>
      <c r="E25" s="368">
        <v>100</v>
      </c>
      <c r="F25" s="363"/>
      <c r="G25" s="363">
        <v>79</v>
      </c>
      <c r="H25" s="321">
        <f t="shared" si="10"/>
        <v>55.5</v>
      </c>
      <c r="I25" s="369">
        <v>12</v>
      </c>
      <c r="J25" s="368"/>
      <c r="K25" s="363"/>
      <c r="L25" s="363">
        <v>66.5</v>
      </c>
      <c r="M25" s="321">
        <f t="shared" si="11"/>
        <v>1</v>
      </c>
      <c r="N25" s="369"/>
      <c r="O25" s="368">
        <v>108</v>
      </c>
      <c r="P25" s="363"/>
      <c r="Q25" s="363">
        <v>82</v>
      </c>
      <c r="R25" s="321">
        <f t="shared" si="12"/>
        <v>27</v>
      </c>
      <c r="S25" s="369"/>
      <c r="T25" s="368">
        <v>50</v>
      </c>
      <c r="U25" s="363"/>
      <c r="V25" s="363">
        <v>66.55</v>
      </c>
      <c r="W25" s="321">
        <f t="shared" si="13"/>
        <v>10.450000000000003</v>
      </c>
      <c r="X25" s="369"/>
      <c r="Y25" s="368">
        <v>50</v>
      </c>
      <c r="Z25" s="363"/>
      <c r="AA25" s="363">
        <v>39</v>
      </c>
      <c r="AB25" s="321">
        <f t="shared" si="15"/>
        <v>21.450000000000003</v>
      </c>
    </row>
    <row r="26" spans="1:28" x14ac:dyDescent="0.25">
      <c r="A26" s="255">
        <v>102419</v>
      </c>
      <c r="B26" s="256" t="s">
        <v>64</v>
      </c>
      <c r="C26" s="322">
        <v>132</v>
      </c>
      <c r="D26" s="368"/>
      <c r="E26" s="368"/>
      <c r="F26" s="368"/>
      <c r="G26" s="363">
        <v>128.5</v>
      </c>
      <c r="H26" s="321">
        <f t="shared" si="10"/>
        <v>3.5</v>
      </c>
      <c r="I26" s="368"/>
      <c r="J26" s="368"/>
      <c r="K26" s="368"/>
      <c r="L26" s="363">
        <v>3</v>
      </c>
      <c r="M26" s="321">
        <f t="shared" si="11"/>
        <v>0.5</v>
      </c>
      <c r="N26" s="368"/>
      <c r="O26" s="368">
        <v>130</v>
      </c>
      <c r="P26" s="368"/>
      <c r="Q26" s="363">
        <v>38</v>
      </c>
      <c r="R26" s="321">
        <f t="shared" si="12"/>
        <v>92.5</v>
      </c>
      <c r="S26" s="368"/>
      <c r="T26" s="368"/>
      <c r="U26" s="368"/>
      <c r="V26" s="363">
        <v>66.25</v>
      </c>
      <c r="W26" s="321">
        <f t="shared" si="13"/>
        <v>26.25</v>
      </c>
      <c r="X26" s="368"/>
      <c r="Y26" s="368">
        <v>40</v>
      </c>
      <c r="Z26" s="368"/>
      <c r="AA26" s="363">
        <v>38</v>
      </c>
      <c r="AB26" s="321">
        <f t="shared" si="15"/>
        <v>28.25</v>
      </c>
    </row>
    <row r="27" spans="1:28" x14ac:dyDescent="0.25">
      <c r="A27" s="255">
        <v>102013</v>
      </c>
      <c r="B27" s="256" t="s">
        <v>58</v>
      </c>
      <c r="C27" s="322">
        <v>12.25</v>
      </c>
      <c r="D27" s="368"/>
      <c r="E27" s="368">
        <v>238.5</v>
      </c>
      <c r="F27" s="368"/>
      <c r="G27" s="363">
        <v>217.25</v>
      </c>
      <c r="H27" s="321">
        <f t="shared" si="10"/>
        <v>33.5</v>
      </c>
      <c r="I27" s="369">
        <v>7</v>
      </c>
      <c r="J27" s="368">
        <v>299</v>
      </c>
      <c r="K27" s="368"/>
      <c r="L27" s="363">
        <v>205.77</v>
      </c>
      <c r="M27" s="321">
        <f t="shared" si="11"/>
        <v>133.72999999999999</v>
      </c>
      <c r="N27" s="369"/>
      <c r="O27" s="368">
        <v>1</v>
      </c>
      <c r="P27" s="368"/>
      <c r="Q27" s="363">
        <v>128.25</v>
      </c>
      <c r="R27" s="321">
        <f t="shared" si="12"/>
        <v>6.4799999999999898</v>
      </c>
      <c r="S27" s="369"/>
      <c r="T27" s="368">
        <v>360</v>
      </c>
      <c r="U27" s="368"/>
      <c r="V27" s="363">
        <v>259.25</v>
      </c>
      <c r="W27" s="321">
        <f t="shared" si="13"/>
        <v>107.23000000000002</v>
      </c>
      <c r="X27" s="369"/>
      <c r="Y27" s="368"/>
      <c r="Z27" s="368"/>
      <c r="AA27" s="363">
        <v>38</v>
      </c>
      <c r="AB27" s="321">
        <f t="shared" si="15"/>
        <v>69.230000000000018</v>
      </c>
    </row>
    <row r="28" spans="1:28" x14ac:dyDescent="0.25">
      <c r="A28" s="255"/>
      <c r="B28" s="256"/>
      <c r="C28" s="322"/>
      <c r="D28" s="368"/>
      <c r="E28" s="368"/>
      <c r="F28" s="368"/>
      <c r="G28" s="363"/>
      <c r="H28" s="321">
        <f t="shared" si="10"/>
        <v>0</v>
      </c>
      <c r="I28" s="368"/>
      <c r="J28" s="368"/>
      <c r="K28" s="368"/>
      <c r="L28" s="363"/>
      <c r="M28" s="321">
        <f t="shared" si="11"/>
        <v>0</v>
      </c>
      <c r="N28" s="368"/>
      <c r="O28" s="368"/>
      <c r="P28" s="368"/>
      <c r="Q28" s="363"/>
      <c r="R28" s="321">
        <f t="shared" si="12"/>
        <v>0</v>
      </c>
      <c r="S28" s="368"/>
      <c r="T28" s="368"/>
      <c r="U28" s="368"/>
      <c r="V28" s="363"/>
      <c r="W28" s="321">
        <f t="shared" si="13"/>
        <v>0</v>
      </c>
      <c r="X28" s="368"/>
      <c r="Y28" s="368"/>
      <c r="Z28" s="368"/>
      <c r="AA28" s="363"/>
      <c r="AB28" s="321">
        <f t="shared" si="15"/>
        <v>0</v>
      </c>
    </row>
    <row r="29" spans="1:28" x14ac:dyDescent="0.25">
      <c r="A29" s="255"/>
      <c r="B29" s="256"/>
      <c r="C29" s="323"/>
      <c r="D29" s="370"/>
      <c r="E29" s="370"/>
      <c r="F29" s="370"/>
      <c r="G29" s="371"/>
      <c r="H29" s="321">
        <f t="shared" si="10"/>
        <v>0</v>
      </c>
      <c r="I29" s="370"/>
      <c r="J29" s="370"/>
      <c r="K29" s="370"/>
      <c r="L29" s="371"/>
      <c r="M29" s="321">
        <f t="shared" si="11"/>
        <v>0</v>
      </c>
      <c r="N29" s="370"/>
      <c r="O29" s="370"/>
      <c r="P29" s="370"/>
      <c r="Q29" s="371"/>
      <c r="R29" s="321">
        <f t="shared" si="12"/>
        <v>0</v>
      </c>
      <c r="S29" s="370"/>
      <c r="T29" s="370"/>
      <c r="U29" s="370"/>
      <c r="V29" s="371"/>
      <c r="W29" s="321">
        <f t="shared" si="13"/>
        <v>0</v>
      </c>
      <c r="X29" s="370"/>
      <c r="Y29" s="370"/>
      <c r="Z29" s="370"/>
      <c r="AA29" s="371"/>
      <c r="AB29" s="321">
        <f t="shared" si="15"/>
        <v>0</v>
      </c>
    </row>
    <row r="30" spans="1:28" ht="15.75" thickBot="1" x14ac:dyDescent="0.3">
      <c r="A30" s="255"/>
      <c r="B30" s="256"/>
      <c r="C30" s="323"/>
      <c r="D30" s="370"/>
      <c r="E30" s="370"/>
      <c r="F30" s="370"/>
      <c r="G30" s="371"/>
      <c r="H30" s="321">
        <f t="shared" si="10"/>
        <v>0</v>
      </c>
      <c r="I30" s="370"/>
      <c r="J30" s="370"/>
      <c r="K30" s="370"/>
      <c r="L30" s="371"/>
      <c r="M30" s="321">
        <f t="shared" si="11"/>
        <v>0</v>
      </c>
      <c r="N30" s="370"/>
      <c r="O30" s="370"/>
      <c r="P30" s="370"/>
      <c r="Q30" s="371"/>
      <c r="R30" s="321">
        <f t="shared" si="12"/>
        <v>0</v>
      </c>
      <c r="S30" s="370"/>
      <c r="T30" s="370"/>
      <c r="U30" s="370"/>
      <c r="V30" s="371"/>
      <c r="W30" s="321">
        <f t="shared" si="13"/>
        <v>0</v>
      </c>
      <c r="X30" s="370"/>
      <c r="Y30" s="370"/>
      <c r="Z30" s="370"/>
      <c r="AA30" s="371"/>
      <c r="AB30" s="321">
        <f t="shared" si="15"/>
        <v>0</v>
      </c>
    </row>
    <row r="31" spans="1:28" ht="15.75" thickBot="1" x14ac:dyDescent="0.3">
      <c r="A31" s="750"/>
      <c r="B31" s="751"/>
      <c r="C31" s="324">
        <f t="shared" ref="C31" si="16">+SUM(C20:C30)</f>
        <v>855.5</v>
      </c>
      <c r="D31" s="324">
        <f t="shared" ref="D31:H31" si="17">+SUM(D20:D30)</f>
        <v>0</v>
      </c>
      <c r="E31" s="324">
        <f t="shared" si="17"/>
        <v>957.5</v>
      </c>
      <c r="F31" s="324">
        <f t="shared" si="17"/>
        <v>0</v>
      </c>
      <c r="G31" s="324">
        <f>+SUM(G20:G30)</f>
        <v>1380.75</v>
      </c>
      <c r="H31" s="324">
        <f t="shared" si="17"/>
        <v>432.25</v>
      </c>
      <c r="I31" s="324">
        <f t="shared" ref="I31:K31" si="18">+SUM(I20:I30)</f>
        <v>27.5</v>
      </c>
      <c r="J31" s="324">
        <f t="shared" si="18"/>
        <v>301.75</v>
      </c>
      <c r="K31" s="324">
        <f t="shared" si="18"/>
        <v>0</v>
      </c>
      <c r="L31" s="324">
        <f>+SUM(L20:L30)</f>
        <v>603.02</v>
      </c>
      <c r="M31" s="324">
        <f t="shared" ref="M31:P31" si="19">+SUM(M20:M30)</f>
        <v>160.47999999999999</v>
      </c>
      <c r="N31" s="324">
        <f t="shared" si="19"/>
        <v>0</v>
      </c>
      <c r="O31" s="324">
        <f t="shared" si="19"/>
        <v>546</v>
      </c>
      <c r="P31" s="324">
        <f t="shared" si="19"/>
        <v>0</v>
      </c>
      <c r="Q31" s="324">
        <f>+SUM(Q20:Q30)</f>
        <v>532.25</v>
      </c>
      <c r="R31" s="324">
        <f t="shared" ref="R31:U31" si="20">+SUM(R20:R30)</f>
        <v>174.23</v>
      </c>
      <c r="S31" s="324">
        <f t="shared" si="20"/>
        <v>0</v>
      </c>
      <c r="T31" s="324">
        <f t="shared" si="20"/>
        <v>1425</v>
      </c>
      <c r="U31" s="324">
        <f t="shared" si="20"/>
        <v>0</v>
      </c>
      <c r="V31" s="324">
        <f>+SUM(V20:V30)</f>
        <v>1230.8499999999999</v>
      </c>
      <c r="W31" s="324">
        <f t="shared" ref="W31:Z31" si="21">+SUM(W20:W30)</f>
        <v>368.38</v>
      </c>
      <c r="X31" s="324">
        <f t="shared" si="21"/>
        <v>0</v>
      </c>
      <c r="Y31" s="324">
        <f t="shared" si="21"/>
        <v>220</v>
      </c>
      <c r="Z31" s="324">
        <f t="shared" si="21"/>
        <v>0</v>
      </c>
      <c r="AA31" s="324">
        <f>+SUM(AA20:AA30)</f>
        <v>245</v>
      </c>
      <c r="AB31" s="324">
        <f t="shared" ref="AB31" si="22">+SUM(AB20:AB30)</f>
        <v>343.38</v>
      </c>
    </row>
    <row r="32" spans="1:28" ht="45" x14ac:dyDescent="0.25">
      <c r="A32" s="17" t="s">
        <v>52</v>
      </c>
      <c r="B32" s="18" t="s">
        <v>53</v>
      </c>
      <c r="C32" s="331" t="s">
        <v>192</v>
      </c>
      <c r="D32" s="334" t="s">
        <v>193</v>
      </c>
      <c r="E32" s="334" t="s">
        <v>194</v>
      </c>
      <c r="F32" s="334" t="s">
        <v>195</v>
      </c>
      <c r="G32" s="335" t="s">
        <v>196</v>
      </c>
      <c r="H32" s="325" t="s">
        <v>197</v>
      </c>
      <c r="I32" s="334" t="s">
        <v>193</v>
      </c>
      <c r="J32" s="334" t="s">
        <v>194</v>
      </c>
      <c r="K32" s="334" t="s">
        <v>195</v>
      </c>
      <c r="L32" s="335" t="s">
        <v>196</v>
      </c>
      <c r="M32" s="325" t="s">
        <v>220</v>
      </c>
      <c r="N32" s="334" t="s">
        <v>193</v>
      </c>
      <c r="O32" s="334" t="s">
        <v>194</v>
      </c>
      <c r="P32" s="334" t="s">
        <v>195</v>
      </c>
      <c r="Q32" s="335" t="s">
        <v>196</v>
      </c>
      <c r="R32" s="325" t="s">
        <v>199</v>
      </c>
      <c r="S32" s="334" t="s">
        <v>193</v>
      </c>
      <c r="T32" s="334" t="s">
        <v>194</v>
      </c>
      <c r="U32" s="334" t="s">
        <v>195</v>
      </c>
      <c r="V32" s="335" t="s">
        <v>196</v>
      </c>
      <c r="W32" s="325" t="s">
        <v>200</v>
      </c>
      <c r="X32" s="334" t="s">
        <v>193</v>
      </c>
      <c r="Y32" s="334" t="s">
        <v>194</v>
      </c>
      <c r="Z32" s="334" t="s">
        <v>195</v>
      </c>
      <c r="AA32" s="335" t="s">
        <v>196</v>
      </c>
      <c r="AB32" s="325" t="s">
        <v>201</v>
      </c>
    </row>
    <row r="33" spans="1:28" ht="15.75" thickBot="1" x14ac:dyDescent="0.3">
      <c r="A33" s="287">
        <v>505015</v>
      </c>
      <c r="B33" s="288" t="s">
        <v>95</v>
      </c>
      <c r="C33" s="326">
        <v>198</v>
      </c>
      <c r="D33" s="365"/>
      <c r="E33" s="365">
        <v>480</v>
      </c>
      <c r="F33" s="366"/>
      <c r="G33" s="367">
        <v>508</v>
      </c>
      <c r="H33" s="326">
        <f>+C33+D33+E33-F33-G33</f>
        <v>170</v>
      </c>
      <c r="I33" s="365"/>
      <c r="J33" s="365">
        <v>440</v>
      </c>
      <c r="K33" s="366"/>
      <c r="L33" s="367">
        <v>299.33</v>
      </c>
      <c r="M33" s="326">
        <v>311.5</v>
      </c>
      <c r="N33" s="365"/>
      <c r="O33" s="365">
        <v>2308.5</v>
      </c>
      <c r="P33" s="366"/>
      <c r="Q33" s="367">
        <v>567.5</v>
      </c>
      <c r="R33" s="326">
        <f>+M33+N33+O33-P33-Q33</f>
        <v>2052.5</v>
      </c>
      <c r="S33" s="365">
        <v>20</v>
      </c>
      <c r="T33" s="365">
        <v>362</v>
      </c>
      <c r="U33" s="366"/>
      <c r="V33" s="367">
        <v>1087.19</v>
      </c>
      <c r="W33" s="326">
        <f>+R33+S33+T33-U33-V33</f>
        <v>1347.31</v>
      </c>
      <c r="X33" s="365"/>
      <c r="Y33" s="365"/>
      <c r="Z33" s="366"/>
      <c r="AA33" s="367">
        <v>580</v>
      </c>
      <c r="AB33" s="326">
        <f>+W33+X33+Y33-Z33-AA33</f>
        <v>767.31</v>
      </c>
    </row>
    <row r="34" spans="1:28" ht="15.75" thickBot="1" x14ac:dyDescent="0.3">
      <c r="A34" s="752"/>
      <c r="B34" s="745"/>
      <c r="C34" s="327">
        <f t="shared" ref="C34:F34" si="23">+SUM(C23:C33)</f>
        <v>1619.25</v>
      </c>
      <c r="D34" s="327">
        <f t="shared" si="23"/>
        <v>0</v>
      </c>
      <c r="E34" s="327">
        <f t="shared" si="23"/>
        <v>1817</v>
      </c>
      <c r="F34" s="327">
        <f t="shared" si="23"/>
        <v>0</v>
      </c>
      <c r="G34" s="327">
        <f>+G33</f>
        <v>508</v>
      </c>
      <c r="H34" s="327">
        <f>+H33</f>
        <v>170</v>
      </c>
      <c r="I34" s="327">
        <f t="shared" ref="I34:K34" si="24">+SUM(I23:I33)</f>
        <v>46.5</v>
      </c>
      <c r="J34" s="327">
        <f t="shared" si="24"/>
        <v>1040.75</v>
      </c>
      <c r="K34" s="327">
        <f t="shared" si="24"/>
        <v>0</v>
      </c>
      <c r="L34" s="327">
        <f>+L33</f>
        <v>299.33</v>
      </c>
      <c r="M34" s="327">
        <f>+M33</f>
        <v>311.5</v>
      </c>
      <c r="N34" s="327">
        <f t="shared" ref="N34:P34" si="25">+SUM(N23:N33)</f>
        <v>0</v>
      </c>
      <c r="O34" s="327">
        <f t="shared" si="25"/>
        <v>3180.5</v>
      </c>
      <c r="P34" s="327">
        <f t="shared" si="25"/>
        <v>0</v>
      </c>
      <c r="Q34" s="327">
        <f>+Q33</f>
        <v>567.5</v>
      </c>
      <c r="R34" s="327">
        <f>+R33</f>
        <v>2052.5</v>
      </c>
      <c r="S34" s="327">
        <f t="shared" ref="S34:U34" si="26">+SUM(S23:S33)</f>
        <v>20</v>
      </c>
      <c r="T34" s="327">
        <f t="shared" si="26"/>
        <v>2602</v>
      </c>
      <c r="U34" s="327">
        <f t="shared" si="26"/>
        <v>0</v>
      </c>
      <c r="V34" s="327">
        <f>+V33</f>
        <v>1087.19</v>
      </c>
      <c r="W34" s="327">
        <f>+W33</f>
        <v>1347.31</v>
      </c>
      <c r="X34" s="327">
        <f t="shared" ref="X34:Z34" si="27">+SUM(X23:X33)</f>
        <v>0</v>
      </c>
      <c r="Y34" s="327">
        <f t="shared" si="27"/>
        <v>400</v>
      </c>
      <c r="Z34" s="327">
        <f t="shared" si="27"/>
        <v>0</v>
      </c>
      <c r="AA34" s="327">
        <f>+AA33+AA18</f>
        <v>668</v>
      </c>
      <c r="AB34" s="327">
        <f>+AB33</f>
        <v>767.31</v>
      </c>
    </row>
    <row r="35" spans="1:28" ht="15.75" thickBot="1" x14ac:dyDescent="0.3">
      <c r="C35" s="355">
        <f t="shared" ref="C35:H35" si="28">+C34+C31+C18</f>
        <v>3017.17</v>
      </c>
      <c r="D35" s="355">
        <f t="shared" si="28"/>
        <v>0</v>
      </c>
      <c r="E35" s="355">
        <f t="shared" si="28"/>
        <v>3046.5</v>
      </c>
      <c r="F35" s="355">
        <f t="shared" si="28"/>
        <v>0</v>
      </c>
      <c r="G35" s="355">
        <f t="shared" si="28"/>
        <v>2324.58</v>
      </c>
      <c r="H35" s="355">
        <f t="shared" si="28"/>
        <v>980.84</v>
      </c>
      <c r="I35" s="355">
        <f t="shared" ref="I35:M35" si="29">+I34+I31+I18</f>
        <v>83.33</v>
      </c>
      <c r="J35" s="355">
        <f t="shared" si="29"/>
        <v>1667.75</v>
      </c>
      <c r="K35" s="355">
        <f t="shared" si="29"/>
        <v>0</v>
      </c>
      <c r="L35" s="355">
        <f t="shared" si="29"/>
        <v>1353.1799999999998</v>
      </c>
      <c r="M35" s="355">
        <f t="shared" si="29"/>
        <v>734.32</v>
      </c>
      <c r="N35" s="355">
        <f t="shared" ref="N35:R35" si="30">+N34+N31+N18</f>
        <v>151.94</v>
      </c>
      <c r="O35" s="355">
        <f t="shared" si="30"/>
        <v>3976.5</v>
      </c>
      <c r="P35" s="355">
        <f t="shared" si="30"/>
        <v>61</v>
      </c>
      <c r="Q35" s="355">
        <f t="shared" si="30"/>
        <v>1424.08</v>
      </c>
      <c r="R35" s="355">
        <f t="shared" si="30"/>
        <v>2505.6799999999998</v>
      </c>
      <c r="S35" s="355">
        <f t="shared" ref="S35:W35" si="31">+S34+S31+S18</f>
        <v>20</v>
      </c>
      <c r="T35" s="355">
        <f t="shared" si="31"/>
        <v>4141</v>
      </c>
      <c r="U35" s="355">
        <f t="shared" si="31"/>
        <v>0</v>
      </c>
      <c r="V35" s="355">
        <f t="shared" si="31"/>
        <v>2477.44</v>
      </c>
      <c r="W35" s="355">
        <f t="shared" si="31"/>
        <v>1949.24</v>
      </c>
      <c r="X35" s="355">
        <f t="shared" ref="X35:AB35" si="32">+X34+X31+X18</f>
        <v>0</v>
      </c>
      <c r="Y35" s="355">
        <f t="shared" si="32"/>
        <v>750</v>
      </c>
      <c r="Z35" s="355">
        <f t="shared" si="32"/>
        <v>0</v>
      </c>
      <c r="AA35" s="355">
        <f>+AA34+AA31+AA18</f>
        <v>1001</v>
      </c>
      <c r="AB35" s="355">
        <f t="shared" si="32"/>
        <v>1386.24</v>
      </c>
    </row>
    <row r="36" spans="1:28" ht="15.75" thickBot="1" x14ac:dyDescent="0.3">
      <c r="C36" s="355">
        <f>+C35/65</f>
        <v>46.417999999999999</v>
      </c>
      <c r="G36" s="355" t="s">
        <v>219</v>
      </c>
      <c r="H36" s="355">
        <f>+H35/65</f>
        <v>15.089846153846155</v>
      </c>
      <c r="L36" s="355" t="s">
        <v>219</v>
      </c>
      <c r="M36" s="355">
        <f>+M35/65</f>
        <v>11.297230769230771</v>
      </c>
      <c r="Q36" s="355" t="s">
        <v>219</v>
      </c>
      <c r="R36" s="355">
        <f>+R35/65</f>
        <v>38.548923076923074</v>
      </c>
      <c r="V36" s="355" t="s">
        <v>219</v>
      </c>
      <c r="W36" s="355">
        <f>+W35/65</f>
        <v>29.988307692307693</v>
      </c>
      <c r="AA36" s="355" t="s">
        <v>219</v>
      </c>
      <c r="AB36" s="355">
        <f>+AB35/65</f>
        <v>21.32676923076923</v>
      </c>
    </row>
    <row r="39" spans="1:28" x14ac:dyDescent="0.25">
      <c r="T39" s="328" t="s">
        <v>230</v>
      </c>
    </row>
  </sheetData>
  <mergeCells count="3">
    <mergeCell ref="A18:B18"/>
    <mergeCell ref="A31:B31"/>
    <mergeCell ref="A34:B3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71B4-21D4-499C-A6A9-1E5255B2D5CA}">
  <sheetPr>
    <tabColor rgb="FFFFC000"/>
  </sheetPr>
  <dimension ref="A1:AB36"/>
  <sheetViews>
    <sheetView workbookViewId="0">
      <pane xSplit="2" ySplit="1" topLeftCell="H7" activePane="bottomRight" state="frozen"/>
      <selection pane="topRight" activeCell="D1" sqref="D1"/>
      <selection pane="bottomLeft" activeCell="A2" sqref="A2"/>
      <selection pane="bottomRight" activeCell="AB35" sqref="AB35"/>
    </sheetView>
  </sheetViews>
  <sheetFormatPr baseColWidth="10" defaultColWidth="10.7109375" defaultRowHeight="15" x14ac:dyDescent="0.25"/>
  <cols>
    <col min="2" max="2" width="59.42578125" bestFit="1" customWidth="1"/>
    <col min="3" max="3" width="11.28515625" style="328" bestFit="1" customWidth="1"/>
    <col min="4" max="7" width="10.7109375" hidden="1" customWidth="1"/>
    <col min="8" max="8" width="10.7109375" style="328" customWidth="1"/>
    <col min="9" max="12" width="10.7109375" hidden="1" customWidth="1"/>
    <col min="13" max="13" width="10.7109375" style="328" customWidth="1"/>
    <col min="14" max="17" width="10.7109375" hidden="1" customWidth="1"/>
    <col min="18" max="18" width="10.7109375" style="328"/>
    <col min="23" max="23" width="10.7109375" style="328"/>
    <col min="28" max="28" width="10.7109375" style="328"/>
  </cols>
  <sheetData>
    <row r="1" spans="1:28" ht="45" x14ac:dyDescent="0.25">
      <c r="A1" s="17" t="s">
        <v>52</v>
      </c>
      <c r="B1" s="18" t="s">
        <v>53</v>
      </c>
      <c r="C1" s="329" t="s">
        <v>192</v>
      </c>
      <c r="D1" s="74" t="s">
        <v>193</v>
      </c>
      <c r="E1" s="74" t="s">
        <v>194</v>
      </c>
      <c r="F1" s="74" t="s">
        <v>195</v>
      </c>
      <c r="G1" s="44" t="s">
        <v>196</v>
      </c>
      <c r="H1" s="317" t="s">
        <v>197</v>
      </c>
      <c r="I1" s="74" t="s">
        <v>193</v>
      </c>
      <c r="J1" s="74" t="s">
        <v>194</v>
      </c>
      <c r="K1" s="74" t="s">
        <v>195</v>
      </c>
      <c r="L1" s="44" t="s">
        <v>196</v>
      </c>
      <c r="M1" s="317" t="s">
        <v>220</v>
      </c>
      <c r="N1" s="74" t="s">
        <v>193</v>
      </c>
      <c r="O1" s="74" t="s">
        <v>194</v>
      </c>
      <c r="P1" s="74" t="s">
        <v>195</v>
      </c>
      <c r="Q1" s="44" t="s">
        <v>196</v>
      </c>
      <c r="R1" s="317" t="s">
        <v>199</v>
      </c>
      <c r="S1" s="74" t="s">
        <v>193</v>
      </c>
      <c r="T1" s="74" t="s">
        <v>194</v>
      </c>
      <c r="U1" s="74" t="s">
        <v>195</v>
      </c>
      <c r="V1" s="44" t="s">
        <v>196</v>
      </c>
      <c r="W1" s="317" t="s">
        <v>200</v>
      </c>
      <c r="X1" s="74" t="s">
        <v>193</v>
      </c>
      <c r="Y1" s="74" t="s">
        <v>194</v>
      </c>
      <c r="Z1" s="74" t="s">
        <v>195</v>
      </c>
      <c r="AA1" s="44" t="s">
        <v>196</v>
      </c>
      <c r="AB1" s="317" t="s">
        <v>201</v>
      </c>
    </row>
    <row r="2" spans="1:28" x14ac:dyDescent="0.25">
      <c r="A2" s="267">
        <v>807769</v>
      </c>
      <c r="B2" s="268" t="s">
        <v>77</v>
      </c>
      <c r="C2" s="318">
        <v>892</v>
      </c>
      <c r="D2" s="46"/>
      <c r="E2" s="46"/>
      <c r="F2" s="46"/>
      <c r="G2" s="47"/>
      <c r="H2" s="318">
        <f>+C2+D2+E2-F2-G2</f>
        <v>892</v>
      </c>
      <c r="I2" s="46"/>
      <c r="J2" s="46"/>
      <c r="K2" s="46"/>
      <c r="L2" s="47"/>
      <c r="M2" s="318">
        <f>+H2+I2+J2-K2-L2</f>
        <v>892</v>
      </c>
      <c r="N2" s="46"/>
      <c r="O2" s="46"/>
      <c r="P2" s="46"/>
      <c r="Q2" s="47"/>
      <c r="R2" s="318">
        <f>+M2+N2+O2-P2-Q2</f>
        <v>892</v>
      </c>
      <c r="S2" s="46"/>
      <c r="T2" s="46"/>
      <c r="U2" s="46">
        <v>715</v>
      </c>
      <c r="V2" s="47"/>
      <c r="W2" s="318">
        <f>+R2+S2+T2-U2-V2</f>
        <v>177</v>
      </c>
      <c r="X2" s="46"/>
      <c r="Y2" s="46"/>
      <c r="Z2" s="46"/>
      <c r="AA2" s="47"/>
      <c r="AB2" s="318">
        <f t="shared" ref="AB2:AB8" si="0">+W2+X2+Y2-Z2-AA2</f>
        <v>177</v>
      </c>
    </row>
    <row r="3" spans="1:28" x14ac:dyDescent="0.25">
      <c r="A3" s="243">
        <v>807329</v>
      </c>
      <c r="B3" s="244" t="s">
        <v>78</v>
      </c>
      <c r="C3" s="318">
        <v>270</v>
      </c>
      <c r="D3" s="46"/>
      <c r="E3" s="46"/>
      <c r="F3" s="46"/>
      <c r="G3" s="47"/>
      <c r="H3" s="318">
        <f t="shared" ref="H3:H17" si="1">+C3+D3+E3-F3-G3</f>
        <v>270</v>
      </c>
      <c r="I3" s="46"/>
      <c r="J3" s="46"/>
      <c r="K3" s="46"/>
      <c r="L3" s="47"/>
      <c r="M3" s="318">
        <f t="shared" ref="M3:M17" si="2">+H3+I3+J3-K3-L3</f>
        <v>270</v>
      </c>
      <c r="N3" s="46"/>
      <c r="O3" s="46"/>
      <c r="P3" s="46"/>
      <c r="Q3" s="47"/>
      <c r="R3" s="318">
        <f t="shared" ref="R3:R17" si="3">+M3+N3+O3-P3-Q3</f>
        <v>270</v>
      </c>
      <c r="S3" s="46"/>
      <c r="T3" s="46"/>
      <c r="U3" s="46">
        <v>125</v>
      </c>
      <c r="V3" s="47"/>
      <c r="W3" s="318">
        <f t="shared" ref="W3:W11" si="4">+R3+S3+T3-U3-V3</f>
        <v>145</v>
      </c>
      <c r="X3" s="46"/>
      <c r="Y3" s="46"/>
      <c r="Z3" s="46"/>
      <c r="AA3" s="47"/>
      <c r="AB3" s="318">
        <f t="shared" si="0"/>
        <v>145</v>
      </c>
    </row>
    <row r="4" spans="1:28" x14ac:dyDescent="0.25">
      <c r="A4" s="243">
        <v>805411</v>
      </c>
      <c r="B4" s="244" t="s">
        <v>79</v>
      </c>
      <c r="C4" s="318">
        <v>60</v>
      </c>
      <c r="D4" s="46"/>
      <c r="E4" s="46"/>
      <c r="F4" s="226">
        <v>60</v>
      </c>
      <c r="G4" s="47"/>
      <c r="H4" s="318">
        <f t="shared" si="1"/>
        <v>0</v>
      </c>
      <c r="I4" s="46"/>
      <c r="J4" s="46"/>
      <c r="K4" s="226"/>
      <c r="L4" s="47"/>
      <c r="M4" s="318">
        <f t="shared" si="2"/>
        <v>0</v>
      </c>
      <c r="N4" s="46"/>
      <c r="O4" s="46"/>
      <c r="P4" s="226"/>
      <c r="Q4" s="47"/>
      <c r="R4" s="318">
        <f t="shared" si="3"/>
        <v>0</v>
      </c>
      <c r="S4" s="46"/>
      <c r="T4" s="46"/>
      <c r="U4" s="226"/>
      <c r="V4" s="47"/>
      <c r="W4" s="318">
        <f t="shared" si="4"/>
        <v>0</v>
      </c>
      <c r="X4" s="46"/>
      <c r="Y4" s="46"/>
      <c r="Z4" s="226"/>
      <c r="AA4" s="47"/>
      <c r="AB4" s="318">
        <f t="shared" si="0"/>
        <v>0</v>
      </c>
    </row>
    <row r="5" spans="1:28" x14ac:dyDescent="0.25">
      <c r="A5" s="243">
        <v>807679</v>
      </c>
      <c r="B5" s="244" t="s">
        <v>80</v>
      </c>
      <c r="C5" s="318">
        <v>345</v>
      </c>
      <c r="D5" s="46"/>
      <c r="E5" s="46"/>
      <c r="F5" s="46">
        <v>152</v>
      </c>
      <c r="G5" s="47"/>
      <c r="H5" s="318">
        <f t="shared" si="1"/>
        <v>193</v>
      </c>
      <c r="I5" s="46"/>
      <c r="J5" s="46"/>
      <c r="K5" s="46">
        <v>20</v>
      </c>
      <c r="L5" s="47">
        <v>0</v>
      </c>
      <c r="M5" s="318">
        <f t="shared" si="2"/>
        <v>173</v>
      </c>
      <c r="N5" s="46"/>
      <c r="O5" s="46"/>
      <c r="P5" s="46"/>
      <c r="Q5" s="47">
        <v>110</v>
      </c>
      <c r="R5" s="318">
        <f t="shared" si="3"/>
        <v>63</v>
      </c>
      <c r="S5" s="46"/>
      <c r="T5" s="46"/>
      <c r="U5" s="46">
        <v>60</v>
      </c>
      <c r="V5" s="47"/>
      <c r="W5" s="318">
        <f t="shared" si="4"/>
        <v>3</v>
      </c>
      <c r="X5" s="46"/>
      <c r="Y5" s="46"/>
      <c r="Z5" s="46">
        <v>3</v>
      </c>
      <c r="AA5" s="47"/>
      <c r="AB5" s="318">
        <f t="shared" si="0"/>
        <v>0</v>
      </c>
    </row>
    <row r="6" spans="1:28" x14ac:dyDescent="0.25">
      <c r="A6" s="243">
        <v>260612</v>
      </c>
      <c r="B6" s="244" t="s">
        <v>74</v>
      </c>
      <c r="C6" s="318">
        <v>593</v>
      </c>
      <c r="D6" s="46"/>
      <c r="E6" s="46"/>
      <c r="F6" s="46">
        <v>510</v>
      </c>
      <c r="G6" s="47"/>
      <c r="H6" s="318">
        <f t="shared" si="1"/>
        <v>83</v>
      </c>
      <c r="I6" s="46"/>
      <c r="J6" s="46"/>
      <c r="K6" s="46"/>
      <c r="L6" s="47"/>
      <c r="M6" s="318">
        <f t="shared" si="2"/>
        <v>83</v>
      </c>
      <c r="N6" s="46"/>
      <c r="O6" s="46"/>
      <c r="P6" s="46"/>
      <c r="Q6" s="47"/>
      <c r="R6" s="318">
        <f t="shared" si="3"/>
        <v>83</v>
      </c>
      <c r="S6" s="46"/>
      <c r="T6" s="46"/>
      <c r="U6" s="46"/>
      <c r="V6" s="47"/>
      <c r="W6" s="318">
        <f t="shared" si="4"/>
        <v>83</v>
      </c>
      <c r="X6" s="46"/>
      <c r="Y6" s="46"/>
      <c r="Z6" s="46">
        <v>83</v>
      </c>
      <c r="AA6" s="47"/>
      <c r="AB6" s="318">
        <f t="shared" si="0"/>
        <v>0</v>
      </c>
    </row>
    <row r="7" spans="1:28" x14ac:dyDescent="0.25">
      <c r="A7" s="243">
        <v>802142</v>
      </c>
      <c r="B7" s="244" t="s">
        <v>92</v>
      </c>
      <c r="C7" s="318">
        <v>0</v>
      </c>
      <c r="D7" s="46"/>
      <c r="E7" s="46"/>
      <c r="F7" s="47"/>
      <c r="G7" s="47"/>
      <c r="H7" s="318">
        <f t="shared" si="1"/>
        <v>0</v>
      </c>
      <c r="I7" s="46"/>
      <c r="J7" s="46"/>
      <c r="K7" s="47"/>
      <c r="L7" s="47"/>
      <c r="M7" s="318">
        <f t="shared" si="2"/>
        <v>0</v>
      </c>
      <c r="N7" s="46"/>
      <c r="O7" s="46"/>
      <c r="P7" s="47"/>
      <c r="Q7" s="47"/>
      <c r="R7" s="318">
        <f t="shared" si="3"/>
        <v>0</v>
      </c>
      <c r="S7" s="46"/>
      <c r="T7" s="46"/>
      <c r="U7" s="47"/>
      <c r="V7" s="47"/>
      <c r="W7" s="318">
        <f t="shared" si="4"/>
        <v>0</v>
      </c>
      <c r="X7" s="46"/>
      <c r="Y7" s="46"/>
      <c r="Z7" s="47"/>
      <c r="AA7" s="47"/>
      <c r="AB7" s="318">
        <f t="shared" si="0"/>
        <v>0</v>
      </c>
    </row>
    <row r="8" spans="1:28" x14ac:dyDescent="0.25">
      <c r="A8" s="243">
        <v>806982</v>
      </c>
      <c r="B8" s="244" t="s">
        <v>94</v>
      </c>
      <c r="C8" s="318">
        <v>173</v>
      </c>
      <c r="D8" s="46"/>
      <c r="E8" s="46"/>
      <c r="F8" s="46"/>
      <c r="G8" s="48"/>
      <c r="H8" s="318">
        <f t="shared" si="1"/>
        <v>173</v>
      </c>
      <c r="I8" s="46"/>
      <c r="J8" s="46"/>
      <c r="K8" s="46"/>
      <c r="L8" s="48"/>
      <c r="M8" s="318">
        <f t="shared" si="2"/>
        <v>173</v>
      </c>
      <c r="N8" s="46"/>
      <c r="O8" s="46"/>
      <c r="P8" s="46"/>
      <c r="Q8" s="48"/>
      <c r="R8" s="318">
        <f t="shared" si="3"/>
        <v>173</v>
      </c>
      <c r="S8" s="46"/>
      <c r="T8" s="46"/>
      <c r="U8" s="46"/>
      <c r="V8" s="48"/>
      <c r="W8" s="318">
        <f t="shared" si="4"/>
        <v>173</v>
      </c>
      <c r="X8" s="46"/>
      <c r="Y8" s="46"/>
      <c r="Z8" s="46"/>
      <c r="AA8" s="48"/>
      <c r="AB8" s="318">
        <f t="shared" si="0"/>
        <v>173</v>
      </c>
    </row>
    <row r="9" spans="1:28" x14ac:dyDescent="0.25">
      <c r="A9" s="243">
        <v>806685</v>
      </c>
      <c r="B9" s="244" t="s">
        <v>57</v>
      </c>
      <c r="C9" s="318"/>
      <c r="D9" s="46"/>
      <c r="E9" s="46"/>
      <c r="F9" s="223"/>
      <c r="G9" s="47"/>
      <c r="H9" s="318">
        <f t="shared" si="1"/>
        <v>0</v>
      </c>
      <c r="I9" s="46"/>
      <c r="J9" s="46"/>
      <c r="K9" s="223"/>
      <c r="L9" s="47"/>
      <c r="M9" s="318">
        <f t="shared" si="2"/>
        <v>0</v>
      </c>
      <c r="N9" s="46"/>
      <c r="O9" s="46"/>
      <c r="P9" s="223"/>
      <c r="Q9" s="47"/>
      <c r="R9" s="318">
        <f t="shared" si="3"/>
        <v>0</v>
      </c>
      <c r="S9" s="46"/>
      <c r="T9" s="46"/>
      <c r="U9" s="223"/>
      <c r="V9" s="47"/>
      <c r="W9" s="318">
        <f t="shared" si="4"/>
        <v>0</v>
      </c>
      <c r="X9" s="46"/>
      <c r="Y9" s="46"/>
      <c r="Z9" s="223"/>
      <c r="AA9" s="47"/>
      <c r="AB9" s="318">
        <f t="shared" ref="AB9:AB17" si="5">+W9+X9+Y9-Z9-AA9</f>
        <v>0</v>
      </c>
    </row>
    <row r="10" spans="1:28" x14ac:dyDescent="0.25">
      <c r="A10" s="243">
        <v>804104</v>
      </c>
      <c r="B10" s="244" t="s">
        <v>69</v>
      </c>
      <c r="C10" s="318"/>
      <c r="D10" s="46"/>
      <c r="E10" s="46"/>
      <c r="F10" s="46"/>
      <c r="G10" s="47"/>
      <c r="H10" s="318">
        <f t="shared" si="1"/>
        <v>0</v>
      </c>
      <c r="I10" s="46"/>
      <c r="J10" s="46"/>
      <c r="K10" s="46"/>
      <c r="L10" s="47"/>
      <c r="M10" s="318">
        <f t="shared" si="2"/>
        <v>0</v>
      </c>
      <c r="N10" s="46"/>
      <c r="O10" s="46"/>
      <c r="P10" s="46"/>
      <c r="Q10" s="47"/>
      <c r="R10" s="318">
        <f t="shared" si="3"/>
        <v>0</v>
      </c>
      <c r="S10" s="46"/>
      <c r="T10" s="46"/>
      <c r="U10" s="46"/>
      <c r="V10" s="47"/>
      <c r="W10" s="318">
        <f t="shared" si="4"/>
        <v>0</v>
      </c>
      <c r="X10" s="46"/>
      <c r="Y10" s="46"/>
      <c r="Z10" s="46"/>
      <c r="AA10" s="47"/>
      <c r="AB10" s="318">
        <f t="shared" si="5"/>
        <v>0</v>
      </c>
    </row>
    <row r="11" spans="1:28" ht="15.75" thickBot="1" x14ac:dyDescent="0.3">
      <c r="A11" s="243">
        <v>806686</v>
      </c>
      <c r="B11" s="244" t="s">
        <v>70</v>
      </c>
      <c r="C11" s="318"/>
      <c r="D11" s="46"/>
      <c r="E11" s="46"/>
      <c r="F11" s="46"/>
      <c r="G11" s="47"/>
      <c r="H11" s="318">
        <f t="shared" si="1"/>
        <v>0</v>
      </c>
      <c r="I11" s="46"/>
      <c r="J11" s="46"/>
      <c r="K11" s="46"/>
      <c r="L11" s="47"/>
      <c r="M11" s="318">
        <f t="shared" si="2"/>
        <v>0</v>
      </c>
      <c r="N11" s="46"/>
      <c r="O11" s="46"/>
      <c r="P11" s="46"/>
      <c r="Q11" s="47"/>
      <c r="R11" s="318">
        <f t="shared" si="3"/>
        <v>0</v>
      </c>
      <c r="S11" s="46"/>
      <c r="T11" s="46"/>
      <c r="U11" s="46"/>
      <c r="V11" s="47"/>
      <c r="W11" s="318">
        <f t="shared" si="4"/>
        <v>0</v>
      </c>
      <c r="X11" s="46"/>
      <c r="Y11" s="46"/>
      <c r="Z11" s="46"/>
      <c r="AA11" s="47"/>
      <c r="AB11" s="318">
        <f t="shared" si="5"/>
        <v>0</v>
      </c>
    </row>
    <row r="12" spans="1:28" ht="15.75" hidden="1" thickBot="1" x14ac:dyDescent="0.3">
      <c r="A12" s="243"/>
      <c r="B12" s="244"/>
      <c r="C12" s="318"/>
      <c r="D12" s="46"/>
      <c r="E12" s="46"/>
      <c r="F12" s="46"/>
      <c r="G12" s="47"/>
      <c r="H12" s="318">
        <f t="shared" si="1"/>
        <v>0</v>
      </c>
      <c r="I12" s="46"/>
      <c r="J12" s="46"/>
      <c r="K12" s="46"/>
      <c r="L12" s="47"/>
      <c r="M12" s="318">
        <f t="shared" si="2"/>
        <v>0</v>
      </c>
      <c r="N12" s="46"/>
      <c r="O12" s="46"/>
      <c r="P12" s="46"/>
      <c r="Q12" s="47"/>
      <c r="R12" s="318">
        <f t="shared" si="3"/>
        <v>0</v>
      </c>
      <c r="S12" s="46"/>
      <c r="T12" s="46"/>
      <c r="U12" s="46"/>
      <c r="V12" s="47"/>
      <c r="W12" s="318">
        <f t="shared" ref="W12:W17" si="6">+R12+S12+T12-U12-V12</f>
        <v>0</v>
      </c>
      <c r="X12" s="46"/>
      <c r="Y12" s="46"/>
      <c r="Z12" s="46"/>
      <c r="AA12" s="47"/>
      <c r="AB12" s="318">
        <f t="shared" si="5"/>
        <v>0</v>
      </c>
    </row>
    <row r="13" spans="1:28" ht="15.75" hidden="1" thickBot="1" x14ac:dyDescent="0.3">
      <c r="A13" s="243"/>
      <c r="B13" s="244"/>
      <c r="C13" s="318"/>
      <c r="D13" s="46"/>
      <c r="E13" s="46"/>
      <c r="F13" s="46"/>
      <c r="G13" s="47"/>
      <c r="H13" s="318">
        <f t="shared" si="1"/>
        <v>0</v>
      </c>
      <c r="I13" s="46"/>
      <c r="J13" s="46"/>
      <c r="K13" s="46"/>
      <c r="L13" s="47"/>
      <c r="M13" s="318">
        <f t="shared" si="2"/>
        <v>0</v>
      </c>
      <c r="N13" s="46"/>
      <c r="O13" s="46"/>
      <c r="P13" s="46"/>
      <c r="Q13" s="47"/>
      <c r="R13" s="318">
        <f t="shared" si="3"/>
        <v>0</v>
      </c>
      <c r="S13" s="46"/>
      <c r="T13" s="46"/>
      <c r="U13" s="46"/>
      <c r="V13" s="47"/>
      <c r="W13" s="318">
        <f t="shared" si="6"/>
        <v>0</v>
      </c>
      <c r="X13" s="46"/>
      <c r="Y13" s="46"/>
      <c r="Z13" s="46"/>
      <c r="AA13" s="47"/>
      <c r="AB13" s="318">
        <f t="shared" si="5"/>
        <v>0</v>
      </c>
    </row>
    <row r="14" spans="1:28" ht="15.75" hidden="1" thickBot="1" x14ac:dyDescent="0.3">
      <c r="A14" s="243"/>
      <c r="B14" s="244"/>
      <c r="C14" s="318"/>
      <c r="D14" s="46"/>
      <c r="E14" s="46"/>
      <c r="F14" s="46"/>
      <c r="G14" s="47"/>
      <c r="H14" s="318">
        <f t="shared" si="1"/>
        <v>0</v>
      </c>
      <c r="I14" s="46"/>
      <c r="J14" s="46"/>
      <c r="K14" s="46"/>
      <c r="L14" s="47"/>
      <c r="M14" s="318">
        <f t="shared" si="2"/>
        <v>0</v>
      </c>
      <c r="N14" s="46"/>
      <c r="O14" s="46"/>
      <c r="P14" s="46"/>
      <c r="Q14" s="47"/>
      <c r="R14" s="318">
        <f t="shared" si="3"/>
        <v>0</v>
      </c>
      <c r="S14" s="46"/>
      <c r="T14" s="46"/>
      <c r="U14" s="46"/>
      <c r="V14" s="47"/>
      <c r="W14" s="318">
        <f t="shared" si="6"/>
        <v>0</v>
      </c>
      <c r="X14" s="46"/>
      <c r="Y14" s="46"/>
      <c r="Z14" s="46"/>
      <c r="AA14" s="47"/>
      <c r="AB14" s="318">
        <f t="shared" si="5"/>
        <v>0</v>
      </c>
    </row>
    <row r="15" spans="1:28" ht="15.75" hidden="1" thickBot="1" x14ac:dyDescent="0.3">
      <c r="A15" s="243"/>
      <c r="B15" s="244"/>
      <c r="C15" s="318"/>
      <c r="D15" s="46"/>
      <c r="E15" s="46"/>
      <c r="F15" s="47"/>
      <c r="G15" s="47"/>
      <c r="H15" s="318">
        <f t="shared" si="1"/>
        <v>0</v>
      </c>
      <c r="I15" s="46"/>
      <c r="J15" s="46"/>
      <c r="K15" s="47"/>
      <c r="L15" s="47"/>
      <c r="M15" s="318">
        <f t="shared" si="2"/>
        <v>0</v>
      </c>
      <c r="N15" s="46"/>
      <c r="O15" s="46"/>
      <c r="P15" s="47"/>
      <c r="Q15" s="47"/>
      <c r="R15" s="318">
        <f t="shared" si="3"/>
        <v>0</v>
      </c>
      <c r="S15" s="46"/>
      <c r="T15" s="46"/>
      <c r="U15" s="47"/>
      <c r="V15" s="47"/>
      <c r="W15" s="318">
        <f t="shared" si="6"/>
        <v>0</v>
      </c>
      <c r="X15" s="46"/>
      <c r="Y15" s="46"/>
      <c r="Z15" s="47"/>
      <c r="AA15" s="47"/>
      <c r="AB15" s="318">
        <f t="shared" si="5"/>
        <v>0</v>
      </c>
    </row>
    <row r="16" spans="1:28" ht="15.75" hidden="1" thickBot="1" x14ac:dyDescent="0.3">
      <c r="A16" s="243"/>
      <c r="B16" s="244"/>
      <c r="C16" s="318"/>
      <c r="D16" s="46"/>
      <c r="E16" s="46"/>
      <c r="F16" s="47"/>
      <c r="G16" s="47"/>
      <c r="H16" s="318">
        <f t="shared" si="1"/>
        <v>0</v>
      </c>
      <c r="I16" s="46"/>
      <c r="J16" s="46"/>
      <c r="K16" s="47"/>
      <c r="L16" s="47"/>
      <c r="M16" s="318">
        <f t="shared" si="2"/>
        <v>0</v>
      </c>
      <c r="N16" s="46"/>
      <c r="O16" s="46"/>
      <c r="P16" s="47"/>
      <c r="Q16" s="47"/>
      <c r="R16" s="318">
        <f t="shared" si="3"/>
        <v>0</v>
      </c>
      <c r="S16" s="46"/>
      <c r="T16" s="46"/>
      <c r="U16" s="47"/>
      <c r="V16" s="47"/>
      <c r="W16" s="318">
        <f t="shared" si="6"/>
        <v>0</v>
      </c>
      <c r="X16" s="46"/>
      <c r="Y16" s="46"/>
      <c r="Z16" s="47"/>
      <c r="AA16" s="47"/>
      <c r="AB16" s="318">
        <f t="shared" si="5"/>
        <v>0</v>
      </c>
    </row>
    <row r="17" spans="1:28" ht="15.75" hidden="1" thickBot="1" x14ac:dyDescent="0.3">
      <c r="A17" s="243"/>
      <c r="B17" s="244"/>
      <c r="C17" s="318"/>
      <c r="D17" s="46"/>
      <c r="E17" s="46"/>
      <c r="F17" s="47"/>
      <c r="G17" s="47"/>
      <c r="H17" s="318">
        <f t="shared" si="1"/>
        <v>0</v>
      </c>
      <c r="I17" s="46"/>
      <c r="J17" s="46"/>
      <c r="K17" s="47"/>
      <c r="L17" s="47"/>
      <c r="M17" s="318">
        <f t="shared" si="2"/>
        <v>0</v>
      </c>
      <c r="N17" s="46"/>
      <c r="O17" s="46"/>
      <c r="P17" s="47"/>
      <c r="Q17" s="47"/>
      <c r="R17" s="318">
        <f t="shared" si="3"/>
        <v>0</v>
      </c>
      <c r="S17" s="46"/>
      <c r="T17" s="46"/>
      <c r="U17" s="47"/>
      <c r="V17" s="47"/>
      <c r="W17" s="318">
        <f t="shared" si="6"/>
        <v>0</v>
      </c>
      <c r="X17" s="46"/>
      <c r="Y17" s="46"/>
      <c r="Z17" s="47"/>
      <c r="AA17" s="47"/>
      <c r="AB17" s="318">
        <f t="shared" si="5"/>
        <v>0</v>
      </c>
    </row>
    <row r="18" spans="1:28" ht="15.75" thickBot="1" x14ac:dyDescent="0.3">
      <c r="A18" s="748"/>
      <c r="B18" s="749"/>
      <c r="C18" s="319">
        <f>+SUM(C2:C17)</f>
        <v>2333</v>
      </c>
      <c r="D18" s="285">
        <f t="shared" ref="D18:G18" si="7">+SUM(D2:D17)</f>
        <v>0</v>
      </c>
      <c r="E18" s="285">
        <f t="shared" si="7"/>
        <v>0</v>
      </c>
      <c r="F18" s="285">
        <f t="shared" si="7"/>
        <v>722</v>
      </c>
      <c r="G18" s="285">
        <f t="shared" si="7"/>
        <v>0</v>
      </c>
      <c r="H18" s="319">
        <f>+SUM(H2:H17)</f>
        <v>1611</v>
      </c>
      <c r="I18" s="285">
        <f t="shared" ref="I18:L18" si="8">+SUM(I2:I17)</f>
        <v>0</v>
      </c>
      <c r="J18" s="285">
        <f t="shared" si="8"/>
        <v>0</v>
      </c>
      <c r="K18" s="285">
        <f t="shared" si="8"/>
        <v>20</v>
      </c>
      <c r="L18" s="285">
        <f t="shared" si="8"/>
        <v>0</v>
      </c>
      <c r="M18" s="319">
        <f>+SUM(M2:M17)</f>
        <v>1591</v>
      </c>
      <c r="N18" s="285">
        <f t="shared" ref="N18:Q18" si="9">+SUM(N2:N17)</f>
        <v>0</v>
      </c>
      <c r="O18" s="285">
        <f t="shared" si="9"/>
        <v>0</v>
      </c>
      <c r="P18" s="285">
        <f t="shared" si="9"/>
        <v>0</v>
      </c>
      <c r="Q18" s="285">
        <f t="shared" si="9"/>
        <v>110</v>
      </c>
      <c r="R18" s="319">
        <f>+SUM(R2:R17)</f>
        <v>1481</v>
      </c>
      <c r="S18" s="285">
        <f t="shared" ref="S18:V18" si="10">+SUM(S2:S17)</f>
        <v>0</v>
      </c>
      <c r="T18" s="285">
        <f t="shared" si="10"/>
        <v>0</v>
      </c>
      <c r="U18" s="285">
        <f t="shared" si="10"/>
        <v>900</v>
      </c>
      <c r="V18" s="285">
        <f t="shared" si="10"/>
        <v>0</v>
      </c>
      <c r="W18" s="319">
        <f>+SUM(W2:W17)</f>
        <v>581</v>
      </c>
      <c r="X18" s="285">
        <f t="shared" ref="X18:AA18" si="11">+SUM(X2:X17)</f>
        <v>0</v>
      </c>
      <c r="Y18" s="285">
        <f t="shared" si="11"/>
        <v>0</v>
      </c>
      <c r="Z18" s="285">
        <f t="shared" si="11"/>
        <v>86</v>
      </c>
      <c r="AA18" s="285">
        <f t="shared" si="11"/>
        <v>0</v>
      </c>
      <c r="AB18" s="319">
        <f>+SUM(AB2:AB17)</f>
        <v>495</v>
      </c>
    </row>
    <row r="19" spans="1:28" ht="45" x14ac:dyDescent="0.25">
      <c r="A19" s="17" t="s">
        <v>52</v>
      </c>
      <c r="B19" s="18" t="s">
        <v>53</v>
      </c>
      <c r="C19" s="330" t="s">
        <v>192</v>
      </c>
      <c r="D19" s="74" t="s">
        <v>193</v>
      </c>
      <c r="E19" s="74" t="s">
        <v>194</v>
      </c>
      <c r="F19" s="74" t="s">
        <v>195</v>
      </c>
      <c r="G19" s="44" t="s">
        <v>196</v>
      </c>
      <c r="H19" s="320" t="s">
        <v>197</v>
      </c>
      <c r="I19" s="74" t="s">
        <v>193</v>
      </c>
      <c r="J19" s="74" t="s">
        <v>194</v>
      </c>
      <c r="K19" s="74" t="s">
        <v>195</v>
      </c>
      <c r="L19" s="44" t="s">
        <v>196</v>
      </c>
      <c r="M19" s="320" t="s">
        <v>220</v>
      </c>
      <c r="N19" s="74" t="s">
        <v>193</v>
      </c>
      <c r="O19" s="74" t="s">
        <v>194</v>
      </c>
      <c r="P19" s="74" t="s">
        <v>195</v>
      </c>
      <c r="Q19" s="44" t="s">
        <v>196</v>
      </c>
      <c r="R19" s="320" t="s">
        <v>199</v>
      </c>
      <c r="S19" s="74" t="s">
        <v>193</v>
      </c>
      <c r="T19" s="74" t="s">
        <v>194</v>
      </c>
      <c r="U19" s="74" t="s">
        <v>195</v>
      </c>
      <c r="V19" s="44" t="s">
        <v>196</v>
      </c>
      <c r="W19" s="320" t="s">
        <v>200</v>
      </c>
      <c r="X19" s="74" t="s">
        <v>193</v>
      </c>
      <c r="Y19" s="74" t="s">
        <v>194</v>
      </c>
      <c r="Z19" s="74" t="s">
        <v>195</v>
      </c>
      <c r="AA19" s="44" t="s">
        <v>196</v>
      </c>
      <c r="AB19" s="320" t="s">
        <v>201</v>
      </c>
    </row>
    <row r="20" spans="1:28" x14ac:dyDescent="0.25">
      <c r="A20" s="255">
        <v>105632</v>
      </c>
      <c r="B20" s="256" t="s">
        <v>58</v>
      </c>
      <c r="C20" s="321">
        <v>0</v>
      </c>
      <c r="D20" s="50">
        <v>2376</v>
      </c>
      <c r="E20" s="50"/>
      <c r="F20" s="39">
        <v>1242</v>
      </c>
      <c r="G20" s="51"/>
      <c r="H20" s="321">
        <f t="shared" ref="H20:H29" si="12">+C20+D20+E20-F20-G20</f>
        <v>1134</v>
      </c>
      <c r="I20" s="50"/>
      <c r="J20" s="50"/>
      <c r="K20" s="39">
        <v>1134</v>
      </c>
      <c r="L20" s="51"/>
      <c r="M20" s="321">
        <f t="shared" ref="M20:M29" si="13">+H20+I20+J20-K20-L20</f>
        <v>0</v>
      </c>
      <c r="N20" s="50"/>
      <c r="O20" s="50"/>
      <c r="P20" s="39"/>
      <c r="Q20" s="51"/>
      <c r="R20" s="321">
        <f t="shared" ref="R20:R29" si="14">+M20+N20+O20-P20-Q20</f>
        <v>0</v>
      </c>
      <c r="S20" s="50"/>
      <c r="T20" s="39">
        <v>518</v>
      </c>
      <c r="U20" s="39">
        <f>140+220</f>
        <v>360</v>
      </c>
      <c r="V20" s="51"/>
      <c r="W20" s="321">
        <f>+R20+S20+T20-U20-V20</f>
        <v>158</v>
      </c>
      <c r="X20" s="50"/>
      <c r="Y20" s="39"/>
      <c r="Z20" s="39"/>
      <c r="AA20" s="51"/>
      <c r="AB20" s="321">
        <f t="shared" ref="AB20:AB26" si="15">+W20+X20+Y20-Z20-AA20</f>
        <v>158</v>
      </c>
    </row>
    <row r="21" spans="1:28" x14ac:dyDescent="0.25">
      <c r="A21" s="255">
        <v>102341</v>
      </c>
      <c r="B21" s="256" t="s">
        <v>59</v>
      </c>
      <c r="C21" s="322">
        <v>578</v>
      </c>
      <c r="D21" s="39"/>
      <c r="E21" s="39"/>
      <c r="F21" s="39">
        <v>578</v>
      </c>
      <c r="G21" s="48"/>
      <c r="H21" s="322">
        <f t="shared" si="12"/>
        <v>0</v>
      </c>
      <c r="I21" s="39"/>
      <c r="J21" s="39"/>
      <c r="K21" s="39"/>
      <c r="L21" s="48"/>
      <c r="M21" s="322">
        <f t="shared" si="13"/>
        <v>0</v>
      </c>
      <c r="N21" s="39"/>
      <c r="O21" s="39"/>
      <c r="P21" s="39"/>
      <c r="Q21" s="48"/>
      <c r="R21" s="322">
        <f t="shared" si="14"/>
        <v>0</v>
      </c>
      <c r="S21" s="39"/>
      <c r="T21" s="39">
        <v>960</v>
      </c>
      <c r="U21" s="39">
        <v>545</v>
      </c>
      <c r="V21" s="48"/>
      <c r="W21" s="321">
        <f t="shared" ref="W21:W26" si="16">+R21+S21+T21-U21-V21</f>
        <v>415</v>
      </c>
      <c r="X21" s="39"/>
      <c r="Y21" s="39"/>
      <c r="Z21" s="39"/>
      <c r="AA21" s="48">
        <v>30</v>
      </c>
      <c r="AB21" s="321">
        <f t="shared" si="15"/>
        <v>385</v>
      </c>
    </row>
    <row r="22" spans="1:28" x14ac:dyDescent="0.25">
      <c r="A22" s="255">
        <v>102310</v>
      </c>
      <c r="B22" s="256" t="s">
        <v>60</v>
      </c>
      <c r="C22" s="322">
        <v>0</v>
      </c>
      <c r="D22" s="39"/>
      <c r="E22" s="39"/>
      <c r="F22" s="39"/>
      <c r="G22" s="48"/>
      <c r="H22" s="322">
        <f t="shared" si="12"/>
        <v>0</v>
      </c>
      <c r="I22" s="39"/>
      <c r="J22" s="39"/>
      <c r="K22" s="39"/>
      <c r="L22" s="48"/>
      <c r="M22" s="322">
        <f t="shared" si="13"/>
        <v>0</v>
      </c>
      <c r="N22" s="39"/>
      <c r="O22" s="39">
        <v>216</v>
      </c>
      <c r="P22" s="39"/>
      <c r="Q22" s="48">
        <v>70</v>
      </c>
      <c r="R22" s="322">
        <f t="shared" si="14"/>
        <v>146</v>
      </c>
      <c r="S22" s="39"/>
      <c r="T22" s="39">
        <v>202</v>
      </c>
      <c r="U22" s="39">
        <v>65</v>
      </c>
      <c r="V22" s="48"/>
      <c r="W22" s="321">
        <f t="shared" si="16"/>
        <v>283</v>
      </c>
      <c r="X22" s="39"/>
      <c r="Y22" s="39"/>
      <c r="Z22" s="39"/>
      <c r="AA22" s="48">
        <v>10</v>
      </c>
      <c r="AB22" s="321">
        <f t="shared" si="15"/>
        <v>273</v>
      </c>
    </row>
    <row r="23" spans="1:28" x14ac:dyDescent="0.25">
      <c r="A23" s="255">
        <v>102211</v>
      </c>
      <c r="B23" s="256" t="s">
        <v>61</v>
      </c>
      <c r="C23" s="322">
        <v>40</v>
      </c>
      <c r="D23" s="39"/>
      <c r="E23" s="39"/>
      <c r="F23" s="416">
        <v>40</v>
      </c>
      <c r="G23" s="48"/>
      <c r="H23" s="322">
        <f t="shared" si="12"/>
        <v>0</v>
      </c>
      <c r="I23" s="39"/>
      <c r="J23" s="39"/>
      <c r="K23" s="416"/>
      <c r="L23" s="48"/>
      <c r="M23" s="322">
        <f t="shared" si="13"/>
        <v>0</v>
      </c>
      <c r="N23" s="39"/>
      <c r="O23" s="39">
        <v>180</v>
      </c>
      <c r="P23" s="416"/>
      <c r="Q23" s="48">
        <v>85</v>
      </c>
      <c r="R23" s="322">
        <f t="shared" si="14"/>
        <v>95</v>
      </c>
      <c r="S23" s="39"/>
      <c r="T23" s="416">
        <v>234</v>
      </c>
      <c r="U23" s="416">
        <v>100</v>
      </c>
      <c r="V23" s="48"/>
      <c r="W23" s="321">
        <f t="shared" si="16"/>
        <v>229</v>
      </c>
      <c r="X23" s="39"/>
      <c r="Y23" s="416"/>
      <c r="Z23" s="416"/>
      <c r="AA23" s="48">
        <v>90</v>
      </c>
      <c r="AB23" s="321">
        <f t="shared" si="15"/>
        <v>139</v>
      </c>
    </row>
    <row r="24" spans="1:28" x14ac:dyDescent="0.25">
      <c r="A24" s="255">
        <v>104215</v>
      </c>
      <c r="B24" s="256" t="s">
        <v>62</v>
      </c>
      <c r="C24" s="322">
        <v>0</v>
      </c>
      <c r="D24" s="39"/>
      <c r="E24" s="39"/>
      <c r="F24" s="39"/>
      <c r="G24" s="48"/>
      <c r="H24" s="322">
        <f t="shared" si="12"/>
        <v>0</v>
      </c>
      <c r="I24" s="39"/>
      <c r="J24" s="39"/>
      <c r="K24" s="39"/>
      <c r="L24" s="48"/>
      <c r="M24" s="322">
        <f t="shared" si="13"/>
        <v>0</v>
      </c>
      <c r="N24" s="39"/>
      <c r="O24" s="39"/>
      <c r="P24" s="39"/>
      <c r="Q24" s="48"/>
      <c r="R24" s="322">
        <f t="shared" si="14"/>
        <v>0</v>
      </c>
      <c r="S24" s="39"/>
      <c r="T24" s="39">
        <v>564</v>
      </c>
      <c r="U24" s="39">
        <v>285</v>
      </c>
      <c r="V24" s="48"/>
      <c r="W24" s="321">
        <f t="shared" si="16"/>
        <v>279</v>
      </c>
      <c r="X24" s="39"/>
      <c r="Y24" s="39"/>
      <c r="Z24" s="39"/>
      <c r="AA24" s="48"/>
      <c r="AB24" s="321">
        <f t="shared" si="15"/>
        <v>279</v>
      </c>
    </row>
    <row r="25" spans="1:28" x14ac:dyDescent="0.25">
      <c r="A25" s="255">
        <v>114054</v>
      </c>
      <c r="B25" s="256" t="s">
        <v>63</v>
      </c>
      <c r="C25" s="322">
        <v>100</v>
      </c>
      <c r="D25" s="39"/>
      <c r="E25" s="39"/>
      <c r="F25" s="48">
        <v>100</v>
      </c>
      <c r="G25" s="48"/>
      <c r="H25" s="322">
        <f t="shared" si="12"/>
        <v>0</v>
      </c>
      <c r="I25" s="39"/>
      <c r="J25" s="39"/>
      <c r="K25" s="48"/>
      <c r="L25" s="48"/>
      <c r="M25" s="322">
        <f t="shared" si="13"/>
        <v>0</v>
      </c>
      <c r="N25" s="39"/>
      <c r="O25" s="39">
        <v>108</v>
      </c>
      <c r="P25" s="48"/>
      <c r="Q25" s="48">
        <v>108</v>
      </c>
      <c r="R25" s="322">
        <f t="shared" si="14"/>
        <v>0</v>
      </c>
      <c r="S25" s="39"/>
      <c r="T25" s="48">
        <v>228</v>
      </c>
      <c r="U25" s="48">
        <v>50</v>
      </c>
      <c r="V25" s="48"/>
      <c r="W25" s="321">
        <f t="shared" si="16"/>
        <v>178</v>
      </c>
      <c r="X25" s="39"/>
      <c r="Y25" s="48"/>
      <c r="Z25" s="48"/>
      <c r="AA25" s="48">
        <v>50</v>
      </c>
      <c r="AB25" s="321">
        <f t="shared" si="15"/>
        <v>128</v>
      </c>
    </row>
    <row r="26" spans="1:28" ht="15.75" thickBot="1" x14ac:dyDescent="0.3">
      <c r="A26" s="255">
        <v>102419</v>
      </c>
      <c r="B26" s="256" t="s">
        <v>64</v>
      </c>
      <c r="C26" s="322">
        <v>0</v>
      </c>
      <c r="D26" s="39"/>
      <c r="E26" s="39"/>
      <c r="F26" s="39"/>
      <c r="G26" s="48"/>
      <c r="H26" s="322">
        <f t="shared" si="12"/>
        <v>0</v>
      </c>
      <c r="I26" s="39"/>
      <c r="J26" s="39"/>
      <c r="K26" s="39"/>
      <c r="L26" s="48"/>
      <c r="M26" s="322">
        <f t="shared" si="13"/>
        <v>0</v>
      </c>
      <c r="N26" s="39"/>
      <c r="O26" s="39">
        <v>324</v>
      </c>
      <c r="P26" s="39"/>
      <c r="Q26" s="48">
        <v>130</v>
      </c>
      <c r="R26" s="322">
        <f t="shared" si="14"/>
        <v>194</v>
      </c>
      <c r="S26" s="39"/>
      <c r="T26" s="39">
        <v>72</v>
      </c>
      <c r="U26" s="39"/>
      <c r="V26" s="48"/>
      <c r="W26" s="321">
        <f t="shared" si="16"/>
        <v>266</v>
      </c>
      <c r="X26" s="39"/>
      <c r="Y26" s="39"/>
      <c r="Z26" s="39"/>
      <c r="AA26" s="48">
        <v>40</v>
      </c>
      <c r="AB26" s="321">
        <f t="shared" si="15"/>
        <v>226</v>
      </c>
    </row>
    <row r="27" spans="1:28" ht="15.75" hidden="1" thickBot="1" x14ac:dyDescent="0.3">
      <c r="A27" s="255"/>
      <c r="B27" s="256"/>
      <c r="C27" s="322"/>
      <c r="D27" s="39"/>
      <c r="E27" s="39"/>
      <c r="F27" s="39"/>
      <c r="G27" s="48"/>
      <c r="H27" s="322">
        <f t="shared" si="12"/>
        <v>0</v>
      </c>
      <c r="I27" s="39"/>
      <c r="J27" s="39"/>
      <c r="K27" s="39"/>
      <c r="L27" s="48"/>
      <c r="M27" s="322">
        <f t="shared" si="13"/>
        <v>0</v>
      </c>
      <c r="N27" s="39"/>
      <c r="O27" s="39"/>
      <c r="P27" s="39"/>
      <c r="Q27" s="48"/>
      <c r="R27" s="322">
        <f t="shared" si="14"/>
        <v>0</v>
      </c>
      <c r="S27" s="39"/>
      <c r="T27" s="39"/>
      <c r="U27" s="39"/>
      <c r="V27" s="48"/>
      <c r="W27" s="322">
        <f t="shared" ref="W27:W29" si="17">+R27+S27+T27-U27-V27</f>
        <v>0</v>
      </c>
      <c r="X27" s="39"/>
      <c r="Y27" s="39"/>
      <c r="Z27" s="39"/>
      <c r="AA27" s="48"/>
      <c r="AB27" s="322">
        <f t="shared" ref="AB27:AB29" si="18">+W27+X27+Y27-Z27-AA27</f>
        <v>0</v>
      </c>
    </row>
    <row r="28" spans="1:28" ht="15.75" hidden="1" thickBot="1" x14ac:dyDescent="0.3">
      <c r="A28" s="255"/>
      <c r="B28" s="256"/>
      <c r="C28" s="322"/>
      <c r="D28" s="39"/>
      <c r="E28" s="39"/>
      <c r="F28" s="39"/>
      <c r="G28" s="48"/>
      <c r="H28" s="322">
        <f t="shared" si="12"/>
        <v>0</v>
      </c>
      <c r="I28" s="39"/>
      <c r="J28" s="39"/>
      <c r="K28" s="39"/>
      <c r="L28" s="48"/>
      <c r="M28" s="322">
        <f t="shared" si="13"/>
        <v>0</v>
      </c>
      <c r="N28" s="39"/>
      <c r="O28" s="39"/>
      <c r="P28" s="39"/>
      <c r="Q28" s="48"/>
      <c r="R28" s="322">
        <f t="shared" si="14"/>
        <v>0</v>
      </c>
      <c r="S28" s="39"/>
      <c r="T28" s="39"/>
      <c r="U28" s="39"/>
      <c r="V28" s="48"/>
      <c r="W28" s="322">
        <f t="shared" si="17"/>
        <v>0</v>
      </c>
      <c r="X28" s="39"/>
      <c r="Y28" s="39"/>
      <c r="Z28" s="39"/>
      <c r="AA28" s="48"/>
      <c r="AB28" s="322">
        <f t="shared" si="18"/>
        <v>0</v>
      </c>
    </row>
    <row r="29" spans="1:28" ht="15.75" hidden="1" thickBot="1" x14ac:dyDescent="0.3">
      <c r="A29" s="255"/>
      <c r="B29" s="256"/>
      <c r="C29" s="323"/>
      <c r="D29" s="49"/>
      <c r="E29" s="49"/>
      <c r="F29" s="49"/>
      <c r="G29" s="52"/>
      <c r="H29" s="323">
        <f t="shared" si="12"/>
        <v>0</v>
      </c>
      <c r="I29" s="49"/>
      <c r="J29" s="49"/>
      <c r="K29" s="49"/>
      <c r="L29" s="52"/>
      <c r="M29" s="323">
        <f t="shared" si="13"/>
        <v>0</v>
      </c>
      <c r="N29" s="49"/>
      <c r="O29" s="49"/>
      <c r="P29" s="49"/>
      <c r="Q29" s="52"/>
      <c r="R29" s="323">
        <f t="shared" si="14"/>
        <v>0</v>
      </c>
      <c r="S29" s="49"/>
      <c r="T29" s="49"/>
      <c r="U29" s="49"/>
      <c r="V29" s="52"/>
      <c r="W29" s="323">
        <f t="shared" si="17"/>
        <v>0</v>
      </c>
      <c r="X29" s="49"/>
      <c r="Y29" s="49"/>
      <c r="Z29" s="49"/>
      <c r="AA29" s="52"/>
      <c r="AB29" s="323">
        <f t="shared" si="18"/>
        <v>0</v>
      </c>
    </row>
    <row r="30" spans="1:28" ht="15.75" hidden="1" thickBot="1" x14ac:dyDescent="0.3">
      <c r="A30" s="255"/>
      <c r="B30" s="256"/>
      <c r="C30" s="323"/>
      <c r="D30" s="49"/>
      <c r="E30" s="49"/>
      <c r="F30" s="49"/>
      <c r="G30" s="52"/>
      <c r="H30" s="323"/>
      <c r="I30" s="49"/>
      <c r="J30" s="49"/>
      <c r="K30" s="49"/>
      <c r="L30" s="52"/>
      <c r="M30" s="323"/>
      <c r="N30" s="49"/>
      <c r="O30" s="49"/>
      <c r="P30" s="49"/>
      <c r="Q30" s="52"/>
      <c r="R30" s="323"/>
      <c r="S30" s="49"/>
      <c r="T30" s="49"/>
      <c r="U30" s="49"/>
      <c r="V30" s="52"/>
      <c r="W30" s="323"/>
      <c r="X30" s="49"/>
      <c r="Y30" s="49"/>
      <c r="Z30" s="49"/>
      <c r="AA30" s="52"/>
      <c r="AB30" s="323"/>
    </row>
    <row r="31" spans="1:28" ht="15.75" thickBot="1" x14ac:dyDescent="0.3">
      <c r="A31" s="750"/>
      <c r="B31" s="751"/>
      <c r="C31" s="324">
        <f t="shared" ref="C31:H31" si="19">+SUM(C20:C30)</f>
        <v>718</v>
      </c>
      <c r="D31" s="286">
        <f t="shared" si="19"/>
        <v>2376</v>
      </c>
      <c r="E31" s="286">
        <f t="shared" si="19"/>
        <v>0</v>
      </c>
      <c r="F31" s="286">
        <f t="shared" si="19"/>
        <v>1960</v>
      </c>
      <c r="G31" s="286">
        <f t="shared" si="19"/>
        <v>0</v>
      </c>
      <c r="H31" s="324">
        <f t="shared" si="19"/>
        <v>1134</v>
      </c>
      <c r="I31" s="286">
        <f t="shared" ref="I31:M31" si="20">+SUM(I20:I30)</f>
        <v>0</v>
      </c>
      <c r="J31" s="286">
        <f t="shared" si="20"/>
        <v>0</v>
      </c>
      <c r="K31" s="286">
        <f t="shared" si="20"/>
        <v>1134</v>
      </c>
      <c r="L31" s="286">
        <f t="shared" si="20"/>
        <v>0</v>
      </c>
      <c r="M31" s="324">
        <f t="shared" si="20"/>
        <v>0</v>
      </c>
      <c r="N31" s="286">
        <f t="shared" ref="N31:R31" si="21">+SUM(N20:N30)</f>
        <v>0</v>
      </c>
      <c r="O31" s="286">
        <f t="shared" si="21"/>
        <v>828</v>
      </c>
      <c r="P31" s="286">
        <f t="shared" si="21"/>
        <v>0</v>
      </c>
      <c r="Q31" s="286">
        <f t="shared" si="21"/>
        <v>393</v>
      </c>
      <c r="R31" s="324">
        <f t="shared" si="21"/>
        <v>435</v>
      </c>
      <c r="S31" s="286">
        <f t="shared" ref="S31:V31" si="22">+SUM(S20:S30)</f>
        <v>0</v>
      </c>
      <c r="T31" s="286">
        <f t="shared" si="22"/>
        <v>2778</v>
      </c>
      <c r="U31" s="286">
        <f t="shared" si="22"/>
        <v>1405</v>
      </c>
      <c r="V31" s="286">
        <f t="shared" si="22"/>
        <v>0</v>
      </c>
      <c r="W31" s="324">
        <f>+SUM(W20:W30)</f>
        <v>1808</v>
      </c>
      <c r="X31" s="286">
        <f t="shared" ref="X31:AA31" si="23">+SUM(X20:X30)</f>
        <v>0</v>
      </c>
      <c r="Y31" s="286">
        <f t="shared" si="23"/>
        <v>0</v>
      </c>
      <c r="Z31" s="286">
        <f t="shared" si="23"/>
        <v>0</v>
      </c>
      <c r="AA31" s="286">
        <f t="shared" si="23"/>
        <v>220</v>
      </c>
      <c r="AB31" s="324">
        <f>+SUM(AB20:AB30)</f>
        <v>1588</v>
      </c>
    </row>
    <row r="32" spans="1:28" ht="45" x14ac:dyDescent="0.25">
      <c r="A32" s="17" t="s">
        <v>52</v>
      </c>
      <c r="B32" s="18" t="s">
        <v>53</v>
      </c>
      <c r="C32" s="331" t="s">
        <v>192</v>
      </c>
      <c r="D32" s="74" t="s">
        <v>193</v>
      </c>
      <c r="E32" s="74" t="s">
        <v>194</v>
      </c>
      <c r="F32" s="74" t="s">
        <v>195</v>
      </c>
      <c r="G32" s="44" t="s">
        <v>196</v>
      </c>
      <c r="H32" s="325" t="s">
        <v>197</v>
      </c>
      <c r="I32" s="74" t="s">
        <v>193</v>
      </c>
      <c r="J32" s="74" t="s">
        <v>194</v>
      </c>
      <c r="K32" s="74" t="s">
        <v>195</v>
      </c>
      <c r="L32" s="44" t="s">
        <v>196</v>
      </c>
      <c r="M32" s="325" t="s">
        <v>220</v>
      </c>
      <c r="N32" s="74" t="s">
        <v>193</v>
      </c>
      <c r="O32" s="74" t="s">
        <v>194</v>
      </c>
      <c r="P32" s="74" t="s">
        <v>195</v>
      </c>
      <c r="Q32" s="44" t="s">
        <v>196</v>
      </c>
      <c r="R32" s="325" t="s">
        <v>199</v>
      </c>
      <c r="S32" s="74" t="s">
        <v>193</v>
      </c>
      <c r="T32" s="74" t="s">
        <v>194</v>
      </c>
      <c r="U32" s="74" t="s">
        <v>195</v>
      </c>
      <c r="V32" s="44" t="s">
        <v>196</v>
      </c>
      <c r="W32" s="325" t="s">
        <v>200</v>
      </c>
      <c r="X32" s="74" t="s">
        <v>193</v>
      </c>
      <c r="Y32" s="74" t="s">
        <v>194</v>
      </c>
      <c r="Z32" s="74" t="s">
        <v>195</v>
      </c>
      <c r="AA32" s="44" t="s">
        <v>196</v>
      </c>
      <c r="AB32" s="325" t="s">
        <v>201</v>
      </c>
    </row>
    <row r="33" spans="1:28" ht="15.75" thickBot="1" x14ac:dyDescent="0.3">
      <c r="A33" s="287">
        <v>505015</v>
      </c>
      <c r="B33" s="288" t="s">
        <v>95</v>
      </c>
      <c r="C33" s="326">
        <v>1274.1600000000001</v>
      </c>
      <c r="D33" s="50">
        <v>2000</v>
      </c>
      <c r="E33" s="50"/>
      <c r="F33" s="230">
        <v>480</v>
      </c>
      <c r="G33" s="51"/>
      <c r="H33" s="326">
        <f>+C33+D33+E33-F33-G33</f>
        <v>2794.16</v>
      </c>
      <c r="I33" s="50"/>
      <c r="J33" s="50">
        <v>2000</v>
      </c>
      <c r="K33" s="230">
        <v>380</v>
      </c>
      <c r="L33" s="51">
        <v>0</v>
      </c>
      <c r="M33" s="326">
        <f>+H33+I33+J33-K33-L33</f>
        <v>4414.16</v>
      </c>
      <c r="N33" s="50"/>
      <c r="O33" s="50"/>
      <c r="P33" s="230">
        <v>1000</v>
      </c>
      <c r="Q33" s="51">
        <v>375</v>
      </c>
      <c r="R33" s="326">
        <f>+M33+N33+O33-P33-Q33</f>
        <v>3039.16</v>
      </c>
      <c r="S33" s="50"/>
      <c r="T33" s="50"/>
      <c r="U33" s="230">
        <v>397</v>
      </c>
      <c r="V33" s="51">
        <v>60</v>
      </c>
      <c r="W33" s="326">
        <f>+R33+S33+T33-U33-V33</f>
        <v>2582.16</v>
      </c>
      <c r="X33" s="50"/>
      <c r="Y33" s="50">
        <v>300</v>
      </c>
      <c r="Z33" s="230"/>
      <c r="AA33" s="51">
        <v>39</v>
      </c>
      <c r="AB33" s="326">
        <f>+W33+X33+Y33-Z33-AA33</f>
        <v>2843.16</v>
      </c>
    </row>
    <row r="34" spans="1:28" ht="15.75" thickBot="1" x14ac:dyDescent="0.3">
      <c r="A34" s="752"/>
      <c r="B34" s="745"/>
      <c r="C34" s="327">
        <f>+C33</f>
        <v>1274.1600000000001</v>
      </c>
      <c r="D34" s="289">
        <f t="shared" ref="D34:H34" si="24">+D33</f>
        <v>2000</v>
      </c>
      <c r="E34" s="289">
        <f t="shared" si="24"/>
        <v>0</v>
      </c>
      <c r="F34" s="289">
        <f t="shared" si="24"/>
        <v>480</v>
      </c>
      <c r="G34" s="289">
        <f t="shared" si="24"/>
        <v>0</v>
      </c>
      <c r="H34" s="327">
        <f t="shared" si="24"/>
        <v>2794.16</v>
      </c>
      <c r="I34" s="289">
        <f t="shared" ref="I34:M34" si="25">+I33</f>
        <v>0</v>
      </c>
      <c r="J34" s="289">
        <f t="shared" si="25"/>
        <v>2000</v>
      </c>
      <c r="K34" s="289">
        <f t="shared" si="25"/>
        <v>380</v>
      </c>
      <c r="L34" s="289">
        <f t="shared" si="25"/>
        <v>0</v>
      </c>
      <c r="M34" s="327">
        <f t="shared" si="25"/>
        <v>4414.16</v>
      </c>
      <c r="N34" s="289">
        <f t="shared" ref="N34:R34" si="26">+N33</f>
        <v>0</v>
      </c>
      <c r="O34" s="289">
        <f t="shared" si="26"/>
        <v>0</v>
      </c>
      <c r="P34" s="289">
        <f t="shared" si="26"/>
        <v>1000</v>
      </c>
      <c r="Q34" s="289">
        <f t="shared" si="26"/>
        <v>375</v>
      </c>
      <c r="R34" s="327">
        <f t="shared" si="26"/>
        <v>3039.16</v>
      </c>
      <c r="S34" s="289">
        <f t="shared" ref="S34:V34" si="27">+S33</f>
        <v>0</v>
      </c>
      <c r="T34" s="289">
        <f t="shared" si="27"/>
        <v>0</v>
      </c>
      <c r="U34" s="289">
        <f t="shared" si="27"/>
        <v>397</v>
      </c>
      <c r="V34" s="289">
        <f t="shared" si="27"/>
        <v>60</v>
      </c>
      <c r="W34" s="327">
        <f>+W33</f>
        <v>2582.16</v>
      </c>
      <c r="X34" s="289">
        <f t="shared" ref="X34:AA34" si="28">+X33</f>
        <v>0</v>
      </c>
      <c r="Y34" s="289">
        <f t="shared" si="28"/>
        <v>300</v>
      </c>
      <c r="Z34" s="289">
        <f>+Z33</f>
        <v>0</v>
      </c>
      <c r="AA34" s="289">
        <f t="shared" si="28"/>
        <v>39</v>
      </c>
      <c r="AB34" s="327">
        <f>+AB33</f>
        <v>2843.16</v>
      </c>
    </row>
    <row r="35" spans="1:28" ht="15.75" thickBot="1" x14ac:dyDescent="0.3">
      <c r="C35" s="355">
        <f t="shared" ref="C35:H35" si="29">+C34+C31+C18</f>
        <v>4325.16</v>
      </c>
      <c r="D35" s="355">
        <f t="shared" si="29"/>
        <v>4376</v>
      </c>
      <c r="E35" s="355">
        <f t="shared" si="29"/>
        <v>0</v>
      </c>
      <c r="F35" s="355">
        <f t="shared" si="29"/>
        <v>3162</v>
      </c>
      <c r="G35" s="355">
        <f t="shared" si="29"/>
        <v>0</v>
      </c>
      <c r="H35" s="355">
        <f t="shared" si="29"/>
        <v>5539.16</v>
      </c>
      <c r="I35" s="355">
        <f t="shared" ref="I35:L35" si="30">+I34+I31+I18</f>
        <v>0</v>
      </c>
      <c r="J35" s="355">
        <f t="shared" si="30"/>
        <v>2000</v>
      </c>
      <c r="K35" s="355">
        <f t="shared" si="30"/>
        <v>1534</v>
      </c>
      <c r="L35" s="355">
        <f t="shared" si="30"/>
        <v>0</v>
      </c>
      <c r="M35" s="355">
        <f>+M34+M31+M18</f>
        <v>6005.16</v>
      </c>
      <c r="N35" s="355">
        <f t="shared" ref="N35:Q35" si="31">+N34+N31+N18</f>
        <v>0</v>
      </c>
      <c r="O35" s="355">
        <f t="shared" si="31"/>
        <v>828</v>
      </c>
      <c r="P35" s="355">
        <f t="shared" si="31"/>
        <v>1000</v>
      </c>
      <c r="Q35" s="355">
        <f t="shared" si="31"/>
        <v>878</v>
      </c>
      <c r="R35" s="355">
        <f>+R34+R31+R18</f>
        <v>4955.16</v>
      </c>
      <c r="S35" s="355">
        <f t="shared" ref="S35:V35" si="32">+S34+S31+S18</f>
        <v>0</v>
      </c>
      <c r="T35" s="355">
        <f t="shared" si="32"/>
        <v>2778</v>
      </c>
      <c r="U35" s="355">
        <f t="shared" si="32"/>
        <v>2702</v>
      </c>
      <c r="V35" s="355">
        <f t="shared" si="32"/>
        <v>60</v>
      </c>
      <c r="W35" s="355">
        <f>+W34+W31+W18</f>
        <v>4971.16</v>
      </c>
      <c r="X35" s="355">
        <f t="shared" ref="X35:Z35" si="33">+X34+X31+X18</f>
        <v>0</v>
      </c>
      <c r="Y35" s="355">
        <f t="shared" si="33"/>
        <v>300</v>
      </c>
      <c r="Z35" s="355">
        <f t="shared" si="33"/>
        <v>86</v>
      </c>
      <c r="AA35" s="355">
        <f>+AA34+AA31+AA18</f>
        <v>259</v>
      </c>
      <c r="AB35" s="355">
        <f>+AB34+AB31+AB18</f>
        <v>4926.16</v>
      </c>
    </row>
    <row r="36" spans="1:28" ht="15.75" thickBot="1" x14ac:dyDescent="0.3">
      <c r="G36" s="355" t="s">
        <v>219</v>
      </c>
      <c r="H36" s="355">
        <f>+H35/65</f>
        <v>85.217846153846153</v>
      </c>
      <c r="L36" s="355" t="s">
        <v>219</v>
      </c>
      <c r="M36" s="355">
        <f>+M35/65</f>
        <v>92.387076923076918</v>
      </c>
      <c r="Q36" s="355" t="s">
        <v>219</v>
      </c>
      <c r="R36" s="355">
        <f>+R35/65</f>
        <v>76.233230769230772</v>
      </c>
      <c r="V36" s="355" t="s">
        <v>219</v>
      </c>
      <c r="W36" s="355">
        <f>+W35/65</f>
        <v>76.479384615384618</v>
      </c>
      <c r="AA36" s="355" t="s">
        <v>219</v>
      </c>
      <c r="AB36" s="355">
        <f>+AB35/65</f>
        <v>75.787076923076924</v>
      </c>
    </row>
  </sheetData>
  <mergeCells count="3">
    <mergeCell ref="A18:B18"/>
    <mergeCell ref="A31:B31"/>
    <mergeCell ref="A34:B3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Resumen Inventario</vt:lpstr>
      <vt:lpstr>$$$$$</vt:lpstr>
      <vt:lpstr>Resumen Ventas</vt:lpstr>
      <vt:lpstr>Resumen T.C.</vt:lpstr>
      <vt:lpstr>CANCÚN</vt:lpstr>
      <vt:lpstr>RESUMEN CDMX</vt:lpstr>
      <vt:lpstr>FRIGARSA</vt:lpstr>
      <vt:lpstr>FRESCO</vt:lpstr>
      <vt:lpstr>MEXIDELI</vt:lpstr>
      <vt:lpstr>ALFRIMEX</vt:lpstr>
      <vt:lpstr>CANBELT</vt:lpstr>
      <vt:lpstr>FRIJALISCO</vt:lpstr>
      <vt:lpstr>RESUMEN LEÓN</vt:lpstr>
      <vt:lpstr>VULPES PAPAS</vt:lpstr>
      <vt:lpstr>BAJO CERO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Trafico | OXDA</dc:creator>
  <cp:keywords/>
  <dc:description/>
  <cp:lastModifiedBy>Angeles Samano | OXDA</cp:lastModifiedBy>
  <cp:revision/>
  <dcterms:created xsi:type="dcterms:W3CDTF">2025-01-02T16:34:50Z</dcterms:created>
  <dcterms:modified xsi:type="dcterms:W3CDTF">2026-05-13T23:36:40Z</dcterms:modified>
  <cp:category/>
  <cp:contentStatus/>
</cp:coreProperties>
</file>