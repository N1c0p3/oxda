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geles\Dropbox\OXDA Inventarios\INVENTARIOS\"/>
    </mc:Choice>
  </mc:AlternateContent>
  <xr:revisionPtr revIDLastSave="0" documentId="13_ncr:1_{266D3F4C-1D5F-4202-A9D4-13A4326F7AA3}" xr6:coauthVersionLast="47" xr6:coauthVersionMax="47" xr10:uidLastSave="{00000000-0000-0000-0000-000000000000}"/>
  <bookViews>
    <workbookView xWindow="-120" yWindow="-120" windowWidth="29040" windowHeight="15720" tabRatio="923" firstSheet="2" activeTab="2" xr2:uid="{00000000-000D-0000-FFFF-FFFF00000000}"/>
  </bookViews>
  <sheets>
    <sheet name="Cont Dir" sheetId="1" state="hidden" r:id="rId1"/>
    <sheet name="Cont. Completos" sheetId="17" state="hidden" r:id="rId2"/>
    <sheet name="Contenedores" sheetId="3" r:id="rId3"/>
    <sheet name="Buscador" sheetId="18" state="hidden" r:id="rId4"/>
    <sheet name="Aviko Control" sheetId="15" state="hidden" r:id="rId5"/>
    <sheet name="Wernisng Control" sheetId="16" state="hidden" r:id="rId6"/>
    <sheet name="ETA REAL" sheetId="10" state="hidden" r:id="rId7"/>
    <sheet name="CUENTAS X PAGAR AVIKO" sheetId="12" r:id="rId8"/>
    <sheet name="CUENTAS X PAGAR WERNSING" sheetId="13" r:id="rId9"/>
    <sheet name="Cancun." sheetId="4" state="hidden" r:id="rId10"/>
    <sheet name="3TD." sheetId="5" state="hidden" r:id="rId11"/>
    <sheet name="3B" sheetId="7" state="hidden" r:id="rId12"/>
    <sheet name="Mazatlan." sheetId="6" state="hidden" r:id="rId13"/>
    <sheet name="Hoja2" sheetId="14" state="hidden" r:id="rId14"/>
  </sheets>
  <definedNames>
    <definedName name="_xlnm._FilterDatabase" localSheetId="2" hidden="1">Contenedores!$A$7:$P$247</definedName>
    <definedName name="_xlnm.Print_Area" localSheetId="2">Contenedores!$A$2:$O$215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4" i="3" l="1"/>
  <c r="R288" i="3" l="1"/>
  <c r="R290" i="3"/>
  <c r="R289" i="3"/>
  <c r="M143" i="3" l="1"/>
  <c r="N257" i="3" l="1"/>
  <c r="N258" i="3"/>
  <c r="N142" i="3"/>
  <c r="M142" i="3"/>
  <c r="N256" i="3" l="1"/>
  <c r="M290" i="3" l="1"/>
  <c r="M289" i="3"/>
  <c r="N255" i="3"/>
  <c r="N254" i="3"/>
  <c r="M257" i="3"/>
  <c r="M256" i="3"/>
  <c r="M255" i="3"/>
  <c r="M254" i="3"/>
  <c r="M253" i="3"/>
  <c r="M252" i="3"/>
  <c r="M251" i="3"/>
  <c r="M250" i="3"/>
  <c r="N141" i="3"/>
  <c r="M141" i="3"/>
  <c r="N140" i="3"/>
  <c r="M140" i="3"/>
  <c r="N139" i="3"/>
  <c r="M139" i="3"/>
  <c r="N138" i="3"/>
  <c r="M138" i="3"/>
  <c r="R287" i="3"/>
  <c r="R286" i="3"/>
  <c r="R285" i="3"/>
  <c r="N253" i="3" l="1"/>
  <c r="D285" i="3"/>
  <c r="M288" i="3"/>
  <c r="N252" i="3" l="1"/>
  <c r="M287" i="3" l="1"/>
  <c r="M286" i="3"/>
  <c r="R284" i="3" l="1"/>
  <c r="R283" i="3"/>
  <c r="R282" i="3" l="1"/>
  <c r="M285" i="3"/>
  <c r="M284" i="3" l="1"/>
  <c r="M283" i="3"/>
  <c r="M137" i="3"/>
  <c r="N137" i="3"/>
  <c r="R281" i="3"/>
  <c r="N246" i="3"/>
  <c r="F282" i="3"/>
  <c r="F281" i="3"/>
  <c r="M282" i="3"/>
  <c r="M281" i="3"/>
  <c r="F250" i="3"/>
  <c r="F249" i="3"/>
  <c r="N249" i="3"/>
  <c r="O249" i="3"/>
  <c r="O250" i="3"/>
  <c r="O244" i="3"/>
  <c r="O245" i="3"/>
  <c r="O246" i="3"/>
  <c r="O247" i="3"/>
  <c r="O248" i="3"/>
  <c r="N250" i="3"/>
  <c r="N251" i="3"/>
  <c r="N244" i="3"/>
  <c r="N245" i="3"/>
  <c r="N247" i="3"/>
  <c r="N248" i="3"/>
  <c r="N243" i="3"/>
  <c r="N135" i="3"/>
  <c r="N136" i="3"/>
  <c r="M249" i="3" l="1"/>
  <c r="M248" i="3"/>
  <c r="M136" i="3"/>
  <c r="P3" i="3" l="1"/>
  <c r="M3" i="3"/>
  <c r="L3" i="3"/>
  <c r="K3" i="3"/>
  <c r="J3" i="3"/>
  <c r="R280" i="3"/>
  <c r="R279" i="3"/>
  <c r="M280" i="3" l="1"/>
  <c r="M279" i="3"/>
  <c r="M278" i="3"/>
  <c r="M277" i="3"/>
  <c r="P279" i="3"/>
  <c r="R278" i="3" l="1"/>
  <c r="R277" i="3"/>
  <c r="R276" i="3"/>
  <c r="R275" i="3"/>
  <c r="R274" i="3"/>
  <c r="R273" i="3"/>
  <c r="R272" i="3"/>
  <c r="R271" i="3"/>
  <c r="R270" i="3"/>
  <c r="R269" i="3"/>
  <c r="R268" i="3"/>
  <c r="O136" i="3" l="1"/>
  <c r="O135" i="3"/>
  <c r="O134" i="3"/>
  <c r="O133" i="3"/>
  <c r="O132" i="3"/>
  <c r="O131" i="3"/>
  <c r="O130" i="3"/>
  <c r="P278" i="3"/>
  <c r="P277" i="3"/>
  <c r="P276" i="3"/>
  <c r="P275" i="3"/>
  <c r="P274" i="3"/>
  <c r="M273" i="3"/>
  <c r="M274" i="3"/>
  <c r="M275" i="3"/>
  <c r="M276" i="3"/>
  <c r="M272" i="3"/>
  <c r="M247" i="3"/>
  <c r="M240" i="3"/>
  <c r="M132" i="3"/>
  <c r="M134" i="3"/>
  <c r="M135" i="3"/>
  <c r="O243" i="3"/>
  <c r="O242" i="3"/>
  <c r="O241" i="3"/>
  <c r="O3" i="3" s="1"/>
  <c r="O240" i="3"/>
  <c r="O129" i="3"/>
  <c r="O128" i="3"/>
  <c r="O127" i="3"/>
  <c r="O126" i="3"/>
  <c r="N134" i="3"/>
  <c r="P273" i="3"/>
  <c r="Q133" i="3" l="1"/>
  <c r="N133" i="3"/>
  <c r="Q132" i="3"/>
  <c r="A27" i="16"/>
  <c r="B27" i="16"/>
  <c r="C27" i="16"/>
  <c r="D27" i="16"/>
  <c r="E27" i="16"/>
  <c r="F27" i="16"/>
  <c r="A28" i="16"/>
  <c r="B28" i="16"/>
  <c r="C28" i="16"/>
  <c r="D28" i="16"/>
  <c r="E28" i="16"/>
  <c r="F28" i="16"/>
  <c r="A29" i="16"/>
  <c r="B29" i="16"/>
  <c r="C29" i="16"/>
  <c r="D29" i="16"/>
  <c r="E29" i="16"/>
  <c r="F29" i="16"/>
  <c r="A30" i="16"/>
  <c r="B30" i="16"/>
  <c r="C30" i="16"/>
  <c r="D30" i="16"/>
  <c r="E30" i="16"/>
  <c r="F30" i="16"/>
  <c r="B74" i="15"/>
  <c r="C74" i="15"/>
  <c r="E74" i="15"/>
  <c r="F74" i="15"/>
  <c r="B75" i="15"/>
  <c r="C75" i="15"/>
  <c r="E75" i="15"/>
  <c r="F75" i="15"/>
  <c r="B76" i="15"/>
  <c r="C76" i="15"/>
  <c r="E76" i="15"/>
  <c r="F76" i="15"/>
  <c r="Q131" i="3"/>
  <c r="N131" i="3"/>
  <c r="P272" i="3"/>
  <c r="Q130" i="3"/>
  <c r="N130" i="3"/>
  <c r="P271" i="3"/>
  <c r="P270" i="3"/>
  <c r="P269" i="3"/>
  <c r="P268" i="3"/>
  <c r="N242" i="3" l="1"/>
  <c r="N241" i="3"/>
  <c r="N3" i="3" s="1"/>
  <c r="Q129" i="3"/>
  <c r="N129" i="3"/>
  <c r="P267" i="3"/>
  <c r="P266" i="3"/>
  <c r="A25" i="16"/>
  <c r="B25" i="16"/>
  <c r="C25" i="16"/>
  <c r="D25" i="16"/>
  <c r="E25" i="16"/>
  <c r="F25" i="16"/>
  <c r="G25" i="16" s="1"/>
  <c r="A26" i="16"/>
  <c r="B26" i="16"/>
  <c r="C26" i="16"/>
  <c r="D26" i="16"/>
  <c r="E26" i="16"/>
  <c r="F26" i="16"/>
  <c r="B69" i="15"/>
  <c r="C69" i="15"/>
  <c r="E69" i="15"/>
  <c r="F69" i="15"/>
  <c r="G69" i="15"/>
  <c r="B70" i="15"/>
  <c r="C70" i="15"/>
  <c r="E70" i="15"/>
  <c r="F70" i="15"/>
  <c r="G70" i="15"/>
  <c r="B71" i="15"/>
  <c r="C71" i="15"/>
  <c r="E71" i="15"/>
  <c r="F71" i="15"/>
  <c r="G71" i="15"/>
  <c r="B72" i="15"/>
  <c r="C72" i="15"/>
  <c r="E72" i="15"/>
  <c r="F72" i="15"/>
  <c r="G72" i="15"/>
  <c r="B73" i="15"/>
  <c r="C73" i="15"/>
  <c r="E73" i="15"/>
  <c r="F73" i="15"/>
  <c r="Q236" i="3"/>
  <c r="Q235" i="3"/>
  <c r="N240" i="3"/>
  <c r="P265" i="3"/>
  <c r="P264" i="3"/>
  <c r="P263" i="3"/>
  <c r="P262" i="3"/>
  <c r="N262" i="3"/>
  <c r="Q128" i="3"/>
  <c r="N128" i="3"/>
  <c r="N239" i="3"/>
  <c r="G26" i="16" l="1"/>
  <c r="G27" i="16" s="1"/>
  <c r="G28" i="16" s="1"/>
  <c r="G29" i="16" s="1"/>
  <c r="G30" i="16" s="1"/>
  <c r="Q127" i="3"/>
  <c r="N127" i="3"/>
  <c r="C21" i="16"/>
  <c r="C22" i="16"/>
  <c r="C23" i="16"/>
  <c r="C24" i="16"/>
  <c r="E21" i="16"/>
  <c r="E22" i="16"/>
  <c r="E23" i="16"/>
  <c r="E24" i="16"/>
  <c r="D21" i="16"/>
  <c r="D22" i="16"/>
  <c r="D23" i="16"/>
  <c r="D24" i="16"/>
  <c r="Q125" i="3"/>
  <c r="N125" i="3"/>
  <c r="Q126" i="3"/>
  <c r="N126" i="3"/>
  <c r="Q234" i="3"/>
  <c r="Q233" i="3"/>
  <c r="Q124" i="3"/>
  <c r="Q123" i="3"/>
  <c r="Q122" i="3"/>
  <c r="Q121" i="3"/>
  <c r="Q120" i="3"/>
  <c r="Q118" i="3"/>
  <c r="Q117" i="3"/>
  <c r="Q116" i="3"/>
  <c r="Q115" i="3"/>
  <c r="Q114" i="3"/>
  <c r="Q113" i="3"/>
  <c r="Q112" i="3"/>
  <c r="Q111" i="3"/>
  <c r="Q110" i="3"/>
  <c r="Q109" i="3"/>
  <c r="Q108" i="3"/>
  <c r="Q119" i="3"/>
  <c r="D20" i="16"/>
  <c r="D19" i="16"/>
  <c r="C20" i="16"/>
  <c r="C19" i="16"/>
  <c r="A23" i="16"/>
  <c r="B23" i="16"/>
  <c r="A24" i="16"/>
  <c r="B24" i="16"/>
  <c r="B67" i="15"/>
  <c r="C67" i="15"/>
  <c r="E67" i="15"/>
  <c r="F67" i="15"/>
  <c r="B68" i="15"/>
  <c r="C68" i="15"/>
  <c r="E68" i="15"/>
  <c r="F68" i="15"/>
  <c r="G68" i="15"/>
  <c r="G79" i="15" s="1"/>
  <c r="N238" i="3"/>
  <c r="N237" i="3"/>
  <c r="N124" i="3"/>
  <c r="N123" i="3"/>
  <c r="A21" i="16"/>
  <c r="B21" i="16"/>
  <c r="A22" i="16"/>
  <c r="B22" i="16"/>
  <c r="C63" i="15"/>
  <c r="E63" i="15"/>
  <c r="C64" i="15"/>
  <c r="E64" i="15"/>
  <c r="C65" i="15"/>
  <c r="E65" i="15"/>
  <c r="C66" i="15"/>
  <c r="E66" i="15"/>
  <c r="B65" i="15"/>
  <c r="F65" i="15"/>
  <c r="B66" i="15"/>
  <c r="F66" i="15"/>
  <c r="N122" i="3"/>
  <c r="N236" i="3"/>
  <c r="N235" i="3"/>
  <c r="N233" i="3"/>
  <c r="N121" i="3"/>
  <c r="A16" i="16"/>
  <c r="B16" i="16"/>
  <c r="C16" i="16"/>
  <c r="D16" i="16"/>
  <c r="E16" i="16"/>
  <c r="N230" i="3"/>
  <c r="A19" i="16"/>
  <c r="B19" i="16"/>
  <c r="E19" i="16"/>
  <c r="A20" i="16"/>
  <c r="B20" i="16"/>
  <c r="E20" i="16"/>
  <c r="Q2" i="1"/>
  <c r="Q3" i="1"/>
  <c r="N119" i="3"/>
  <c r="N234" i="3"/>
  <c r="N120" i="3"/>
  <c r="F63" i="15"/>
  <c r="F64" i="15"/>
  <c r="B63" i="15"/>
  <c r="B64" i="15"/>
  <c r="D18" i="16"/>
  <c r="D17" i="16"/>
  <c r="D12" i="16"/>
  <c r="D13" i="16"/>
  <c r="D14" i="16"/>
  <c r="D15" i="16"/>
  <c r="C18" i="16"/>
  <c r="C58" i="15"/>
  <c r="E58" i="15"/>
  <c r="F58" i="15"/>
  <c r="N114" i="3"/>
  <c r="L58" i="15" s="1"/>
  <c r="C59" i="15"/>
  <c r="E59" i="15"/>
  <c r="F59" i="15"/>
  <c r="C60" i="15"/>
  <c r="E60" i="15"/>
  <c r="F60" i="15"/>
  <c r="C61" i="15"/>
  <c r="E61" i="15"/>
  <c r="F61" i="15"/>
  <c r="C62" i="15"/>
  <c r="E62" i="15"/>
  <c r="F62" i="15"/>
  <c r="B62" i="15"/>
  <c r="N118" i="3"/>
  <c r="L62" i="15" s="1"/>
  <c r="N117" i="3"/>
  <c r="L61" i="15" s="1"/>
  <c r="N116" i="3"/>
  <c r="L60" i="15" s="1"/>
  <c r="N115" i="3"/>
  <c r="L59" i="15" s="1"/>
  <c r="C57" i="15"/>
  <c r="E57" i="15"/>
  <c r="F57" i="15"/>
  <c r="B59" i="15"/>
  <c r="B60" i="15"/>
  <c r="B61" i="15"/>
  <c r="B57" i="15"/>
  <c r="B58" i="15"/>
  <c r="N113" i="3"/>
  <c r="L57" i="15" s="1"/>
  <c r="E18" i="16"/>
  <c r="B18" i="16"/>
  <c r="A18" i="16"/>
  <c r="A15" i="16"/>
  <c r="B15" i="16"/>
  <c r="C15" i="16"/>
  <c r="E15" i="16"/>
  <c r="N229" i="3"/>
  <c r="N232" i="3"/>
  <c r="Q232" i="3"/>
  <c r="C53" i="15"/>
  <c r="E53" i="15"/>
  <c r="F53" i="15"/>
  <c r="C52" i="15"/>
  <c r="E52" i="15"/>
  <c r="F52" i="15"/>
  <c r="E103" i="3"/>
  <c r="E223" i="3"/>
  <c r="Q223" i="3" s="1"/>
  <c r="E222" i="3"/>
  <c r="Q222" i="3" s="1"/>
  <c r="L53" i="15"/>
  <c r="E17" i="16"/>
  <c r="C17" i="16"/>
  <c r="N231" i="3"/>
  <c r="A17" i="16"/>
  <c r="B17" i="16"/>
  <c r="Q231" i="3"/>
  <c r="E56" i="15"/>
  <c r="C56" i="15"/>
  <c r="E55" i="15"/>
  <c r="C55" i="15"/>
  <c r="E54" i="15"/>
  <c r="C54" i="15"/>
  <c r="N111" i="3"/>
  <c r="L55" i="15" s="1"/>
  <c r="N112" i="3"/>
  <c r="L56" i="15" s="1"/>
  <c r="L54" i="15"/>
  <c r="E217" i="3"/>
  <c r="E221" i="3"/>
  <c r="Q221" i="3" s="1"/>
  <c r="E220" i="3"/>
  <c r="Q220" i="3" s="1"/>
  <c r="E219" i="3"/>
  <c r="E102" i="3"/>
  <c r="C12" i="16"/>
  <c r="E12" i="16"/>
  <c r="C13" i="16"/>
  <c r="E13" i="16"/>
  <c r="C14" i="16"/>
  <c r="E14" i="16"/>
  <c r="E10" i="16"/>
  <c r="D10" i="16"/>
  <c r="C10" i="16"/>
  <c r="F49" i="15"/>
  <c r="E49" i="15"/>
  <c r="C49" i="15"/>
  <c r="F50" i="15"/>
  <c r="E50" i="15"/>
  <c r="C50" i="15"/>
  <c r="N224" i="3"/>
  <c r="N106" i="3"/>
  <c r="L50" i="15" s="1"/>
  <c r="N108" i="3"/>
  <c r="L52" i="15" s="1"/>
  <c r="E51" i="15"/>
  <c r="C51" i="15"/>
  <c r="N107" i="3"/>
  <c r="L51" i="15" s="1"/>
  <c r="B54" i="15"/>
  <c r="F54" i="15"/>
  <c r="B55" i="15"/>
  <c r="F55" i="15"/>
  <c r="B56" i="15"/>
  <c r="F56" i="15"/>
  <c r="F51" i="15"/>
  <c r="B53" i="15"/>
  <c r="D9" i="16"/>
  <c r="D11" i="16"/>
  <c r="C9" i="16"/>
  <c r="C11" i="16"/>
  <c r="B12" i="16"/>
  <c r="B13" i="16"/>
  <c r="B14" i="16"/>
  <c r="A12" i="16"/>
  <c r="A13" i="16"/>
  <c r="A14" i="16"/>
  <c r="Q230" i="3"/>
  <c r="Q229" i="3"/>
  <c r="Q228" i="3"/>
  <c r="N228" i="3"/>
  <c r="Q227" i="3"/>
  <c r="N227" i="3"/>
  <c r="Q226" i="3"/>
  <c r="N226" i="3"/>
  <c r="N223" i="3"/>
  <c r="K9" i="16" s="1"/>
  <c r="E8" i="16"/>
  <c r="C8" i="16"/>
  <c r="D8" i="16"/>
  <c r="N222" i="3"/>
  <c r="K8" i="16" s="1"/>
  <c r="N105" i="3"/>
  <c r="L49" i="15" s="1"/>
  <c r="B51" i="15"/>
  <c r="B52" i="15"/>
  <c r="N225" i="3"/>
  <c r="Q101" i="3"/>
  <c r="S101" i="3" s="1"/>
  <c r="G3" i="16"/>
  <c r="G4" i="16" s="1"/>
  <c r="G5" i="16" s="1"/>
  <c r="G6" i="16" s="1"/>
  <c r="G7" i="16" s="1"/>
  <c r="G8" i="16" s="1"/>
  <c r="G9" i="16" s="1"/>
  <c r="G10" i="16" s="1"/>
  <c r="G11" i="16" s="1"/>
  <c r="G12" i="16" s="1"/>
  <c r="G13" i="16" s="1"/>
  <c r="G14" i="16" s="1"/>
  <c r="G15" i="16" s="1"/>
  <c r="G16" i="16" s="1"/>
  <c r="E4" i="16"/>
  <c r="E5" i="16"/>
  <c r="E6" i="16"/>
  <c r="E7" i="16"/>
  <c r="E9" i="16"/>
  <c r="E11" i="16"/>
  <c r="E3" i="16"/>
  <c r="D4" i="16"/>
  <c r="D5" i="16"/>
  <c r="D6" i="16"/>
  <c r="D7" i="16"/>
  <c r="D3" i="16"/>
  <c r="C4" i="16"/>
  <c r="C5" i="16"/>
  <c r="C6" i="16"/>
  <c r="C7" i="16"/>
  <c r="C3" i="16"/>
  <c r="B4" i="16"/>
  <c r="B5" i="16"/>
  <c r="B6" i="16"/>
  <c r="B7" i="16"/>
  <c r="B8" i="16"/>
  <c r="B9" i="16"/>
  <c r="B10" i="16"/>
  <c r="B11" i="16"/>
  <c r="B3" i="16"/>
  <c r="A4" i="16"/>
  <c r="A5" i="16"/>
  <c r="A6" i="16"/>
  <c r="A7" i="16"/>
  <c r="A8" i="16"/>
  <c r="A9" i="16"/>
  <c r="A10" i="16"/>
  <c r="A11" i="16"/>
  <c r="A3" i="16"/>
  <c r="Q225" i="3"/>
  <c r="F46" i="15"/>
  <c r="F47" i="15"/>
  <c r="F48" i="15"/>
  <c r="F45" i="15"/>
  <c r="E46" i="15"/>
  <c r="E47" i="15"/>
  <c r="E48" i="15"/>
  <c r="E45" i="15"/>
  <c r="B50" i="15"/>
  <c r="C46" i="15"/>
  <c r="C47" i="15"/>
  <c r="C48" i="15"/>
  <c r="C45" i="15"/>
  <c r="B46" i="15"/>
  <c r="B47" i="15"/>
  <c r="B48" i="15"/>
  <c r="B49" i="15"/>
  <c r="B45" i="15"/>
  <c r="Q224" i="3"/>
  <c r="N104" i="3"/>
  <c r="L48" i="15" s="1"/>
  <c r="Q216" i="3"/>
  <c r="S216" i="3" s="1"/>
  <c r="Q215" i="3"/>
  <c r="S215" i="3" s="1"/>
  <c r="Q97" i="3"/>
  <c r="S97" i="3" s="1"/>
  <c r="Q98" i="3"/>
  <c r="S98" i="3" s="1"/>
  <c r="Q99" i="3"/>
  <c r="S99" i="3" s="1"/>
  <c r="Q100" i="3"/>
  <c r="S100" i="3" s="1"/>
  <c r="N103" i="3"/>
  <c r="L47" i="15" s="1"/>
  <c r="N101" i="3"/>
  <c r="N102" i="3"/>
  <c r="L46" i="15" s="1"/>
  <c r="N221" i="3"/>
  <c r="K7" i="16" s="1"/>
  <c r="N220" i="3"/>
  <c r="K6" i="16" s="1"/>
  <c r="N219" i="3"/>
  <c r="K5" i="16" s="1"/>
  <c r="Q94" i="3"/>
  <c r="S94" i="3" s="1"/>
  <c r="Q95" i="3"/>
  <c r="S95" i="3" s="1"/>
  <c r="Q96" i="3"/>
  <c r="S96" i="3" s="1"/>
  <c r="N218" i="3"/>
  <c r="K4" i="16" s="1"/>
  <c r="N217" i="3"/>
  <c r="K3" i="16" s="1"/>
  <c r="N216" i="3"/>
  <c r="N215" i="3"/>
  <c r="N213" i="3"/>
  <c r="Q93" i="3"/>
  <c r="S93" i="3" s="1"/>
  <c r="Q92" i="3"/>
  <c r="S92" i="3" s="1"/>
  <c r="N100" i="3"/>
  <c r="N97" i="3"/>
  <c r="N98" i="3"/>
  <c r="N99" i="3"/>
  <c r="N96" i="3"/>
  <c r="Q213" i="3"/>
  <c r="N95" i="3"/>
  <c r="N94" i="3"/>
  <c r="N93" i="3"/>
  <c r="N92" i="3"/>
  <c r="N91" i="3"/>
  <c r="Q212" i="3"/>
  <c r="Q211" i="3"/>
  <c r="Q89" i="3"/>
  <c r="Q207" i="3"/>
  <c r="Q88" i="3"/>
  <c r="Q87" i="3"/>
  <c r="N212" i="3"/>
  <c r="Q209" i="3"/>
  <c r="N208" i="3"/>
  <c r="N90" i="3"/>
  <c r="N211" i="3"/>
  <c r="N210" i="3"/>
  <c r="Q85" i="3"/>
  <c r="N207" i="3"/>
  <c r="N209" i="3"/>
  <c r="Q82" i="3"/>
  <c r="N89" i="3"/>
  <c r="Q80" i="3"/>
  <c r="Q81" i="3"/>
  <c r="Q205" i="3"/>
  <c r="N206" i="3"/>
  <c r="N88" i="3"/>
  <c r="N87" i="3"/>
  <c r="Q78" i="3"/>
  <c r="Q77" i="3"/>
  <c r="A32" i="15"/>
  <c r="N86" i="3"/>
  <c r="A30" i="15"/>
  <c r="A31" i="15"/>
  <c r="Q203" i="3"/>
  <c r="Q204" i="3"/>
  <c r="N81" i="3"/>
  <c r="N84" i="3"/>
  <c r="N85" i="3"/>
  <c r="N83" i="3"/>
  <c r="Q75" i="3"/>
  <c r="C24" i="15"/>
  <c r="A29" i="15"/>
  <c r="N205" i="3"/>
  <c r="N82" i="3"/>
  <c r="B28" i="15"/>
  <c r="B27" i="15"/>
  <c r="A28" i="15"/>
  <c r="A27" i="15"/>
  <c r="Q74" i="3"/>
  <c r="Q72" i="3"/>
  <c r="Q195" i="3"/>
  <c r="Q196" i="3"/>
  <c r="Q197" i="3"/>
  <c r="Q199" i="3"/>
  <c r="Q200" i="3"/>
  <c r="Q202" i="3"/>
  <c r="Q194" i="3"/>
  <c r="Q61" i="3"/>
  <c r="Q62" i="3"/>
  <c r="Q64" i="3"/>
  <c r="Q65" i="3"/>
  <c r="Q66" i="3"/>
  <c r="Q67" i="3"/>
  <c r="Q68" i="3"/>
  <c r="Q71" i="3"/>
  <c r="Q73" i="3"/>
  <c r="N78" i="3"/>
  <c r="L22" i="15" s="1"/>
  <c r="N80" i="3"/>
  <c r="F23" i="15"/>
  <c r="B20" i="15"/>
  <c r="C23" i="15"/>
  <c r="B23" i="15"/>
  <c r="B24" i="15"/>
  <c r="B25" i="15"/>
  <c r="B26" i="15"/>
  <c r="A23" i="15"/>
  <c r="A24" i="15"/>
  <c r="A25" i="15"/>
  <c r="A26" i="15"/>
  <c r="N204" i="3"/>
  <c r="N203" i="3"/>
  <c r="N79" i="3"/>
  <c r="N76" i="3"/>
  <c r="F19" i="15"/>
  <c r="F21" i="15"/>
  <c r="F22" i="15"/>
  <c r="E21" i="15"/>
  <c r="E22" i="15"/>
  <c r="E19" i="15"/>
  <c r="C22" i="15"/>
  <c r="C21" i="15"/>
  <c r="A20" i="15"/>
  <c r="C19" i="15"/>
  <c r="N201" i="3"/>
  <c r="N77" i="3"/>
  <c r="L21" i="15" s="1"/>
  <c r="N75" i="3"/>
  <c r="L19" i="15" s="1"/>
  <c r="N202" i="3"/>
  <c r="B22" i="15"/>
  <c r="B21" i="15"/>
  <c r="A22" i="15"/>
  <c r="A21" i="15"/>
  <c r="F17" i="15"/>
  <c r="F18" i="15"/>
  <c r="F16" i="15"/>
  <c r="C15" i="15"/>
  <c r="C16" i="15"/>
  <c r="C17" i="15"/>
  <c r="C18" i="15"/>
  <c r="C14" i="15"/>
  <c r="B19" i="15"/>
  <c r="N69" i="3"/>
  <c r="L13" i="15" s="1"/>
  <c r="N71" i="3"/>
  <c r="L15" i="15" s="1"/>
  <c r="N200" i="3"/>
  <c r="N73" i="3"/>
  <c r="L17" i="15" s="1"/>
  <c r="E18" i="15"/>
  <c r="E17" i="15"/>
  <c r="E16" i="15"/>
  <c r="N74" i="3"/>
  <c r="L18" i="15" s="1"/>
  <c r="N72" i="3"/>
  <c r="L16" i="15" s="1"/>
  <c r="N198" i="3"/>
  <c r="N199" i="3"/>
  <c r="N70" i="3"/>
  <c r="L14" i="15" s="1"/>
  <c r="C13" i="15"/>
  <c r="F15" i="15"/>
  <c r="F14" i="15"/>
  <c r="F13" i="15"/>
  <c r="E14" i="15"/>
  <c r="E15" i="15"/>
  <c r="B13" i="15"/>
  <c r="B14" i="15"/>
  <c r="B15" i="15"/>
  <c r="B16" i="15"/>
  <c r="B17" i="15"/>
  <c r="B18" i="15"/>
  <c r="B12" i="15"/>
  <c r="B3" i="15"/>
  <c r="D3" i="15"/>
  <c r="F3" i="15"/>
  <c r="I3" i="15"/>
  <c r="I4" i="15" s="1"/>
  <c r="I5" i="15" s="1"/>
  <c r="J3" i="15"/>
  <c r="J4" i="15" s="1"/>
  <c r="J5" i="15" s="1"/>
  <c r="J6" i="15" s="1"/>
  <c r="J7" i="15" s="1"/>
  <c r="K3" i="15"/>
  <c r="K4" i="15" s="1"/>
  <c r="K5" i="15" s="1"/>
  <c r="B4" i="15"/>
  <c r="D4" i="15"/>
  <c r="F4" i="15"/>
  <c r="B5" i="15"/>
  <c r="D5" i="15"/>
  <c r="E5" i="15"/>
  <c r="F5" i="15"/>
  <c r="H5" i="15"/>
  <c r="N67" i="3"/>
  <c r="L11" i="15" s="1"/>
  <c r="E7" i="15"/>
  <c r="E8" i="15"/>
  <c r="E9" i="15"/>
  <c r="E10" i="15"/>
  <c r="E11" i="15"/>
  <c r="E12" i="15"/>
  <c r="E13" i="15"/>
  <c r="E6" i="15"/>
  <c r="N64" i="3"/>
  <c r="N197" i="3"/>
  <c r="N196" i="3"/>
  <c r="N68" i="3"/>
  <c r="L12" i="15" s="1"/>
  <c r="F6" i="15"/>
  <c r="F7" i="15"/>
  <c r="F8" i="15"/>
  <c r="F9" i="15"/>
  <c r="F10" i="15"/>
  <c r="F11" i="15"/>
  <c r="D6" i="15"/>
  <c r="D7" i="15"/>
  <c r="B6" i="15"/>
  <c r="B7" i="15"/>
  <c r="B8" i="15"/>
  <c r="B9" i="15"/>
  <c r="B10" i="15"/>
  <c r="B11" i="15"/>
  <c r="N66" i="3"/>
  <c r="L10" i="15" s="1"/>
  <c r="N62" i="3"/>
  <c r="N65" i="3"/>
  <c r="N63" i="3"/>
  <c r="N61" i="3"/>
  <c r="N195" i="3"/>
  <c r="N194" i="3"/>
  <c r="N60" i="3"/>
  <c r="N58" i="3"/>
  <c r="N59" i="3"/>
  <c r="N193" i="3"/>
  <c r="N192" i="3"/>
  <c r="N57" i="3"/>
  <c r="N56" i="3"/>
  <c r="N191" i="3"/>
  <c r="N190" i="3"/>
  <c r="N189" i="3"/>
  <c r="N55" i="3"/>
  <c r="N186" i="3"/>
  <c r="N188" i="3"/>
  <c r="N187" i="3"/>
  <c r="N185" i="3"/>
  <c r="N183" i="3"/>
  <c r="N54" i="3"/>
  <c r="N184" i="3"/>
  <c r="N182" i="3"/>
  <c r="N53" i="3"/>
  <c r="N181" i="3"/>
  <c r="N180" i="3"/>
  <c r="N52" i="3"/>
  <c r="N178" i="3"/>
  <c r="N177" i="3"/>
  <c r="N179" i="3"/>
  <c r="N50" i="3"/>
  <c r="N48" i="3"/>
  <c r="N47" i="3"/>
  <c r="N175" i="3"/>
  <c r="N176" i="3"/>
  <c r="N174" i="3"/>
  <c r="N46" i="3"/>
  <c r="N45" i="3"/>
  <c r="N173" i="3"/>
  <c r="N172" i="3"/>
  <c r="N171" i="3"/>
  <c r="N170" i="3"/>
  <c r="N44" i="3"/>
  <c r="N169" i="3"/>
  <c r="N43" i="3"/>
  <c r="N168" i="3"/>
  <c r="N167" i="3"/>
  <c r="N165" i="3"/>
  <c r="N166" i="3"/>
  <c r="N164" i="3"/>
  <c r="N42" i="3"/>
  <c r="N41" i="3"/>
  <c r="N40" i="3"/>
  <c r="N39" i="3"/>
  <c r="L29" i="13"/>
  <c r="L30" i="13"/>
  <c r="L28" i="13"/>
  <c r="N38" i="3"/>
  <c r="N162" i="3"/>
  <c r="N163" i="3"/>
  <c r="N161" i="3"/>
  <c r="J129" i="12"/>
  <c r="N160" i="3"/>
  <c r="J36" i="13"/>
  <c r="L27" i="13"/>
  <c r="N36" i="3"/>
  <c r="L26" i="13"/>
  <c r="N159" i="3"/>
  <c r="L122" i="12"/>
  <c r="N30" i="3"/>
  <c r="N33" i="3"/>
  <c r="O22" i="10"/>
  <c r="L22" i="10"/>
  <c r="N34" i="3"/>
  <c r="N35" i="3"/>
  <c r="P22" i="10"/>
  <c r="L21" i="10"/>
  <c r="D30" i="10"/>
  <c r="D29" i="10"/>
  <c r="O21" i="10"/>
  <c r="F3" i="14"/>
  <c r="F2" i="14"/>
  <c r="D31" i="10"/>
  <c r="L23" i="13"/>
  <c r="L24" i="13"/>
  <c r="L25" i="13"/>
  <c r="P21" i="10"/>
  <c r="N157" i="3"/>
  <c r="N158" i="3"/>
  <c r="N156" i="3"/>
  <c r="L120" i="12"/>
  <c r="O19" i="10"/>
  <c r="O20" i="10"/>
  <c r="N31" i="3"/>
  <c r="N32" i="3"/>
  <c r="L20" i="10"/>
  <c r="L19" i="10"/>
  <c r="G19" i="10"/>
  <c r="P20" i="10"/>
  <c r="P19" i="10"/>
  <c r="AA36" i="13"/>
  <c r="Z36" i="13"/>
  <c r="Y36" i="13"/>
  <c r="X36" i="13"/>
  <c r="W36" i="13"/>
  <c r="V36" i="13"/>
  <c r="U36" i="13"/>
  <c r="T36" i="13"/>
  <c r="S36" i="13"/>
  <c r="R36" i="13"/>
  <c r="P36" i="13"/>
  <c r="O36" i="13"/>
  <c r="N36" i="13"/>
  <c r="L22" i="13"/>
  <c r="L21" i="13"/>
  <c r="L20" i="13"/>
  <c r="L19" i="13"/>
  <c r="L18" i="13"/>
  <c r="AK17" i="13"/>
  <c r="AL17" i="13"/>
  <c r="L17" i="13"/>
  <c r="AL16" i="13"/>
  <c r="L16" i="13"/>
  <c r="AL15" i="13"/>
  <c r="L15" i="13"/>
  <c r="AL14" i="13"/>
  <c r="L14" i="13"/>
  <c r="AL13" i="13"/>
  <c r="L13" i="13"/>
  <c r="AL12" i="13"/>
  <c r="L12" i="13"/>
  <c r="AL11" i="13"/>
  <c r="L11" i="13"/>
  <c r="AO10" i="13"/>
  <c r="AL10" i="13"/>
  <c r="L10" i="13"/>
  <c r="B10" i="13"/>
  <c r="AO9" i="13"/>
  <c r="AL9" i="13"/>
  <c r="Q9" i="13"/>
  <c r="Q36" i="13"/>
  <c r="L9" i="13"/>
  <c r="B9" i="13"/>
  <c r="AO8" i="13"/>
  <c r="AL8" i="13"/>
  <c r="L8" i="13"/>
  <c r="AO7" i="13"/>
  <c r="AL7" i="13"/>
  <c r="L7" i="13"/>
  <c r="AL6" i="13"/>
  <c r="L6" i="13"/>
  <c r="J6" i="13"/>
  <c r="AL36" i="13"/>
  <c r="AU129" i="12"/>
  <c r="AR129" i="12"/>
  <c r="AQ129" i="12"/>
  <c r="AP129" i="12"/>
  <c r="AO129" i="12"/>
  <c r="AN129" i="12"/>
  <c r="AM129" i="12"/>
  <c r="AL129" i="12"/>
  <c r="AK129" i="12"/>
  <c r="AJ129" i="12"/>
  <c r="AI129" i="12"/>
  <c r="AH129" i="12"/>
  <c r="AG129" i="12"/>
  <c r="AF129" i="12"/>
  <c r="AE129" i="12"/>
  <c r="AC129" i="12"/>
  <c r="AB129" i="12"/>
  <c r="AA129" i="12"/>
  <c r="Z129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AZ128" i="12"/>
  <c r="L117" i="12"/>
  <c r="L116" i="12"/>
  <c r="L115" i="12"/>
  <c r="L114" i="12"/>
  <c r="L113" i="12"/>
  <c r="AY112" i="12"/>
  <c r="AZ112" i="12"/>
  <c r="L112" i="12"/>
  <c r="AY111" i="12"/>
  <c r="AZ111" i="12"/>
  <c r="AY110" i="12"/>
  <c r="L110" i="12"/>
  <c r="AZ109" i="12"/>
  <c r="L109" i="12"/>
  <c r="AX108" i="12"/>
  <c r="AZ108" i="12"/>
  <c r="L108" i="12"/>
  <c r="AZ106" i="12"/>
  <c r="L106" i="12"/>
  <c r="AX105" i="12"/>
  <c r="AZ105" i="12"/>
  <c r="L105" i="12"/>
  <c r="AX104" i="12"/>
  <c r="AZ104" i="12"/>
  <c r="AZ103" i="12"/>
  <c r="L103" i="12"/>
  <c r="AW102" i="12"/>
  <c r="AZ102" i="12"/>
  <c r="L102" i="12"/>
  <c r="AX101" i="12"/>
  <c r="L101" i="12"/>
  <c r="AV100" i="12"/>
  <c r="AV129" i="12"/>
  <c r="L100" i="12"/>
  <c r="AZ99" i="12"/>
  <c r="L99" i="12"/>
  <c r="AZ98" i="12"/>
  <c r="L98" i="12"/>
  <c r="AZ97" i="12"/>
  <c r="L97" i="12"/>
  <c r="AZ96" i="12"/>
  <c r="L96" i="12"/>
  <c r="AW95" i="12"/>
  <c r="AZ94" i="12"/>
  <c r="L94" i="12"/>
  <c r="AZ93" i="12"/>
  <c r="L93" i="12"/>
  <c r="AZ92" i="12"/>
  <c r="L92" i="12"/>
  <c r="AZ91" i="12"/>
  <c r="L91" i="12"/>
  <c r="AZ90" i="12"/>
  <c r="L90" i="12"/>
  <c r="AZ89" i="12"/>
  <c r="AZ88" i="12"/>
  <c r="AZ87" i="12"/>
  <c r="L87" i="12"/>
  <c r="AZ86" i="12"/>
  <c r="L86" i="12"/>
  <c r="AZ85" i="12"/>
  <c r="L85" i="12"/>
  <c r="B85" i="12"/>
  <c r="AZ84" i="12"/>
  <c r="L84" i="12"/>
  <c r="AZ83" i="12"/>
  <c r="L83" i="12"/>
  <c r="AZ82" i="12"/>
  <c r="L82" i="12"/>
  <c r="AZ81" i="12"/>
  <c r="L81" i="12"/>
  <c r="AZ80" i="12"/>
  <c r="L80" i="12"/>
  <c r="BD79" i="12"/>
  <c r="BC79" i="12"/>
  <c r="AZ79" i="12"/>
  <c r="L79" i="12"/>
  <c r="BD78" i="12"/>
  <c r="BC78" i="12"/>
  <c r="AZ78" i="12"/>
  <c r="BD77" i="12"/>
  <c r="BC77" i="12"/>
  <c r="AZ77" i="12"/>
  <c r="L77" i="12"/>
  <c r="BD76" i="12"/>
  <c r="BC76" i="12"/>
  <c r="AZ76" i="12"/>
  <c r="L76" i="12"/>
  <c r="B76" i="12"/>
  <c r="BD75" i="12"/>
  <c r="BC75" i="12"/>
  <c r="AZ75" i="12"/>
  <c r="L75" i="12"/>
  <c r="BD74" i="12"/>
  <c r="BC74" i="12"/>
  <c r="AZ74" i="12"/>
  <c r="BE73" i="12"/>
  <c r="BD73" i="12"/>
  <c r="BC73" i="12"/>
  <c r="AZ73" i="12"/>
  <c r="BD72" i="12"/>
  <c r="BC72" i="12"/>
  <c r="AZ72" i="12"/>
  <c r="BD71" i="12"/>
  <c r="BC71" i="12"/>
  <c r="AZ71" i="12"/>
  <c r="BD70" i="12"/>
  <c r="BC70" i="12"/>
  <c r="AZ70" i="12"/>
  <c r="BD69" i="12"/>
  <c r="BC69" i="12"/>
  <c r="AZ69" i="12"/>
  <c r="BD68" i="12"/>
  <c r="BC68" i="12"/>
  <c r="AZ68" i="12"/>
  <c r="BD67" i="12"/>
  <c r="BC67" i="12"/>
  <c r="AZ67" i="12"/>
  <c r="B67" i="12"/>
  <c r="BD66" i="12"/>
  <c r="BC66" i="12"/>
  <c r="AZ66" i="12"/>
  <c r="B66" i="12"/>
  <c r="BD65" i="12"/>
  <c r="AZ65" i="12"/>
  <c r="BD64" i="12"/>
  <c r="AZ64" i="12"/>
  <c r="BD63" i="12"/>
  <c r="AZ63" i="12"/>
  <c r="L63" i="12"/>
  <c r="BD62" i="12"/>
  <c r="AZ62" i="12"/>
  <c r="B62" i="12"/>
  <c r="BD61" i="12"/>
  <c r="BD60" i="12"/>
  <c r="AZ60" i="12"/>
  <c r="BD59" i="12"/>
  <c r="BF59" i="12"/>
  <c r="AZ59" i="12"/>
  <c r="BD58" i="12"/>
  <c r="BF58" i="12"/>
  <c r="AZ58" i="12"/>
  <c r="A58" i="12"/>
  <c r="L58" i="12"/>
  <c r="BD57" i="12"/>
  <c r="BF57" i="12"/>
  <c r="AZ57" i="12"/>
  <c r="BE56" i="12"/>
  <c r="BD56" i="12"/>
  <c r="AZ56" i="12"/>
  <c r="BE55" i="12"/>
  <c r="BD55" i="12"/>
  <c r="AZ55" i="12"/>
  <c r="BE54" i="12"/>
  <c r="BD54" i="12"/>
  <c r="AD54" i="12"/>
  <c r="AZ54" i="12"/>
  <c r="L54" i="12"/>
  <c r="BE53" i="12"/>
  <c r="BD53" i="12"/>
  <c r="AZ53" i="12"/>
  <c r="BE52" i="12"/>
  <c r="BD52" i="12"/>
  <c r="AZ52" i="12"/>
  <c r="BE51" i="12"/>
  <c r="BD51" i="12"/>
  <c r="AZ51" i="12"/>
  <c r="BE50" i="12"/>
  <c r="BF50" i="12"/>
  <c r="AZ50" i="12"/>
  <c r="A48" i="12"/>
  <c r="L48" i="12"/>
  <c r="AZ47" i="12"/>
  <c r="AZ46" i="12"/>
  <c r="L46" i="12"/>
  <c r="AZ45" i="12"/>
  <c r="BE44" i="12"/>
  <c r="BD44" i="12"/>
  <c r="AZ44" i="12"/>
  <c r="L44" i="12"/>
  <c r="BE43" i="12"/>
  <c r="BD43" i="12"/>
  <c r="AZ43" i="12"/>
  <c r="L43" i="12"/>
  <c r="BE42" i="12"/>
  <c r="BD42" i="12"/>
  <c r="AZ42" i="12"/>
  <c r="L42" i="12"/>
  <c r="BE41" i="12"/>
  <c r="BD41" i="12"/>
  <c r="AZ41" i="12"/>
  <c r="L41" i="12"/>
  <c r="BE40" i="12"/>
  <c r="BD40" i="12"/>
  <c r="AZ40" i="12"/>
  <c r="L40" i="12"/>
  <c r="BE39" i="12"/>
  <c r="BD39" i="12"/>
  <c r="AZ39" i="12"/>
  <c r="L39" i="12"/>
  <c r="BE38" i="12"/>
  <c r="BD38" i="12"/>
  <c r="AZ38" i="12"/>
  <c r="L38" i="12"/>
  <c r="BE37" i="12"/>
  <c r="BD37" i="12"/>
  <c r="AZ37" i="12"/>
  <c r="L37" i="12"/>
  <c r="BE36" i="12"/>
  <c r="BD36" i="12"/>
  <c r="AZ36" i="12"/>
  <c r="L36" i="12"/>
  <c r="BE35" i="12"/>
  <c r="BD35" i="12"/>
  <c r="AZ35" i="12"/>
  <c r="BE34" i="12"/>
  <c r="BD34" i="12"/>
  <c r="AZ34" i="12"/>
  <c r="L34" i="12"/>
  <c r="BE33" i="12"/>
  <c r="BD33" i="12"/>
  <c r="AZ33" i="12"/>
  <c r="L33" i="12"/>
  <c r="AZ32" i="12"/>
  <c r="L32" i="12"/>
  <c r="J32" i="12"/>
  <c r="BE31" i="12"/>
  <c r="BD31" i="12"/>
  <c r="AZ31" i="12"/>
  <c r="L31" i="12"/>
  <c r="BE30" i="12"/>
  <c r="BD30" i="12"/>
  <c r="AZ30" i="12"/>
  <c r="L30" i="12"/>
  <c r="BE29" i="12"/>
  <c r="BD29" i="12"/>
  <c r="AZ29" i="12"/>
  <c r="L29" i="12"/>
  <c r="BE28" i="12"/>
  <c r="BD28" i="12"/>
  <c r="AZ28" i="12"/>
  <c r="L28" i="12"/>
  <c r="BE27" i="12"/>
  <c r="BD27" i="12"/>
  <c r="AZ27" i="12"/>
  <c r="L27" i="12"/>
  <c r="BE26" i="12"/>
  <c r="BD26" i="12"/>
  <c r="AZ26" i="12"/>
  <c r="L26" i="12"/>
  <c r="BE25" i="12"/>
  <c r="BD25" i="12"/>
  <c r="AZ25" i="12"/>
  <c r="L25" i="12"/>
  <c r="BE24" i="12"/>
  <c r="BD24" i="12"/>
  <c r="L24" i="12"/>
  <c r="BE23" i="12"/>
  <c r="BD23" i="12"/>
  <c r="AZ23" i="12"/>
  <c r="L23" i="12"/>
  <c r="BE22" i="12"/>
  <c r="BD22" i="12"/>
  <c r="L22" i="12"/>
  <c r="BE21" i="12"/>
  <c r="BD21" i="12"/>
  <c r="AZ21" i="12"/>
  <c r="L21" i="12"/>
  <c r="BE20" i="12"/>
  <c r="BD20" i="12"/>
  <c r="AZ20" i="12"/>
  <c r="L20" i="12"/>
  <c r="BE19" i="12"/>
  <c r="BD19" i="12"/>
  <c r="AZ19" i="12"/>
  <c r="L19" i="12"/>
  <c r="A19" i="12"/>
  <c r="BE18" i="12"/>
  <c r="BD18" i="12"/>
  <c r="AZ18" i="12"/>
  <c r="L18" i="12"/>
  <c r="B18" i="12"/>
  <c r="BE17" i="12"/>
  <c r="BD17" i="12"/>
  <c r="AZ17" i="12"/>
  <c r="L17" i="12"/>
  <c r="BE16" i="12"/>
  <c r="BD16" i="12"/>
  <c r="AZ16" i="12"/>
  <c r="L16" i="12"/>
  <c r="BE15" i="12"/>
  <c r="BD15" i="12"/>
  <c r="AZ15" i="12"/>
  <c r="L15" i="12"/>
  <c r="BE14" i="12"/>
  <c r="BD14" i="12"/>
  <c r="AZ14" i="12"/>
  <c r="L14" i="12"/>
  <c r="BD13" i="12"/>
  <c r="BF13" i="12"/>
  <c r="AZ13" i="12"/>
  <c r="L13" i="12"/>
  <c r="BD12" i="12"/>
  <c r="BF12" i="12"/>
  <c r="AZ12" i="12"/>
  <c r="L12" i="12"/>
  <c r="BE11" i="12"/>
  <c r="BD11" i="12"/>
  <c r="AZ11" i="12"/>
  <c r="L11" i="12"/>
  <c r="BE10" i="12"/>
  <c r="BD10" i="12"/>
  <c r="AZ10" i="12"/>
  <c r="L10" i="12"/>
  <c r="BD9" i="12"/>
  <c r="BF9" i="12"/>
  <c r="AZ9" i="12"/>
  <c r="L9" i="12"/>
  <c r="BD8" i="12"/>
  <c r="BF8" i="12"/>
  <c r="AZ8" i="12"/>
  <c r="L8" i="12"/>
  <c r="BD7" i="12"/>
  <c r="BF7" i="12"/>
  <c r="AZ7" i="12"/>
  <c r="L7" i="12"/>
  <c r="BD6" i="12"/>
  <c r="BF6" i="12"/>
  <c r="AZ6" i="12"/>
  <c r="L6" i="12"/>
  <c r="AD129" i="12"/>
  <c r="BF39" i="12"/>
  <c r="BF27" i="12"/>
  <c r="BF40" i="12"/>
  <c r="BF43" i="12"/>
  <c r="BF31" i="12"/>
  <c r="BF52" i="12"/>
  <c r="BF54" i="12"/>
  <c r="BF10" i="12"/>
  <c r="BF16" i="12"/>
  <c r="BF18" i="12"/>
  <c r="BF22" i="12"/>
  <c r="BF23" i="12"/>
  <c r="BF56" i="12"/>
  <c r="AW129" i="12"/>
  <c r="AX129" i="12"/>
  <c r="BF17" i="12"/>
  <c r="BF24" i="12"/>
  <c r="BF28" i="12"/>
  <c r="BF73" i="12"/>
  <c r="AY129" i="12"/>
  <c r="BF11" i="12"/>
  <c r="BF35" i="12"/>
  <c r="BF36" i="12"/>
  <c r="BF44" i="12"/>
  <c r="BF19" i="12"/>
  <c r="BF20" i="12"/>
  <c r="BF21" i="12"/>
  <c r="BF25" i="12"/>
  <c r="BF26" i="12"/>
  <c r="BF33" i="12"/>
  <c r="BF34" i="12"/>
  <c r="BF37" i="12"/>
  <c r="BF38" i="12"/>
  <c r="BF51" i="12"/>
  <c r="AZ101" i="12"/>
  <c r="BF14" i="12"/>
  <c r="BF15" i="12"/>
  <c r="BF29" i="12"/>
  <c r="BF30" i="12"/>
  <c r="BF41" i="12"/>
  <c r="BF42" i="12"/>
  <c r="AZ100" i="12"/>
  <c r="BF53" i="12"/>
  <c r="BF55" i="12"/>
  <c r="AZ95" i="12"/>
  <c r="BE32" i="12"/>
  <c r="BD32" i="12"/>
  <c r="AZ110" i="12"/>
  <c r="AZ129" i="12"/>
  <c r="BF32" i="12"/>
  <c r="N155" i="3"/>
  <c r="N154" i="3"/>
  <c r="N153" i="3"/>
  <c r="U14" i="10"/>
  <c r="U18" i="10"/>
  <c r="U15" i="10"/>
  <c r="U16" i="10"/>
  <c r="U17" i="10"/>
  <c r="L18" i="10"/>
  <c r="O16" i="10"/>
  <c r="O18" i="10"/>
  <c r="P18" i="10"/>
  <c r="N27" i="3"/>
  <c r="N28" i="3"/>
  <c r="L14" i="10"/>
  <c r="G18" i="10"/>
  <c r="N152" i="3"/>
  <c r="O17" i="10"/>
  <c r="O14" i="10"/>
  <c r="P14" i="10"/>
  <c r="N25" i="3"/>
  <c r="N26" i="3"/>
  <c r="N29" i="3"/>
  <c r="L17" i="10"/>
  <c r="G17" i="10"/>
  <c r="L16" i="10"/>
  <c r="P16" i="10"/>
  <c r="G16" i="10"/>
  <c r="O15" i="10"/>
  <c r="L15" i="10"/>
  <c r="G15" i="10"/>
  <c r="G14" i="10"/>
  <c r="O13" i="10"/>
  <c r="L13" i="10"/>
  <c r="G13" i="10"/>
  <c r="O12" i="10"/>
  <c r="L12" i="10"/>
  <c r="G12" i="10"/>
  <c r="O11" i="10"/>
  <c r="L11" i="10"/>
  <c r="G11" i="10"/>
  <c r="O10" i="10"/>
  <c r="L10" i="10"/>
  <c r="G10" i="10"/>
  <c r="O9" i="10"/>
  <c r="L9" i="10"/>
  <c r="P9" i="10"/>
  <c r="G9" i="10"/>
  <c r="O8" i="10"/>
  <c r="L8" i="10"/>
  <c r="G8" i="10"/>
  <c r="O7" i="10"/>
  <c r="L7" i="10"/>
  <c r="G7" i="10"/>
  <c r="O6" i="10"/>
  <c r="L6" i="10"/>
  <c r="G6" i="10"/>
  <c r="O5" i="10"/>
  <c r="L5" i="10"/>
  <c r="P5" i="10"/>
  <c r="G5" i="10"/>
  <c r="O4" i="10"/>
  <c r="L4" i="10"/>
  <c r="P4" i="10"/>
  <c r="G4" i="10"/>
  <c r="P13" i="10"/>
  <c r="P11" i="10"/>
  <c r="P6" i="10"/>
  <c r="P17" i="10"/>
  <c r="P7" i="10"/>
  <c r="P12" i="10"/>
  <c r="P15" i="10"/>
  <c r="P10" i="10"/>
  <c r="P8" i="10"/>
  <c r="N150" i="3"/>
  <c r="N151" i="3"/>
  <c r="N22" i="3"/>
  <c r="N23" i="3"/>
  <c r="N24" i="3"/>
  <c r="N20" i="3"/>
  <c r="N21" i="3"/>
  <c r="N19" i="3"/>
  <c r="N18" i="3"/>
  <c r="N16" i="3"/>
  <c r="N17" i="3"/>
  <c r="N15" i="3"/>
  <c r="F14" i="3"/>
  <c r="F13" i="3"/>
  <c r="F12" i="3"/>
  <c r="F10" i="5"/>
  <c r="L10" i="7"/>
  <c r="K10" i="7"/>
  <c r="K7" i="4"/>
  <c r="K8" i="4"/>
  <c r="K9" i="4"/>
  <c r="K10" i="4"/>
  <c r="K11" i="4"/>
  <c r="K12" i="4"/>
  <c r="K13" i="4"/>
  <c r="K6" i="4"/>
  <c r="K14" i="4"/>
  <c r="J14" i="4"/>
  <c r="I10" i="7"/>
  <c r="G10" i="7"/>
  <c r="E10" i="7"/>
  <c r="F10" i="7"/>
  <c r="L12" i="6"/>
  <c r="M11" i="6"/>
  <c r="M10" i="6"/>
  <c r="M9" i="6"/>
  <c r="M8" i="6"/>
  <c r="M12" i="6"/>
  <c r="J12" i="6"/>
  <c r="H12" i="6"/>
  <c r="F12" i="6"/>
  <c r="K11" i="6"/>
  <c r="K10" i="6"/>
  <c r="K9" i="6"/>
  <c r="K8" i="6"/>
  <c r="K12" i="6"/>
  <c r="I11" i="6"/>
  <c r="I10" i="6"/>
  <c r="I9" i="6"/>
  <c r="I8" i="6"/>
  <c r="I12" i="6"/>
  <c r="G8" i="6"/>
  <c r="G9" i="6"/>
  <c r="G10" i="6"/>
  <c r="G11" i="6"/>
  <c r="I10" i="5"/>
  <c r="G10" i="5"/>
  <c r="E10" i="5"/>
  <c r="G12" i="6"/>
  <c r="J10" i="7"/>
  <c r="H10" i="7"/>
  <c r="K10" i="5"/>
  <c r="L8" i="5"/>
  <c r="J10" i="5"/>
  <c r="L7" i="5"/>
  <c r="L10" i="5"/>
  <c r="H10" i="5"/>
  <c r="H14" i="4"/>
  <c r="F14" i="4"/>
  <c r="I7" i="4"/>
  <c r="I8" i="4"/>
  <c r="I9" i="4"/>
  <c r="I10" i="4"/>
  <c r="I11" i="4"/>
  <c r="I12" i="4"/>
  <c r="I13" i="4"/>
  <c r="I6" i="4"/>
  <c r="G7" i="4"/>
  <c r="G8" i="4"/>
  <c r="G9" i="4"/>
  <c r="G10" i="4"/>
  <c r="G11" i="4"/>
  <c r="G12" i="4"/>
  <c r="G13" i="4"/>
  <c r="G6" i="4"/>
  <c r="D14" i="4"/>
  <c r="E7" i="4"/>
  <c r="E8" i="4"/>
  <c r="E9" i="4"/>
  <c r="E10" i="4"/>
  <c r="E11" i="4"/>
  <c r="E12" i="4"/>
  <c r="E13" i="4"/>
  <c r="E6" i="4"/>
  <c r="I14" i="4"/>
  <c r="E14" i="4"/>
  <c r="G14" i="4"/>
  <c r="H6" i="15"/>
  <c r="H8" i="15" s="1"/>
  <c r="H9" i="15" s="1"/>
  <c r="H10" i="15" s="1"/>
  <c r="H11" i="15" s="1"/>
  <c r="H12" i="15" s="1"/>
  <c r="H13" i="15" s="1"/>
  <c r="H14" i="15" s="1"/>
  <c r="I6" i="15"/>
  <c r="I8" i="15" s="1"/>
  <c r="I9" i="15" s="1"/>
  <c r="I10" i="15" s="1"/>
  <c r="I11" i="15" s="1"/>
  <c r="I12" i="15" s="1"/>
  <c r="G82" i="15" l="1"/>
  <c r="H15" i="15"/>
  <c r="H16" i="15"/>
  <c r="H17" i="15" s="1"/>
  <c r="H18" i="15" s="1"/>
  <c r="H19" i="15" s="1"/>
  <c r="H20" i="15" s="1"/>
  <c r="H21" i="15" s="1"/>
  <c r="H22" i="15" s="1"/>
  <c r="H23" i="15" s="1"/>
  <c r="H24" i="15" s="1"/>
  <c r="H25" i="15" s="1"/>
  <c r="H26" i="15" s="1"/>
  <c r="H27" i="15" s="1"/>
  <c r="H28" i="15" s="1"/>
  <c r="H29" i="15" s="1"/>
  <c r="H30" i="15" s="1"/>
  <c r="H31" i="15" s="1"/>
  <c r="H32" i="15" s="1"/>
  <c r="H33" i="15" s="1"/>
  <c r="H34" i="15" s="1"/>
  <c r="H35" i="15" s="1"/>
  <c r="H36" i="15" s="1"/>
  <c r="H37" i="15" s="1"/>
  <c r="H38" i="15" s="1"/>
  <c r="H39" i="15" s="1"/>
  <c r="H40" i="15" s="1"/>
  <c r="H41" i="15" s="1"/>
  <c r="H42" i="15" s="1"/>
  <c r="H43" i="15" s="1"/>
  <c r="H44" i="15" s="1"/>
  <c r="H45" i="15" s="1"/>
  <c r="H46" i="15" s="1"/>
  <c r="H47" i="15" s="1"/>
  <c r="H48" i="15" s="1"/>
  <c r="H49" i="15" s="1"/>
  <c r="H50" i="15" s="1"/>
  <c r="H51" i="15" s="1"/>
  <c r="H52" i="15" s="1"/>
  <c r="H53" i="15" s="1"/>
  <c r="H54" i="15" s="1"/>
  <c r="H55" i="15" s="1"/>
  <c r="H56" i="15" s="1"/>
  <c r="H57" i="15" s="1"/>
  <c r="H58" i="15" s="1"/>
  <c r="H59" i="15" s="1"/>
  <c r="H60" i="15" s="1"/>
  <c r="H61" i="15" s="1"/>
  <c r="H62" i="15" s="1"/>
  <c r="H63" i="15" s="1"/>
  <c r="G17" i="16"/>
  <c r="G18" i="16" s="1"/>
  <c r="G19" i="16" s="1"/>
  <c r="G20" i="16" s="1"/>
  <c r="H68" i="15"/>
  <c r="H69" i="15" s="1"/>
  <c r="H70" i="15" s="1"/>
  <c r="H71" i="15" s="1"/>
  <c r="H72" i="15" s="1"/>
  <c r="H73" i="15" s="1"/>
  <c r="H74" i="15" s="1"/>
  <c r="H75" i="15" s="1"/>
  <c r="H76" i="15" s="1"/>
  <c r="F34" i="16"/>
  <c r="F37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asesoria</author>
    <author>tc={250A5E60-D2B7-49E4-B9C0-1B826D962491}</author>
    <author>trafico</author>
    <author>tc={C63C0F35-3F2D-4449-B5DA-44F853A33992}</author>
  </authors>
  <commentList>
    <comment ref="G52" authorId="0" shapeId="0" xr:uid="{57435442-5E40-4FBB-A196-647867614FE8}">
      <text>
        <r>
          <rPr>
            <b/>
            <sz val="9"/>
            <color indexed="81"/>
            <rFont val="Tahoma"/>
            <family val="2"/>
          </rPr>
          <t>asesoria:</t>
        </r>
        <r>
          <rPr>
            <sz val="9"/>
            <color indexed="81"/>
            <rFont val="Tahoma"/>
            <family val="2"/>
          </rPr>
          <t xml:space="preserve">
LO HABIAMOS PEDIDO CON ETA DEL 2 DE JUNIO</t>
        </r>
      </text>
    </comment>
    <comment ref="G60" authorId="0" shapeId="0" xr:uid="{51F858FB-986D-42E6-9C71-18B95B0F4C5F}">
      <text>
        <r>
          <rPr>
            <b/>
            <sz val="9"/>
            <color indexed="81"/>
            <rFont val="Tahoma"/>
            <family val="2"/>
          </rPr>
          <t>asesoria:</t>
        </r>
        <r>
          <rPr>
            <sz val="9"/>
            <color indexed="81"/>
            <rFont val="Tahoma"/>
            <family val="2"/>
          </rPr>
          <t xml:space="preserve">
MISMO BARCO QUE LA ORDEN 23-557 C-346</t>
        </r>
      </text>
    </comment>
    <comment ref="I61" authorId="0" shapeId="0" xr:uid="{4BB1BF05-119E-4181-A03E-F1DEBA655114}">
      <text>
        <r>
          <rPr>
            <b/>
            <sz val="9"/>
            <color indexed="81"/>
            <rFont val="Tahoma"/>
            <family val="2"/>
          </rPr>
          <t>asesoria:</t>
        </r>
        <r>
          <rPr>
            <sz val="9"/>
            <color indexed="81"/>
            <rFont val="Tahoma"/>
            <family val="2"/>
          </rPr>
          <t xml:space="preserve">
BL: 234091144</t>
        </r>
      </text>
    </comment>
    <comment ref="I62" authorId="0" shapeId="0" xr:uid="{FA63630B-E2B6-46C9-A5C2-BE786A28D386}">
      <text>
        <r>
          <rPr>
            <b/>
            <sz val="9"/>
            <color indexed="81"/>
            <rFont val="Tahoma"/>
            <family val="2"/>
          </rPr>
          <t>asesoria:</t>
        </r>
        <r>
          <rPr>
            <sz val="9"/>
            <color indexed="81"/>
            <rFont val="Tahoma"/>
            <family val="2"/>
          </rPr>
          <t xml:space="preserve">
BL: 234095771</t>
        </r>
      </text>
    </comment>
    <comment ref="I63" authorId="0" shapeId="0" xr:uid="{7427C437-FFB3-4358-BB50-413D53CFF4FF}">
      <text>
        <r>
          <rPr>
            <b/>
            <sz val="9"/>
            <color indexed="81"/>
            <rFont val="Tahoma"/>
            <family val="2"/>
          </rPr>
          <t>asesoria:</t>
        </r>
        <r>
          <rPr>
            <sz val="9"/>
            <color indexed="81"/>
            <rFont val="Tahoma"/>
            <family val="2"/>
          </rPr>
          <t xml:space="preserve">
BL: 234232535</t>
        </r>
      </text>
    </comment>
    <comment ref="I64" authorId="0" shapeId="0" xr:uid="{2C09BC5D-A56C-4872-8A85-0677C5EE69A8}">
      <text>
        <r>
          <rPr>
            <b/>
            <sz val="9"/>
            <color indexed="81"/>
            <rFont val="Tahoma"/>
            <family val="2"/>
          </rPr>
          <t>asesoria:</t>
        </r>
        <r>
          <rPr>
            <sz val="9"/>
            <color indexed="81"/>
            <rFont val="Tahoma"/>
            <family val="2"/>
          </rPr>
          <t xml:space="preserve">
BL: 235268381</t>
        </r>
      </text>
    </comment>
    <comment ref="I65" authorId="0" shapeId="0" xr:uid="{E2BBFC65-EE04-49F5-A028-7C136FCFE214}">
      <text>
        <r>
          <rPr>
            <b/>
            <sz val="9"/>
            <color indexed="81"/>
            <rFont val="Tahoma"/>
            <family val="2"/>
          </rPr>
          <t>asesoria:</t>
        </r>
        <r>
          <rPr>
            <sz val="9"/>
            <color indexed="81"/>
            <rFont val="Tahoma"/>
            <family val="2"/>
          </rPr>
          <t xml:space="preserve">
BL: 235268344</t>
        </r>
      </text>
    </comment>
    <comment ref="I66" authorId="0" shapeId="0" xr:uid="{D6D3C323-1461-47A7-8B4F-9731D88D7D91}">
      <text>
        <r>
          <rPr>
            <b/>
            <sz val="9"/>
            <color indexed="81"/>
            <rFont val="Tahoma"/>
            <family val="2"/>
          </rPr>
          <t>asesoria:</t>
        </r>
        <r>
          <rPr>
            <sz val="9"/>
            <color indexed="81"/>
            <rFont val="Tahoma"/>
            <family val="2"/>
          </rPr>
          <t xml:space="preserve">
BL: 235415242</t>
        </r>
      </text>
    </comment>
    <comment ref="I67" authorId="0" shapeId="0" xr:uid="{71E9031D-E636-41E2-B2CF-698A55D769C5}">
      <text>
        <r>
          <rPr>
            <b/>
            <sz val="9"/>
            <color indexed="81"/>
            <rFont val="Tahoma"/>
            <family val="2"/>
          </rPr>
          <t>asesoria:</t>
        </r>
        <r>
          <rPr>
            <sz val="9"/>
            <color indexed="81"/>
            <rFont val="Tahoma"/>
            <family val="2"/>
          </rPr>
          <t xml:space="preserve">
BL: 235415333</t>
        </r>
      </text>
    </comment>
    <comment ref="I68" authorId="0" shapeId="0" xr:uid="{EB1A95E0-B269-4C48-B6C6-CE624760EE4D}">
      <text>
        <r>
          <rPr>
            <b/>
            <sz val="9"/>
            <color indexed="81"/>
            <rFont val="Tahoma"/>
            <family val="2"/>
          </rPr>
          <t>asesoria:</t>
        </r>
        <r>
          <rPr>
            <sz val="9"/>
            <color indexed="81"/>
            <rFont val="Tahoma"/>
            <family val="2"/>
          </rPr>
          <t xml:space="preserve">
BL: 235621797</t>
        </r>
      </text>
    </comment>
    <comment ref="J69" authorId="0" shapeId="0" xr:uid="{0EBF3990-D70C-455B-AE85-107B5F95B60B}">
      <text>
        <r>
          <rPr>
            <b/>
            <sz val="9"/>
            <color indexed="81"/>
            <rFont val="Tahoma"/>
            <family val="2"/>
          </rPr>
          <t>asesoria:</t>
        </r>
        <r>
          <rPr>
            <sz val="9"/>
            <color indexed="81"/>
            <rFont val="Tahoma"/>
            <family val="2"/>
          </rPr>
          <t xml:space="preserve">
trae muestras de Fabio</t>
        </r>
      </text>
    </comment>
    <comment ref="H95" authorId="1" shapeId="0" xr:uid="{250A5E60-D2B7-49E4-B9C0-1B826D9624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AVIKO PUSO 583</t>
      </text>
    </comment>
    <comment ref="K151" authorId="2" shapeId="0" xr:uid="{D084522F-53A8-4C29-BAE9-F2095F55FBE4}">
      <text>
        <r>
          <rPr>
            <b/>
            <sz val="9"/>
            <color indexed="81"/>
            <rFont val="Tahoma"/>
            <family val="2"/>
          </rPr>
          <t>trafico:</t>
        </r>
        <r>
          <rPr>
            <sz val="9"/>
            <color indexed="81"/>
            <rFont val="Tahoma"/>
            <family val="2"/>
          </rPr>
          <t xml:space="preserve">
FECHA DE ENTREGA:
24/03/2022
</t>
        </r>
      </text>
    </comment>
    <comment ref="H156" authorId="2" shapeId="0" xr:uid="{CBD8CFD0-63DF-4E5A-ABBB-C96239A94227}">
      <text>
        <r>
          <rPr>
            <b/>
            <sz val="9"/>
            <color indexed="81"/>
            <rFont val="Tahoma"/>
            <family val="2"/>
          </rPr>
          <t>trafico:</t>
        </r>
        <r>
          <rPr>
            <sz val="9"/>
            <color indexed="81"/>
            <rFont val="Tahoma"/>
            <family val="2"/>
          </rPr>
          <t xml:space="preserve">
BL 609057699
</t>
        </r>
      </text>
    </comment>
    <comment ref="H157" authorId="2" shapeId="0" xr:uid="{7DCD2967-084E-47C3-BB62-B1A94F324CE5}">
      <text>
        <r>
          <rPr>
            <b/>
            <sz val="9"/>
            <color indexed="81"/>
            <rFont val="Tahoma"/>
            <family val="2"/>
          </rPr>
          <t>trafico:</t>
        </r>
        <r>
          <rPr>
            <sz val="9"/>
            <color indexed="81"/>
            <rFont val="Tahoma"/>
            <family val="2"/>
          </rPr>
          <t xml:space="preserve">
BL 609057699
</t>
        </r>
      </text>
    </comment>
    <comment ref="H158" authorId="2" shapeId="0" xr:uid="{26C41A5B-4347-4F3F-802E-C53A1EEB8561}">
      <text>
        <r>
          <rPr>
            <b/>
            <sz val="9"/>
            <color indexed="81"/>
            <rFont val="Tahoma"/>
            <family val="2"/>
          </rPr>
          <t>trafico:</t>
        </r>
        <r>
          <rPr>
            <sz val="9"/>
            <color indexed="81"/>
            <rFont val="Tahoma"/>
            <family val="2"/>
          </rPr>
          <t xml:space="preserve">
BL 609057699</t>
        </r>
      </text>
    </comment>
    <comment ref="O177" authorId="0" shapeId="0" xr:uid="{CD467670-F985-482B-BF36-8556961CC2F5}">
      <text>
        <r>
          <rPr>
            <b/>
            <sz val="9"/>
            <color indexed="81"/>
            <rFont val="Tahoma"/>
            <family val="2"/>
          </rPr>
          <t>asesoria:</t>
        </r>
        <r>
          <rPr>
            <sz val="9"/>
            <color indexed="81"/>
            <rFont val="Tahoma"/>
            <family val="2"/>
          </rPr>
          <t xml:space="preserve">
FUE EL PAGO ERRONEO QUE CORRESPONDIA A AVIKO ($36,520.08) SALDO A FAVOR 57.68 EUR</t>
        </r>
      </text>
    </comment>
    <comment ref="I196" authorId="0" shapeId="0" xr:uid="{42CFDA17-8FDD-439C-86FC-2E58E6F2446D}">
      <text>
        <r>
          <rPr>
            <b/>
            <sz val="9"/>
            <color indexed="81"/>
            <rFont val="Tahoma"/>
            <family val="2"/>
          </rPr>
          <t>asesoria:</t>
        </r>
        <r>
          <rPr>
            <sz val="9"/>
            <color indexed="81"/>
            <rFont val="Tahoma"/>
            <family val="2"/>
          </rPr>
          <t xml:space="preserve">
BL: 234934951</t>
        </r>
      </text>
    </comment>
    <comment ref="I197" authorId="0" shapeId="0" xr:uid="{C9980A62-9BB4-4351-9413-BCEF9D73FA38}">
      <text>
        <r>
          <rPr>
            <b/>
            <sz val="9"/>
            <color indexed="81"/>
            <rFont val="Tahoma"/>
            <family val="2"/>
          </rPr>
          <t>asesoria:</t>
        </r>
        <r>
          <rPr>
            <sz val="9"/>
            <color indexed="81"/>
            <rFont val="Tahoma"/>
            <family val="2"/>
          </rPr>
          <t xml:space="preserve">
BL: 235257251</t>
        </r>
      </text>
    </comment>
    <comment ref="I198" authorId="0" shapeId="0" xr:uid="{A27CEF71-6AFE-480F-A1EB-AC6B47B2C580}">
      <text>
        <r>
          <rPr>
            <b/>
            <sz val="9"/>
            <color indexed="81"/>
            <rFont val="Tahoma"/>
            <family val="2"/>
          </rPr>
          <t>asesoria:</t>
        </r>
        <r>
          <rPr>
            <sz val="9"/>
            <color indexed="81"/>
            <rFont val="Tahoma"/>
            <family val="2"/>
          </rPr>
          <t xml:space="preserve">
BL: 235908691</t>
        </r>
      </text>
    </comment>
    <comment ref="D285" authorId="3" shapeId="0" xr:uid="{C63C0F35-3F2D-4449-B5DA-44F853A339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MUESTRAS ANTAD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asesoria</author>
  </authors>
  <commentList>
    <comment ref="E26" authorId="0" shapeId="0" xr:uid="{F0820676-EBDF-45CA-9BBC-97A526A3E5C3}">
      <text>
        <r>
          <rPr>
            <b/>
            <sz val="9"/>
            <color indexed="81"/>
            <rFont val="Tahoma"/>
            <family val="2"/>
          </rPr>
          <t>asesoria:</t>
        </r>
        <r>
          <rPr>
            <sz val="9"/>
            <color indexed="81"/>
            <rFont val="Tahoma"/>
            <family val="2"/>
          </rPr>
          <t xml:space="preserve">
PENDIENTE
</t>
        </r>
      </text>
    </comment>
    <comment ref="F26" authorId="0" shapeId="0" xr:uid="{B9AE072F-82AC-4068-A1D6-C0865074932F}">
      <text>
        <r>
          <rPr>
            <b/>
            <sz val="9"/>
            <color indexed="81"/>
            <rFont val="Tahoma"/>
            <family val="2"/>
          </rPr>
          <t>asesoria:</t>
        </r>
        <r>
          <rPr>
            <sz val="9"/>
            <color indexed="81"/>
            <rFont val="Tahoma"/>
            <family val="2"/>
          </rPr>
          <t xml:space="preserve">
PENDIENTE
</t>
        </r>
      </text>
    </comment>
    <comment ref="E27" authorId="0" shapeId="0" xr:uid="{049549D5-F493-471E-8B7E-0E6DC627A35C}">
      <text>
        <r>
          <rPr>
            <b/>
            <sz val="9"/>
            <color indexed="81"/>
            <rFont val="Tahoma"/>
            <family val="2"/>
          </rPr>
          <t>asesoria:</t>
        </r>
        <r>
          <rPr>
            <sz val="9"/>
            <color indexed="81"/>
            <rFont val="Tahoma"/>
            <family val="2"/>
          </rPr>
          <t xml:space="preserve">
PENDIENTE
</t>
        </r>
      </text>
    </comment>
    <comment ref="F27" authorId="0" shapeId="0" xr:uid="{CE4AB2E4-015C-422E-9697-58874240F4A2}">
      <text>
        <r>
          <rPr>
            <b/>
            <sz val="9"/>
            <color indexed="81"/>
            <rFont val="Tahoma"/>
            <family val="2"/>
          </rPr>
          <t>asesoria:</t>
        </r>
        <r>
          <rPr>
            <sz val="9"/>
            <color indexed="81"/>
            <rFont val="Tahoma"/>
            <family val="2"/>
          </rPr>
          <t xml:space="preserve">
PENDIENTE
</t>
        </r>
      </text>
    </comment>
    <comment ref="E28" authorId="0" shapeId="0" xr:uid="{E4856004-AE9B-47C5-A996-09F9B4CF26DF}">
      <text>
        <r>
          <rPr>
            <b/>
            <sz val="9"/>
            <color indexed="81"/>
            <rFont val="Tahoma"/>
            <family val="2"/>
          </rPr>
          <t>asesoria:</t>
        </r>
        <r>
          <rPr>
            <sz val="9"/>
            <color indexed="81"/>
            <rFont val="Tahoma"/>
            <family val="2"/>
          </rPr>
          <t xml:space="preserve">
PENDIENTE
</t>
        </r>
      </text>
    </comment>
    <comment ref="F28" authorId="0" shapeId="0" xr:uid="{B8CCC435-04CF-4118-9E3B-2AF440045C4E}">
      <text>
        <r>
          <rPr>
            <b/>
            <sz val="9"/>
            <color indexed="81"/>
            <rFont val="Tahoma"/>
            <family val="2"/>
          </rPr>
          <t>asesoria:</t>
        </r>
        <r>
          <rPr>
            <sz val="9"/>
            <color indexed="81"/>
            <rFont val="Tahoma"/>
            <family val="2"/>
          </rPr>
          <t xml:space="preserve">
PENDIENTE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trafico</author>
  </authors>
  <commentList>
    <comment ref="R13" authorId="0" shapeId="0" xr:uid="{E4E941D9-47A3-4324-8292-4B78CEAAE2E2}">
      <text>
        <r>
          <rPr>
            <b/>
            <sz val="9"/>
            <color indexed="81"/>
            <rFont val="Tahoma"/>
            <family val="2"/>
          </rPr>
          <t>trafico:</t>
        </r>
        <r>
          <rPr>
            <sz val="9"/>
            <color indexed="81"/>
            <rFont val="Tahoma"/>
            <family val="2"/>
          </rPr>
          <t xml:space="preserve">
FECHA DE ENTREGA:
12/03/2022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trafico</author>
    <author>OXDA</author>
    <author>tc={E2F1BA7A-4F9D-4194-BB59-8E7AEC41D476}</author>
    <author>tc={42A411A9-42D4-4524-8DF2-D39DE43688DA}</author>
    <author>Usuario de Windows</author>
  </authors>
  <commentList>
    <comment ref="G8" authorId="0" shapeId="0" xr:uid="{8436C5F5-800C-487E-B520-BBC3649B2A92}">
      <text>
        <r>
          <rPr>
            <sz val="9"/>
            <color indexed="81"/>
            <rFont val="Tahoma"/>
            <family val="2"/>
          </rPr>
          <t xml:space="preserve">TRAFICO: CUENTA CON NOTA DE CREDITO
</t>
        </r>
      </text>
    </comment>
    <comment ref="G11" authorId="0" shapeId="0" xr:uid="{4432433A-A68F-4AF5-904A-3CF582E5EBB7}">
      <text>
        <r>
          <rPr>
            <sz val="9"/>
            <color indexed="81"/>
            <rFont val="Tahoma"/>
            <family val="2"/>
          </rPr>
          <t xml:space="preserve">TRAFICO; CUENTA CON NOTA DE CRÉDITO
</t>
        </r>
      </text>
    </comment>
    <comment ref="G30" authorId="0" shapeId="0" xr:uid="{36E37900-2DAE-4C40-8B5E-AC70AF74C2FF}">
      <text>
        <r>
          <rPr>
            <b/>
            <sz val="9"/>
            <color indexed="81"/>
            <rFont val="Tahoma"/>
            <family val="2"/>
          </rPr>
          <t>trafico: CON N.C 92427690</t>
        </r>
      </text>
    </comment>
    <comment ref="Y42" authorId="1" shapeId="0" xr:uid="{DF507AF0-4D73-4636-BA38-0AA5A562C048}">
      <text>
        <r>
          <rPr>
            <b/>
            <sz val="9"/>
            <color indexed="81"/>
            <rFont val="Tahoma"/>
            <family val="2"/>
          </rPr>
          <t>OXDA:</t>
        </r>
        <r>
          <rPr>
            <sz val="9"/>
            <color indexed="81"/>
            <rFont val="Tahoma"/>
            <family val="2"/>
          </rPr>
          <t xml:space="preserve">
FORWARD $ 10,000.- 
MAS $ 10,000.- EUROS
21.34
</t>
        </r>
      </text>
    </comment>
    <comment ref="Z43" authorId="1" shapeId="0" xr:uid="{A9A96C9C-B2DB-489A-B05E-926CD67AC7B5}">
      <text>
        <r>
          <rPr>
            <b/>
            <sz val="9"/>
            <color indexed="81"/>
            <rFont val="Tahoma"/>
            <family val="2"/>
          </rPr>
          <t>OXDA:</t>
        </r>
        <r>
          <rPr>
            <sz val="9"/>
            <color indexed="81"/>
            <rFont val="Tahoma"/>
            <family val="2"/>
          </rPr>
          <t xml:space="preserve">
FORWARD $ 10,000.-
21.055
</t>
        </r>
      </text>
    </comment>
    <comment ref="Z44" authorId="1" shapeId="0" xr:uid="{B954359D-2453-4C53-B2D5-E03748B8F22B}">
      <text>
        <r>
          <rPr>
            <b/>
            <sz val="9"/>
            <color indexed="81"/>
            <rFont val="Tahoma"/>
            <family val="2"/>
          </rPr>
          <t>OXDA:</t>
        </r>
        <r>
          <rPr>
            <sz val="9"/>
            <color indexed="81"/>
            <rFont val="Tahoma"/>
            <family val="2"/>
          </rPr>
          <t xml:space="preserve">
FORWARD 10,000.- VENCE EL 17/02/2020
21.1150</t>
        </r>
      </text>
    </comment>
    <comment ref="H45" authorId="2" shapeId="0" xr:uid="{E2F1BA7A-4F9D-4194-BB59-8E7AEC41D4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APLICACIÓN DE N.C. 92518134 $675.92 EUR</t>
      </text>
    </comment>
    <comment ref="F48" authorId="3" shapeId="0" xr:uid="{42A411A9-42D4-4524-8DF2-D39DE43688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AUN NO CONFIRMADA, PERO P.O. ENVIADA
Respuesta:
    ESTA EN HOLD!</t>
      </text>
    </comment>
    <comment ref="J51" authorId="4" shapeId="0" xr:uid="{F0707291-1917-488B-B05E-540524832F7B}">
      <text>
        <r>
          <rPr>
            <b/>
            <sz val="9"/>
            <color indexed="81"/>
            <rFont val="Tahoma"/>
            <family val="2"/>
          </rPr>
          <t>trafico:
Se le aplicó una N.C. FOLIO 92514701 POR 9.60 eur.</t>
        </r>
      </text>
    </comment>
    <comment ref="H60" authorId="4" shapeId="0" xr:uid="{9CB026C1-EED5-47C4-889B-7A822AF966B6}">
      <text>
        <r>
          <rPr>
            <b/>
            <sz val="9"/>
            <color indexed="81"/>
            <rFont val="Tahoma"/>
            <family val="2"/>
          </rPr>
          <t>trafico: Se le aplicó NC 92615295 (112.02eur)</t>
        </r>
      </text>
    </comment>
    <comment ref="H62" authorId="4" shapeId="0" xr:uid="{C666420D-C084-45D6-9DD1-51A657269969}">
      <text>
        <r>
          <rPr>
            <b/>
            <sz val="9"/>
            <color indexed="81"/>
            <rFont val="Tahoma"/>
            <family val="2"/>
          </rPr>
          <t>TRAFICO: Aplicación de NC 92620247 234EUR.</t>
        </r>
      </text>
    </comment>
    <comment ref="H63" authorId="4" shapeId="0" xr:uid="{D7081A17-33CD-4871-861C-C26D81518E31}">
      <text>
        <r>
          <rPr>
            <b/>
            <sz val="9"/>
            <color indexed="81"/>
            <rFont val="Tahoma"/>
            <family val="2"/>
          </rPr>
          <t>Trafico: Aplicación de NC 92615366 655.20 EUR.</t>
        </r>
      </text>
    </comment>
    <comment ref="H64" authorId="4" shapeId="0" xr:uid="{81C66AF3-47E4-4008-855B-B9304F26E52F}">
      <text>
        <r>
          <rPr>
            <b/>
            <sz val="9"/>
            <color indexed="81"/>
            <rFont val="Tahoma"/>
            <family val="2"/>
          </rPr>
          <t>Descontar el importe de 141.60eur derivado de daños al contenedor. Folio fac oxda OR 1359 $3,528.43</t>
        </r>
      </text>
    </comment>
    <comment ref="H74" authorId="4" shapeId="0" xr:uid="{7753B55E-2D7A-419C-A4F9-ADB4D0712A59}">
      <text>
        <r>
          <rPr>
            <b/>
            <sz val="9"/>
            <color indexed="81"/>
            <rFont val="Tahoma"/>
            <family val="2"/>
          </rPr>
          <t>ETA REAL: 26/ABR/2021
NOTA DE CREDITO 237.92 EUR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gerencia</author>
  </authors>
  <commentList>
    <comment ref="AQ6" authorId="0" shapeId="0" xr:uid="{8BF3701E-CCC6-4B26-8C41-8845ACB2AC68}">
      <text>
        <r>
          <rPr>
            <b/>
            <sz val="9"/>
            <color indexed="81"/>
            <rFont val="Tahoma"/>
            <family val="2"/>
          </rPr>
          <t>gerencia:</t>
        </r>
        <r>
          <rPr>
            <sz val="9"/>
            <color indexed="81"/>
            <rFont val="Tahoma"/>
            <family val="2"/>
          </rPr>
          <t xml:space="preserve">
17,649.-  pago el 15/10/2020</t>
        </r>
      </text>
    </comment>
  </commentList>
</comments>
</file>

<file path=xl/sharedStrings.xml><?xml version="1.0" encoding="utf-8"?>
<sst xmlns="http://schemas.openxmlformats.org/spreadsheetml/2006/main" count="2490" uniqueCount="1070">
  <si>
    <t>Puerto</t>
  </si>
  <si>
    <t>Fech  pedido</t>
  </si>
  <si>
    <t>Tipo Papa</t>
  </si>
  <si>
    <t>Cliente</t>
  </si>
  <si>
    <t>Fech Fact</t>
  </si>
  <si>
    <t xml:space="preserve">Total fact </t>
  </si>
  <si>
    <t>T.C. Euros en pedimento</t>
  </si>
  <si>
    <t xml:space="preserve"> ETD</t>
  </si>
  <si>
    <t>ETA</t>
  </si>
  <si>
    <t>Pedido</t>
  </si>
  <si>
    <t># Cont</t>
  </si>
  <si>
    <t>Clte</t>
  </si>
  <si>
    <t>Estatus</t>
  </si>
  <si>
    <t>Factura</t>
  </si>
  <si>
    <t>Entrega</t>
  </si>
  <si>
    <t>Vencim Fact</t>
  </si>
  <si>
    <t>Pago</t>
  </si>
  <si>
    <t>TC Pagado</t>
  </si>
  <si>
    <t>Dif</t>
  </si>
  <si>
    <t>COMENTARIOS</t>
  </si>
  <si>
    <t>UTILIDAD O PERDIDA CAMBIARIA</t>
  </si>
  <si>
    <t>Altamira</t>
  </si>
  <si>
    <t>Castel</t>
  </si>
  <si>
    <t>25-617</t>
  </si>
  <si>
    <t>C-406</t>
  </si>
  <si>
    <t>ALT-CDMX</t>
  </si>
  <si>
    <t>Proforma</t>
  </si>
  <si>
    <t>CASTEL 10 EUR</t>
  </si>
  <si>
    <t>Veracruz</t>
  </si>
  <si>
    <t>Nico / Oaxaca</t>
  </si>
  <si>
    <t>25-618</t>
  </si>
  <si>
    <t>C-407</t>
  </si>
  <si>
    <t>VER-NICHOLAS SELUAN</t>
  </si>
  <si>
    <t>Gpo Ruiz GDL</t>
  </si>
  <si>
    <t>W Light Cover</t>
  </si>
  <si>
    <t>China</t>
  </si>
  <si>
    <t>25-619</t>
  </si>
  <si>
    <t>C-408</t>
  </si>
  <si>
    <t>Buscar Contenedor</t>
  </si>
  <si>
    <t>COTENEDOR</t>
  </si>
  <si>
    <t>Fecha Pago</t>
  </si>
  <si>
    <t>C-403</t>
  </si>
  <si>
    <t>AVIKO</t>
  </si>
  <si>
    <t>FORWARD</t>
  </si>
  <si>
    <t>21-503</t>
  </si>
  <si>
    <t>C-292</t>
  </si>
  <si>
    <t>3TD</t>
  </si>
  <si>
    <t>Entregado</t>
  </si>
  <si>
    <t>Progreso</t>
  </si>
  <si>
    <t>21-502</t>
  </si>
  <si>
    <t>C-291</t>
  </si>
  <si>
    <t>ABASTOS LOG</t>
  </si>
  <si>
    <t>21-501</t>
  </si>
  <si>
    <t>C-290 A</t>
  </si>
  <si>
    <t>3B</t>
  </si>
  <si>
    <t xml:space="preserve">Entregado </t>
  </si>
  <si>
    <t>C-290 B</t>
  </si>
  <si>
    <t>21-505</t>
  </si>
  <si>
    <t>C-294</t>
  </si>
  <si>
    <t>21-506</t>
  </si>
  <si>
    <t>C-295</t>
  </si>
  <si>
    <t>21-508</t>
  </si>
  <si>
    <t>C-297</t>
  </si>
  <si>
    <t>21-510</t>
  </si>
  <si>
    <t>C-299</t>
  </si>
  <si>
    <t>21-511</t>
  </si>
  <si>
    <t>C-300</t>
  </si>
  <si>
    <t>21-513</t>
  </si>
  <si>
    <t>C-302</t>
  </si>
  <si>
    <t>21-514</t>
  </si>
  <si>
    <t>C-303</t>
  </si>
  <si>
    <t>21-515</t>
  </si>
  <si>
    <t>C-304</t>
  </si>
  <si>
    <t>21-516</t>
  </si>
  <si>
    <t>C-305</t>
  </si>
  <si>
    <t>21-519</t>
  </si>
  <si>
    <t>C-308</t>
  </si>
  <si>
    <t>21-518</t>
  </si>
  <si>
    <t>C-307</t>
  </si>
  <si>
    <t>21-520</t>
  </si>
  <si>
    <t>C-309</t>
  </si>
  <si>
    <t>21-521</t>
  </si>
  <si>
    <t>C-310</t>
  </si>
  <si>
    <t>Confirmado</t>
  </si>
  <si>
    <t>21-522</t>
  </si>
  <si>
    <t>C-311</t>
  </si>
  <si>
    <t>LA COMER</t>
  </si>
  <si>
    <t>22-523</t>
  </si>
  <si>
    <t>C-312</t>
  </si>
  <si>
    <t>SONORA</t>
  </si>
  <si>
    <t>22-524</t>
  </si>
  <si>
    <t>C-313</t>
  </si>
  <si>
    <t>22-525</t>
  </si>
  <si>
    <t>C-314</t>
  </si>
  <si>
    <t>INFO ACTUALIZADA AL 08/JUL/22</t>
  </si>
  <si>
    <t>22-527</t>
  </si>
  <si>
    <t>C-316</t>
  </si>
  <si>
    <t>INFO ACTUALIZADA AL 03/JUN/22</t>
  </si>
  <si>
    <t>22-528</t>
  </si>
  <si>
    <t>C-317</t>
  </si>
  <si>
    <t>INFO ACTUALIZADA AL 19/JUL/22</t>
  </si>
  <si>
    <t>22-529</t>
  </si>
  <si>
    <t>C-318</t>
  </si>
  <si>
    <t>3B/LA COMER</t>
  </si>
  <si>
    <t>Cancelado</t>
  </si>
  <si>
    <t>INFO ACTUALIZADA AL 27/MAY/22</t>
  </si>
  <si>
    <t>22-530</t>
  </si>
  <si>
    <t>C-319</t>
  </si>
  <si>
    <t>22-531</t>
  </si>
  <si>
    <t>C-320</t>
  </si>
  <si>
    <t>SONORA/ANILU</t>
  </si>
  <si>
    <t>INFO ACTUALIZADA AL 15/JUL/22</t>
  </si>
  <si>
    <t>22-532</t>
  </si>
  <si>
    <t>C-321</t>
  </si>
  <si>
    <t>INFO ACTUALIZADA AL 05/JUL/22</t>
  </si>
  <si>
    <t>22-533</t>
  </si>
  <si>
    <t>C-322</t>
  </si>
  <si>
    <t>SONORA/CUN</t>
  </si>
  <si>
    <t>INFO ACTUALIZADA AL 29/AGO/22</t>
  </si>
  <si>
    <t>22-534</t>
  </si>
  <si>
    <t>C-323</t>
  </si>
  <si>
    <t>INFO ACTUALIZADA AL 19/SEPT/22</t>
  </si>
  <si>
    <t>22-535</t>
  </si>
  <si>
    <t>C-324</t>
  </si>
  <si>
    <t>ABASTOS L.</t>
  </si>
  <si>
    <t>22-536</t>
  </si>
  <si>
    <t>C-325</t>
  </si>
  <si>
    <t>INFO ACTUALIZADA AL 06/OCT/22</t>
  </si>
  <si>
    <t>22-537</t>
  </si>
  <si>
    <t>C-326</t>
  </si>
  <si>
    <t>VULPES</t>
  </si>
  <si>
    <t>INFO ACTUALIZADA AL 22/NOV/22</t>
  </si>
  <si>
    <t>22-538</t>
  </si>
  <si>
    <t>C-327</t>
  </si>
  <si>
    <t>INFO ACTUALIZADA AL 25/NOV/22</t>
  </si>
  <si>
    <t>22-539</t>
  </si>
  <si>
    <t>C-328</t>
  </si>
  <si>
    <t>22-540</t>
  </si>
  <si>
    <t>C-329</t>
  </si>
  <si>
    <t>INFO ACTUALIZADA AL 26/DIC/22</t>
  </si>
  <si>
    <t>22-541</t>
  </si>
  <si>
    <t>C-330</t>
  </si>
  <si>
    <t>SONORA/ANILU/MUESTRAS</t>
  </si>
  <si>
    <t>PAGADO</t>
  </si>
  <si>
    <t>22-542</t>
  </si>
  <si>
    <t>C-331</t>
  </si>
  <si>
    <t>RETAIL</t>
  </si>
  <si>
    <t>22-543</t>
  </si>
  <si>
    <t>C-332</t>
  </si>
  <si>
    <t>3TD/ANILU</t>
  </si>
  <si>
    <t>22-544</t>
  </si>
  <si>
    <t>C-333</t>
  </si>
  <si>
    <t>22-545</t>
  </si>
  <si>
    <t>C-334</t>
  </si>
  <si>
    <t>BARA</t>
  </si>
  <si>
    <t>23-546</t>
  </si>
  <si>
    <t>C-335</t>
  </si>
  <si>
    <t>23-547</t>
  </si>
  <si>
    <t>C-336</t>
  </si>
  <si>
    <t>23-548</t>
  </si>
  <si>
    <t>C-337</t>
  </si>
  <si>
    <t>3TD Y HASHBROWN</t>
  </si>
  <si>
    <t>23-549</t>
  </si>
  <si>
    <t>C-338</t>
  </si>
  <si>
    <t>ABASTOS L</t>
  </si>
  <si>
    <t>23-550</t>
  </si>
  <si>
    <t>C-339</t>
  </si>
  <si>
    <t>GPO LEO Y HASHBROWN</t>
  </si>
  <si>
    <t>23-551</t>
  </si>
  <si>
    <t>C-340</t>
  </si>
  <si>
    <t>23-552</t>
  </si>
  <si>
    <t>C-341</t>
  </si>
  <si>
    <t>23-553</t>
  </si>
  <si>
    <t>C-342</t>
  </si>
  <si>
    <t>23-554</t>
  </si>
  <si>
    <t>C-343</t>
  </si>
  <si>
    <t>Vulpes</t>
  </si>
  <si>
    <t>23-555</t>
  </si>
  <si>
    <t>C-344</t>
  </si>
  <si>
    <t>23-556</t>
  </si>
  <si>
    <t>C-345</t>
  </si>
  <si>
    <t>Abastos Lógicos</t>
  </si>
  <si>
    <t>4.01.24</t>
  </si>
  <si>
    <t>23-557</t>
  </si>
  <si>
    <t>C-346</t>
  </si>
  <si>
    <t>CDMX</t>
  </si>
  <si>
    <t>17.01.24</t>
  </si>
  <si>
    <t>23-558</t>
  </si>
  <si>
    <t>C-347</t>
  </si>
  <si>
    <t xml:space="preserve">ro </t>
  </si>
  <si>
    <t>23-559</t>
  </si>
  <si>
    <t>C-348</t>
  </si>
  <si>
    <t>23-560</t>
  </si>
  <si>
    <t>C-349</t>
  </si>
  <si>
    <t>EL FARAON</t>
  </si>
  <si>
    <t>23-561</t>
  </si>
  <si>
    <t>C-350</t>
  </si>
  <si>
    <t>24-562</t>
  </si>
  <si>
    <t>C-351</t>
  </si>
  <si>
    <t>GDL</t>
  </si>
  <si>
    <t>24-563</t>
  </si>
  <si>
    <t>C-352</t>
  </si>
  <si>
    <t>24-564</t>
  </si>
  <si>
    <t>C-353</t>
  </si>
  <si>
    <t>06.03.24</t>
  </si>
  <si>
    <t>24-565</t>
  </si>
  <si>
    <t>C-354</t>
  </si>
  <si>
    <t>Walmart/Heb/La comer</t>
  </si>
  <si>
    <t>24-566</t>
  </si>
  <si>
    <t>C-355</t>
  </si>
  <si>
    <t>24-567</t>
  </si>
  <si>
    <t>C-356</t>
  </si>
  <si>
    <t>FELICITO</t>
  </si>
  <si>
    <t>24-568</t>
  </si>
  <si>
    <t>C-357</t>
  </si>
  <si>
    <t>24-569</t>
  </si>
  <si>
    <t>C-358</t>
  </si>
  <si>
    <t>Abastos Log</t>
  </si>
  <si>
    <t>24-570</t>
  </si>
  <si>
    <t>C-359</t>
  </si>
  <si>
    <t>FRIJALISCO</t>
  </si>
  <si>
    <t>24-571</t>
  </si>
  <si>
    <t>C-360</t>
  </si>
  <si>
    <t>FRESCO</t>
  </si>
  <si>
    <t>24-572</t>
  </si>
  <si>
    <t>C-361</t>
  </si>
  <si>
    <t>VULPES / Bara</t>
  </si>
  <si>
    <t>24-573</t>
  </si>
  <si>
    <t>C-362</t>
  </si>
  <si>
    <t>24-574</t>
  </si>
  <si>
    <t>C-363</t>
  </si>
  <si>
    <t>24-575</t>
  </si>
  <si>
    <t>C-364</t>
  </si>
  <si>
    <t>Vienen muestras ene ste embarque</t>
  </si>
  <si>
    <t>24-576</t>
  </si>
  <si>
    <t>C-365</t>
  </si>
  <si>
    <t>24-577</t>
  </si>
  <si>
    <t>C-366</t>
  </si>
  <si>
    <t>24-578</t>
  </si>
  <si>
    <t>C-367</t>
  </si>
  <si>
    <t>24-579</t>
  </si>
  <si>
    <t>C-368</t>
  </si>
  <si>
    <t>24-580</t>
  </si>
  <si>
    <t>C-369</t>
  </si>
  <si>
    <t>24-581</t>
  </si>
  <si>
    <t>C-370</t>
  </si>
  <si>
    <t>En esta orden se agregaron las 108 cajas de steak fries 804661</t>
  </si>
  <si>
    <t>24-582</t>
  </si>
  <si>
    <t>C-371</t>
  </si>
  <si>
    <t>24-583</t>
  </si>
  <si>
    <t>C-372</t>
  </si>
  <si>
    <t>24-584</t>
  </si>
  <si>
    <t>C-373</t>
  </si>
  <si>
    <t>24-585</t>
  </si>
  <si>
    <t>C-374</t>
  </si>
  <si>
    <t>24-586</t>
  </si>
  <si>
    <t>C-375</t>
  </si>
  <si>
    <t>24-587</t>
  </si>
  <si>
    <t>C-376</t>
  </si>
  <si>
    <t>24-588</t>
  </si>
  <si>
    <t>C-377</t>
  </si>
  <si>
    <t>24-589</t>
  </si>
  <si>
    <t>C-378</t>
  </si>
  <si>
    <t>24-590</t>
  </si>
  <si>
    <t>C-379</t>
  </si>
  <si>
    <t>24-591</t>
  </si>
  <si>
    <t>C-380</t>
  </si>
  <si>
    <t>FRESCO/MEXIDELI</t>
  </si>
  <si>
    <t>24-592</t>
  </si>
  <si>
    <t>C-381</t>
  </si>
  <si>
    <t>24-593</t>
  </si>
  <si>
    <t>C-382</t>
  </si>
  <si>
    <t>24-594</t>
  </si>
  <si>
    <t>C-383</t>
  </si>
  <si>
    <t>24-595</t>
  </si>
  <si>
    <t>C-384</t>
  </si>
  <si>
    <t>MEXIDELI</t>
  </si>
  <si>
    <t>24-596</t>
  </si>
  <si>
    <t>C-385</t>
  </si>
  <si>
    <t>24-597</t>
  </si>
  <si>
    <t>C-386</t>
  </si>
  <si>
    <t>24-598</t>
  </si>
  <si>
    <t>C-387</t>
  </si>
  <si>
    <t>24-599</t>
  </si>
  <si>
    <t>C-388</t>
  </si>
  <si>
    <t>24-600</t>
  </si>
  <si>
    <t>C-389</t>
  </si>
  <si>
    <t>24-601</t>
  </si>
  <si>
    <t>C-390</t>
  </si>
  <si>
    <t>25-602</t>
  </si>
  <si>
    <t>C-391</t>
  </si>
  <si>
    <t>25-603</t>
  </si>
  <si>
    <t>C-392</t>
  </si>
  <si>
    <t>25-604</t>
  </si>
  <si>
    <t>C-393</t>
  </si>
  <si>
    <t xml:space="preserve">ABASTOS LOGICOS </t>
  </si>
  <si>
    <t>25-605</t>
  </si>
  <si>
    <t>C-394</t>
  </si>
  <si>
    <t>25-606</t>
  </si>
  <si>
    <t>C-395</t>
  </si>
  <si>
    <t>25-607</t>
  </si>
  <si>
    <t>C-396</t>
  </si>
  <si>
    <t>25-608</t>
  </si>
  <si>
    <t>C-397</t>
  </si>
  <si>
    <t>25-609</t>
  </si>
  <si>
    <t>C-398</t>
  </si>
  <si>
    <t>25-610</t>
  </si>
  <si>
    <t>C-399</t>
  </si>
  <si>
    <t>25-611</t>
  </si>
  <si>
    <t>C-400</t>
  </si>
  <si>
    <t>25-612</t>
  </si>
  <si>
    <t>C-401</t>
  </si>
  <si>
    <t>25-613</t>
  </si>
  <si>
    <t>C-402</t>
  </si>
  <si>
    <t>25-614</t>
  </si>
  <si>
    <t>25-615</t>
  </si>
  <si>
    <t>C-404</t>
  </si>
  <si>
    <t>Manzanillo</t>
  </si>
  <si>
    <t>25-616</t>
  </si>
  <si>
    <t>C-405</t>
  </si>
  <si>
    <t>CON. COMPLETO CASTEL</t>
  </si>
  <si>
    <t>25-620</t>
  </si>
  <si>
    <t>C-409</t>
  </si>
  <si>
    <t>VULPES / FRESCO</t>
  </si>
  <si>
    <t>25-621</t>
  </si>
  <si>
    <t>C-410</t>
  </si>
  <si>
    <t>25-622</t>
  </si>
  <si>
    <t>C-411</t>
  </si>
  <si>
    <t xml:space="preserve">VULPES </t>
  </si>
  <si>
    <t>25-623</t>
  </si>
  <si>
    <t>C-412</t>
  </si>
  <si>
    <t>COMPLETO CASTEL</t>
  </si>
  <si>
    <t>25-624</t>
  </si>
  <si>
    <t>C-413</t>
  </si>
  <si>
    <t>25-625</t>
  </si>
  <si>
    <t>C-414</t>
  </si>
  <si>
    <t>25-626</t>
  </si>
  <si>
    <t>C-415</t>
  </si>
  <si>
    <t>25-628</t>
  </si>
  <si>
    <t>C-417</t>
  </si>
  <si>
    <t>25-629</t>
  </si>
  <si>
    <t>C-418</t>
  </si>
  <si>
    <t>25-630</t>
  </si>
  <si>
    <t>C-419</t>
  </si>
  <si>
    <t>CREMERIA LOS ALTOS</t>
  </si>
  <si>
    <t>25-631</t>
  </si>
  <si>
    <t>C-420</t>
  </si>
  <si>
    <t>25-632</t>
  </si>
  <si>
    <t>C-421</t>
  </si>
  <si>
    <t>FARAON</t>
  </si>
  <si>
    <t>C-422</t>
  </si>
  <si>
    <t>CEPESMAR</t>
  </si>
  <si>
    <t>C-423</t>
  </si>
  <si>
    <t>QUARKS</t>
  </si>
  <si>
    <t xml:space="preserve"> WERNSING </t>
  </si>
  <si>
    <t>10-021</t>
  </si>
  <si>
    <t>C-10</t>
  </si>
  <si>
    <t>POLARBOX</t>
  </si>
  <si>
    <t>09-021</t>
  </si>
  <si>
    <t>C-09</t>
  </si>
  <si>
    <t>Meloni/Gal (Juanita)</t>
  </si>
  <si>
    <t>11-021</t>
  </si>
  <si>
    <t>C-11</t>
  </si>
  <si>
    <t>Frisacel</t>
  </si>
  <si>
    <t>12-021</t>
  </si>
  <si>
    <t>C-12</t>
  </si>
  <si>
    <t>Faraon/Meloni</t>
  </si>
  <si>
    <t>13-022</t>
  </si>
  <si>
    <t>C-13</t>
  </si>
  <si>
    <t>Abastos L</t>
  </si>
  <si>
    <t>14-022</t>
  </si>
  <si>
    <t>C-14</t>
  </si>
  <si>
    <t>15-022</t>
  </si>
  <si>
    <t>C-15</t>
  </si>
  <si>
    <t>INFO ACTUALIZADA AL 06/MAY/22</t>
  </si>
  <si>
    <t>16-022</t>
  </si>
  <si>
    <t>C-16</t>
  </si>
  <si>
    <t>Palace</t>
  </si>
  <si>
    <t>INFO ACTUALIZADA AL 30/MAY/22</t>
  </si>
  <si>
    <t>17-022</t>
  </si>
  <si>
    <t>C-17</t>
  </si>
  <si>
    <t>18-022</t>
  </si>
  <si>
    <t>C-18</t>
  </si>
  <si>
    <t>INFO ACTUALIZADA AL 08/JUN/22</t>
  </si>
  <si>
    <t>19-022</t>
  </si>
  <si>
    <t>C-19</t>
  </si>
  <si>
    <t>20-022</t>
  </si>
  <si>
    <t>C-20</t>
  </si>
  <si>
    <t>21-022</t>
  </si>
  <si>
    <t>C-21</t>
  </si>
  <si>
    <t>INFO ACTUALIZADA AL 31/AGO/22</t>
  </si>
  <si>
    <t>22-022</t>
  </si>
  <si>
    <t>C-22</t>
  </si>
  <si>
    <t>El faraon/Ab L.</t>
  </si>
  <si>
    <t>INFO ACTUALIZADA AL 08/SEP/22</t>
  </si>
  <si>
    <t>23-022</t>
  </si>
  <si>
    <t>C-23</t>
  </si>
  <si>
    <t>INFO ACTUALIZADA AL 20/OCT/22</t>
  </si>
  <si>
    <t>24-022</t>
  </si>
  <si>
    <t>C-24</t>
  </si>
  <si>
    <t>Abastos L./ El Faraón</t>
  </si>
  <si>
    <t>INFO ACTUALIZADA AL 21/OCT/22</t>
  </si>
  <si>
    <t>25-022</t>
  </si>
  <si>
    <t>C-25</t>
  </si>
  <si>
    <t>26-022</t>
  </si>
  <si>
    <t>C-26</t>
  </si>
  <si>
    <t>INFO ACTUALIZADA AL 15/DIC/22</t>
  </si>
  <si>
    <t>27-022</t>
  </si>
  <si>
    <t>C-27</t>
  </si>
  <si>
    <t>Abastos L.</t>
  </si>
  <si>
    <t>INFO ACTUALIZADA AL 27/DIC/22</t>
  </si>
  <si>
    <t>28-022</t>
  </si>
  <si>
    <t>C-28</t>
  </si>
  <si>
    <t>INFO ACTUALIZADA AL 23/DIC/22</t>
  </si>
  <si>
    <t>29-022</t>
  </si>
  <si>
    <t>C-29</t>
  </si>
  <si>
    <t>INFO ACTUALIZADA AL 2/ENE/23</t>
  </si>
  <si>
    <t>30-022</t>
  </si>
  <si>
    <t>C-30</t>
  </si>
  <si>
    <t>31-022</t>
  </si>
  <si>
    <t>C-31</t>
  </si>
  <si>
    <t>INFO ACTUALIZADA AL 10/FEB/23</t>
  </si>
  <si>
    <t>32-023</t>
  </si>
  <si>
    <t>C-32</t>
  </si>
  <si>
    <t>33-023</t>
  </si>
  <si>
    <t>C-33</t>
  </si>
  <si>
    <t>34-023</t>
  </si>
  <si>
    <t>C-34</t>
  </si>
  <si>
    <t>Mérida</t>
  </si>
  <si>
    <t>35-023</t>
  </si>
  <si>
    <t>C-35</t>
  </si>
  <si>
    <t>El Faraón</t>
  </si>
  <si>
    <t>36-023</t>
  </si>
  <si>
    <t>C-36</t>
  </si>
  <si>
    <t>37-023</t>
  </si>
  <si>
    <t>C-37</t>
  </si>
  <si>
    <t>38-023</t>
  </si>
  <si>
    <t>C-38</t>
  </si>
  <si>
    <t>39-023</t>
  </si>
  <si>
    <t>C-39</t>
  </si>
  <si>
    <t>40-023</t>
  </si>
  <si>
    <t>C-40</t>
  </si>
  <si>
    <t>41-023</t>
  </si>
  <si>
    <t>C-41</t>
  </si>
  <si>
    <t>42-023</t>
  </si>
  <si>
    <t>C-42</t>
  </si>
  <si>
    <t>Progreso  de</t>
  </si>
  <si>
    <t>43-023</t>
  </si>
  <si>
    <t>C-43</t>
  </si>
  <si>
    <t>44-023</t>
  </si>
  <si>
    <t>C-44</t>
  </si>
  <si>
    <t>45-023</t>
  </si>
  <si>
    <t>C-45</t>
  </si>
  <si>
    <t>FARAÓN</t>
  </si>
  <si>
    <t>46-023</t>
  </si>
  <si>
    <t>C-46</t>
  </si>
  <si>
    <t>47-023</t>
  </si>
  <si>
    <t>C-47</t>
  </si>
  <si>
    <t>48-023</t>
  </si>
  <si>
    <t>C-48</t>
  </si>
  <si>
    <t>Abastos Logicos</t>
  </si>
  <si>
    <t>49-023</t>
  </si>
  <si>
    <t>C-49</t>
  </si>
  <si>
    <t>Slovensko</t>
  </si>
  <si>
    <t>50-023</t>
  </si>
  <si>
    <t>C-50</t>
  </si>
  <si>
    <t>51-023</t>
  </si>
  <si>
    <t>C-51</t>
  </si>
  <si>
    <t>52-023</t>
  </si>
  <si>
    <t>C-52</t>
  </si>
  <si>
    <t>53-023</t>
  </si>
  <si>
    <t>C-53</t>
  </si>
  <si>
    <t>54-023</t>
  </si>
  <si>
    <t>C-54</t>
  </si>
  <si>
    <t>55-023</t>
  </si>
  <si>
    <t>C-55</t>
  </si>
  <si>
    <t>56-023</t>
  </si>
  <si>
    <t>C-56</t>
  </si>
  <si>
    <t>57-023</t>
  </si>
  <si>
    <t>C-57</t>
  </si>
  <si>
    <t>58-023</t>
  </si>
  <si>
    <t>C-58</t>
  </si>
  <si>
    <t>59-024</t>
  </si>
  <si>
    <t>C-59</t>
  </si>
  <si>
    <t>04.03.24</t>
  </si>
  <si>
    <t>60-024</t>
  </si>
  <si>
    <t>C-60</t>
  </si>
  <si>
    <t>61-024</t>
  </si>
  <si>
    <t>C-61</t>
  </si>
  <si>
    <t>62-024</t>
  </si>
  <si>
    <t>C-62</t>
  </si>
  <si>
    <t>63-024</t>
  </si>
  <si>
    <t>C-63</t>
  </si>
  <si>
    <t>64-024</t>
  </si>
  <si>
    <t>C-64</t>
  </si>
  <si>
    <t>65-024</t>
  </si>
  <si>
    <t>C-65</t>
  </si>
  <si>
    <t>Se almacenará en POLAR BOX</t>
  </si>
  <si>
    <t>66-024</t>
  </si>
  <si>
    <t>C-66</t>
  </si>
  <si>
    <t>67-024</t>
  </si>
  <si>
    <t>C-67</t>
  </si>
  <si>
    <t>68-024</t>
  </si>
  <si>
    <t>C-68</t>
  </si>
  <si>
    <t>69-024</t>
  </si>
  <si>
    <t>C-69</t>
  </si>
  <si>
    <t>70-024</t>
  </si>
  <si>
    <t>C-70</t>
  </si>
  <si>
    <t>71-024</t>
  </si>
  <si>
    <t>C-71</t>
  </si>
  <si>
    <t>Delisnack</t>
  </si>
  <si>
    <t>72-024</t>
  </si>
  <si>
    <t>C-72</t>
  </si>
  <si>
    <t>73-024</t>
  </si>
  <si>
    <t>C-73</t>
  </si>
  <si>
    <t>74-024</t>
  </si>
  <si>
    <t>C-74</t>
  </si>
  <si>
    <t>No hay ETA pero la factura tiene los precios sin aumento</t>
  </si>
  <si>
    <t>75-024</t>
  </si>
  <si>
    <t>C-75</t>
  </si>
  <si>
    <t>FRIJALISCO/VULPES</t>
  </si>
  <si>
    <t>76-024</t>
  </si>
  <si>
    <t>C-76</t>
  </si>
  <si>
    <t>77-024</t>
  </si>
  <si>
    <t>C-77</t>
  </si>
  <si>
    <t>ABASTOS LOGICOS</t>
  </si>
  <si>
    <t>78-024</t>
  </si>
  <si>
    <t>C-78</t>
  </si>
  <si>
    <t xml:space="preserve">CON NUEVOS PRECIOS </t>
  </si>
  <si>
    <t>79-024</t>
  </si>
  <si>
    <t>C-79</t>
  </si>
  <si>
    <t>102013 PRECIO ESPECIAL</t>
  </si>
  <si>
    <t>80-024</t>
  </si>
  <si>
    <t>C-80</t>
  </si>
  <si>
    <t>C/18 PALLET 102013 DE OFERTA</t>
  </si>
  <si>
    <t>81-024</t>
  </si>
  <si>
    <t>C-81</t>
  </si>
  <si>
    <t>82-024</t>
  </si>
  <si>
    <t>C-82</t>
  </si>
  <si>
    <t>83-025</t>
  </si>
  <si>
    <t>C-83</t>
  </si>
  <si>
    <t>84-025</t>
  </si>
  <si>
    <t>C-84</t>
  </si>
  <si>
    <t>85-025</t>
  </si>
  <si>
    <t>C-85</t>
  </si>
  <si>
    <t>86-025</t>
  </si>
  <si>
    <t>C-86</t>
  </si>
  <si>
    <t>87-025</t>
  </si>
  <si>
    <t>C-87</t>
  </si>
  <si>
    <t>88-025</t>
  </si>
  <si>
    <t>C-88</t>
  </si>
  <si>
    <t>FRIJALISCO &amp; VULPES</t>
  </si>
  <si>
    <t>89-025</t>
  </si>
  <si>
    <t>C-89</t>
  </si>
  <si>
    <t>90-025</t>
  </si>
  <si>
    <t>C-90</t>
  </si>
  <si>
    <t>91-025</t>
  </si>
  <si>
    <t>C-91</t>
  </si>
  <si>
    <t>PROMOCIÓN EN 9.8 EUR</t>
  </si>
  <si>
    <t>92-025</t>
  </si>
  <si>
    <t>C-92</t>
  </si>
  <si>
    <t>93-025</t>
  </si>
  <si>
    <t>C-93</t>
  </si>
  <si>
    <t>94-025</t>
  </si>
  <si>
    <t>C-94</t>
  </si>
  <si>
    <t>PRECIOS NUEVOS</t>
  </si>
  <si>
    <t>95-025</t>
  </si>
  <si>
    <t>C-95</t>
  </si>
  <si>
    <t>96-025</t>
  </si>
  <si>
    <t>C-96</t>
  </si>
  <si>
    <t>MIXTO GDL Y LEÓN</t>
  </si>
  <si>
    <t>97-025</t>
  </si>
  <si>
    <t>C-97</t>
  </si>
  <si>
    <t>&lt;</t>
  </si>
  <si>
    <t>98-025</t>
  </si>
  <si>
    <t>C-98</t>
  </si>
  <si>
    <t>99-025</t>
  </si>
  <si>
    <t>C-99</t>
  </si>
  <si>
    <t>100-025</t>
  </si>
  <si>
    <t>C-100</t>
  </si>
  <si>
    <t>101-025</t>
  </si>
  <si>
    <t>C-101</t>
  </si>
  <si>
    <t>102-025</t>
  </si>
  <si>
    <t>C-102</t>
  </si>
  <si>
    <t>103-025</t>
  </si>
  <si>
    <t>C-103</t>
  </si>
  <si>
    <t>104-025</t>
  </si>
  <si>
    <t>C-104</t>
  </si>
  <si>
    <t>102341 PROMOCIÓN</t>
  </si>
  <si>
    <t>105-025</t>
  </si>
  <si>
    <t>C-105</t>
  </si>
  <si>
    <t>106-025</t>
  </si>
  <si>
    <t>C-106</t>
  </si>
  <si>
    <t>107-025</t>
  </si>
  <si>
    <t>C-107</t>
  </si>
  <si>
    <t>108-026</t>
  </si>
  <si>
    <t>C-108</t>
  </si>
  <si>
    <t>KAIDA</t>
  </si>
  <si>
    <t>T.C. USDen pedimento</t>
  </si>
  <si>
    <t>TC Pagado ANTICIPO</t>
  </si>
  <si>
    <t>FECHA PAGO COMPLETO</t>
  </si>
  <si>
    <t>TC Pagado COMPLETO</t>
  </si>
  <si>
    <t>K-001</t>
  </si>
  <si>
    <t>CENTENARIO</t>
  </si>
  <si>
    <t>K-002</t>
  </si>
  <si>
    <t>PAPILLON</t>
  </si>
  <si>
    <t>C20250912AA7</t>
  </si>
  <si>
    <t>K-003</t>
  </si>
  <si>
    <t>EL CENTENARIO</t>
  </si>
  <si>
    <t>C20251015AA9</t>
  </si>
  <si>
    <t>K-004</t>
  </si>
  <si>
    <t>S. SAN JUAN</t>
  </si>
  <si>
    <t>C20251022AA10</t>
  </si>
  <si>
    <t>K-005</t>
  </si>
  <si>
    <t>LEON</t>
  </si>
  <si>
    <t>K-006</t>
  </si>
  <si>
    <t>K-007</t>
  </si>
  <si>
    <t>MAR BAJIO</t>
  </si>
  <si>
    <t>K-008</t>
  </si>
  <si>
    <t>K-009</t>
  </si>
  <si>
    <t>K-010</t>
  </si>
  <si>
    <t>AVOPRODUCTS</t>
  </si>
  <si>
    <t>K-011</t>
  </si>
  <si>
    <t>K-012</t>
  </si>
  <si>
    <t>K-013</t>
  </si>
  <si>
    <t>K-014</t>
  </si>
  <si>
    <t>K-015</t>
  </si>
  <si>
    <t>MAYOREO LEON</t>
  </si>
  <si>
    <t>AVIKO CONTRO DE CUENTAS X PAGAR</t>
  </si>
  <si>
    <t># contenedor</t>
  </si>
  <si>
    <t>fecha pedido</t>
  </si>
  <si>
    <t>Fecha Proforma</t>
  </si>
  <si>
    <t>fecha fact -2</t>
  </si>
  <si>
    <t>ETD</t>
  </si>
  <si>
    <t>ETA puerto</t>
  </si>
  <si>
    <t>valor</t>
  </si>
  <si>
    <t>Saldo con ETD</t>
  </si>
  <si>
    <t>saldo  con proforma</t>
  </si>
  <si>
    <t>saldo vs fact</t>
  </si>
  <si>
    <t>saldo vs Eta</t>
  </si>
  <si>
    <t>Vencimientos</t>
  </si>
  <si>
    <t>FECHA DE PAGO</t>
  </si>
  <si>
    <t xml:space="preserve"> </t>
  </si>
  <si>
    <t>c-376</t>
  </si>
  <si>
    <t>C-416</t>
  </si>
  <si>
    <t>LNEA DE CREDITO</t>
  </si>
  <si>
    <t>fecha fact</t>
  </si>
  <si>
    <t>C/P.O</t>
  </si>
  <si>
    <t>PROFORMA/ CONFIRMACION</t>
  </si>
  <si>
    <t>DIAS P/CONFIRMACION</t>
  </si>
  <si>
    <t>ETD SOLICITADO</t>
  </si>
  <si>
    <t>ETA SOLICITADO</t>
  </si>
  <si>
    <t xml:space="preserve"> ETD FACTURADO</t>
  </si>
  <si>
    <t>ETA FACTURADO</t>
  </si>
  <si>
    <t>R. ETA SOL. Y ETA FACT</t>
  </si>
  <si>
    <t xml:space="preserve"> ETD REAL</t>
  </si>
  <si>
    <t>ETA REAL</t>
  </si>
  <si>
    <t>RETRASOS</t>
  </si>
  <si>
    <t>TOTAL RETRASOS</t>
  </si>
  <si>
    <t>ENTREGA</t>
  </si>
  <si>
    <t>Importe</t>
  </si>
  <si>
    <t>Vencim</t>
  </si>
  <si>
    <t>BL</t>
  </si>
  <si>
    <t>BUQUE</t>
  </si>
  <si>
    <t>307/ 21-518</t>
  </si>
  <si>
    <t>VERACRUZ</t>
  </si>
  <si>
    <t>E</t>
  </si>
  <si>
    <t>300/ 21-511</t>
  </si>
  <si>
    <t>PROGRESO</t>
  </si>
  <si>
    <t>ABASTOS</t>
  </si>
  <si>
    <t>299/ 21-510</t>
  </si>
  <si>
    <t>302/ 21-513</t>
  </si>
  <si>
    <t>303/ 21-514</t>
  </si>
  <si>
    <t>304/ 21-515</t>
  </si>
  <si>
    <t>308/ 21-519</t>
  </si>
  <si>
    <t>309/ 21-520</t>
  </si>
  <si>
    <t>310/ 21-521</t>
  </si>
  <si>
    <t>311/ 21-522</t>
  </si>
  <si>
    <t>312/ 22-523</t>
  </si>
  <si>
    <t>3TD/LEON</t>
  </si>
  <si>
    <t>MSC MARINA</t>
  </si>
  <si>
    <t>313/ 22-524</t>
  </si>
  <si>
    <t>314/ 22-525</t>
  </si>
  <si>
    <t>MAERSK KLEVEN</t>
  </si>
  <si>
    <t>316/ 22-527</t>
  </si>
  <si>
    <t>SEALAND ILLINOIS</t>
  </si>
  <si>
    <t>317/ 22-528</t>
  </si>
  <si>
    <t>318/22-529</t>
  </si>
  <si>
    <t>P</t>
  </si>
  <si>
    <t>320/22-531</t>
  </si>
  <si>
    <t>MSC ANCHORAGE</t>
  </si>
  <si>
    <t>322/22-533</t>
  </si>
  <si>
    <t>MAERSK GATESHEAD</t>
  </si>
  <si>
    <t>323/22-534</t>
  </si>
  <si>
    <t>NORTHERN MAJESTIC</t>
  </si>
  <si>
    <t>324/22-535</t>
  </si>
  <si>
    <t>325/22-536</t>
  </si>
  <si>
    <t>dias del pedido a eta real</t>
  </si>
  <si>
    <t>OXDA SA DE CV</t>
  </si>
  <si>
    <t>CUENTAS POR PAGAR AVIKO EUROS</t>
  </si>
  <si>
    <t>FIX (PEDIMENTO)</t>
  </si>
  <si>
    <t>FACTOR MON.FACT</t>
  </si>
  <si>
    <t>T.C EURO</t>
  </si>
  <si>
    <t>FECHA FACTURA</t>
  </si>
  <si>
    <t>ETA RAL</t>
  </si>
  <si>
    <t>No. PROFORMA</t>
  </si>
  <si>
    <t>CONTENEDOR</t>
  </si>
  <si>
    <t>No.    FACTURA</t>
  </si>
  <si>
    <t>DESTINO</t>
  </si>
  <si>
    <t>IMPORTE</t>
  </si>
  <si>
    <t>CLIENTE</t>
  </si>
  <si>
    <t>FECHA DE VENCIMIENTO FACTURA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</si>
  <si>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</si>
  <si>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</si>
  <si>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</si>
  <si>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</si>
  <si>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</si>
  <si>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</si>
  <si>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</si>
  <si>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</si>
  <si>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</si>
  <si>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</si>
  <si>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</si>
  <si>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</si>
  <si>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SEP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</si>
  <si>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</si>
  <si>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</si>
  <si>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</si>
  <si>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</si>
  <si>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</si>
  <si>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</si>
  <si>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</si>
  <si>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</si>
  <si>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</si>
  <si>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</si>
  <si>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AGO</t>
  </si>
  <si>
    <t>TOTAL</t>
  </si>
  <si>
    <t>Dlls</t>
  </si>
  <si>
    <t>IMPORTE TOTAL</t>
  </si>
  <si>
    <t>IMPORTE PAGADO</t>
  </si>
  <si>
    <t>DIFERENCIA</t>
  </si>
  <si>
    <t>PO 19-412 CONT 201</t>
  </si>
  <si>
    <t>AB.LOG</t>
  </si>
  <si>
    <t>PO 19-413 CONT 204</t>
  </si>
  <si>
    <t>PALACE</t>
  </si>
  <si>
    <t>PO 19-414 CONT 202</t>
  </si>
  <si>
    <t>PO 19-415 CONT 203</t>
  </si>
  <si>
    <t>XALAPA</t>
  </si>
  <si>
    <t>PO 19-416 CONT 205</t>
  </si>
  <si>
    <t>ALTAMIRA</t>
  </si>
  <si>
    <t>MAB</t>
  </si>
  <si>
    <t>PO 19-417 CONT 206</t>
  </si>
  <si>
    <t>PO 19-418 CONT 207</t>
  </si>
  <si>
    <t>PO 19-419 CONT 208</t>
  </si>
  <si>
    <t>PO 19-420 CONT 209</t>
  </si>
  <si>
    <t>PO 19-421 CONT 210</t>
  </si>
  <si>
    <t>PO 19-422 CONT 211</t>
  </si>
  <si>
    <t xml:space="preserve">PO 19-423 CONT 212 </t>
  </si>
  <si>
    <t>PO 19-424 CONT 213</t>
  </si>
  <si>
    <t>PO 19-425 CONT 214</t>
  </si>
  <si>
    <t>PO 19-426 CONT 215</t>
  </si>
  <si>
    <t>PO 19-427 CONT 216</t>
  </si>
  <si>
    <t>PO 19-428 CONT 217</t>
  </si>
  <si>
    <t>PO 19-429  CONT 218</t>
  </si>
  <si>
    <t>PO 19-430 CONT 219</t>
  </si>
  <si>
    <t>PO 19-431 CONT 220</t>
  </si>
  <si>
    <t>VER</t>
  </si>
  <si>
    <t>PO 19-432 CONT 221</t>
  </si>
  <si>
    <t>SOLULOGIS</t>
  </si>
  <si>
    <t>PO 19-433 CONT 222</t>
  </si>
  <si>
    <t>PO 19-434 CONT 223</t>
  </si>
  <si>
    <t>MERIDA</t>
  </si>
  <si>
    <t>PO 19-435 CONT 224</t>
  </si>
  <si>
    <t>PO 19-436 CONT 225</t>
  </si>
  <si>
    <t>PO 19-437 CONT 226</t>
  </si>
  <si>
    <t>PO 19-438 CONT 227</t>
  </si>
  <si>
    <t>PO 19-439 CONT 228</t>
  </si>
  <si>
    <t>PO 19-441 CONT 230</t>
  </si>
  <si>
    <t>PO 19-440 CONT 229</t>
  </si>
  <si>
    <t>PO 19-442 CONT 231</t>
  </si>
  <si>
    <t>MAB Y 3TEMP</t>
  </si>
  <si>
    <t>PO 19-443 CONT 232</t>
  </si>
  <si>
    <t>3TD Y POLLO</t>
  </si>
  <si>
    <t>PO 19-444 CONT 233</t>
  </si>
  <si>
    <t>3TD Y MAB</t>
  </si>
  <si>
    <t>PO 19-446 CONT 234</t>
  </si>
  <si>
    <t>PO 19-477 CONT 235</t>
  </si>
  <si>
    <t>PO 19-445 CONT 240</t>
  </si>
  <si>
    <t>PO 19-448 CONT 236</t>
  </si>
  <si>
    <t>3TD,POLLO Y MAB</t>
  </si>
  <si>
    <t>PO 19-449 CONT 237</t>
  </si>
  <si>
    <t>PO 19-450 CONT 238</t>
  </si>
  <si>
    <t>PO 19-451 CONT 239</t>
  </si>
  <si>
    <t>PO 19-453 CONT 242</t>
  </si>
  <si>
    <t>PO 19-454 CONT 243</t>
  </si>
  <si>
    <t>MAB/3TD</t>
  </si>
  <si>
    <t>CANCELADA</t>
  </si>
  <si>
    <t>PO 19-455 CONT 244</t>
  </si>
  <si>
    <t>PO 20-456 CONT 245</t>
  </si>
  <si>
    <t>MTY</t>
  </si>
  <si>
    <t>PO 20-457 CONT 246</t>
  </si>
  <si>
    <t xml:space="preserve">PO 20-458 CONT 247 </t>
  </si>
  <si>
    <t>PO 20-459 CONT 248</t>
  </si>
  <si>
    <t>PO 20-460 CONT 249</t>
  </si>
  <si>
    <t>PO 20-461 CONT 250</t>
  </si>
  <si>
    <t>MAB-3B</t>
  </si>
  <si>
    <t>PO 20-462 CONT 251</t>
  </si>
  <si>
    <t>PO 20-463 CONT 252</t>
  </si>
  <si>
    <t>PO 20-464 CONT 253</t>
  </si>
  <si>
    <t>PO 20-465 CONT 254</t>
  </si>
  <si>
    <t>PO 20-466 CONT 255</t>
  </si>
  <si>
    <t>PO 20-467 CONT 256</t>
  </si>
  <si>
    <t>3TEMP</t>
  </si>
  <si>
    <t>PO 20-468 CONT 257</t>
  </si>
  <si>
    <t>PO 20-469 CONT 258</t>
  </si>
  <si>
    <t>PO 20-470 CONT 259</t>
  </si>
  <si>
    <t>PO 20-471 CONT 260</t>
  </si>
  <si>
    <t>PO 20-472 CONT 261</t>
  </si>
  <si>
    <t>MAB-3TEMP</t>
  </si>
  <si>
    <t xml:space="preserve">PO 20-473 CONT 262 </t>
  </si>
  <si>
    <t>PO 20-474 CONT 263</t>
  </si>
  <si>
    <t>PO 20-475 CONT 264</t>
  </si>
  <si>
    <t>PO 20-476 CONT 265</t>
  </si>
  <si>
    <t>PO 20-477 CONT 266</t>
  </si>
  <si>
    <t>PO 20-478 CONT 267</t>
  </si>
  <si>
    <t>PO 21-479 CONT 268</t>
  </si>
  <si>
    <t>PO 21-480 CONT 269</t>
  </si>
  <si>
    <t>PO 21-481 CONT 270</t>
  </si>
  <si>
    <t>PO 21-482 CONT 271</t>
  </si>
  <si>
    <t>PO 21-483 CONT 272</t>
  </si>
  <si>
    <t>OOLU2664712060</t>
  </si>
  <si>
    <t>PO 21-484 CONT 273</t>
  </si>
  <si>
    <t>P.O. 21-485 CONT 274</t>
  </si>
  <si>
    <t>OOLU2665757020</t>
  </si>
  <si>
    <t>P.O.21-486 CONT 275</t>
  </si>
  <si>
    <t>MNBU3233036</t>
  </si>
  <si>
    <t>P.O.21-487 CONT 276</t>
  </si>
  <si>
    <t>TCLU1043258</t>
  </si>
  <si>
    <t>P.O.21-489 CONT 278</t>
  </si>
  <si>
    <t>AL/SDN</t>
  </si>
  <si>
    <t>P.O.21-490 CONT 279</t>
  </si>
  <si>
    <t>P.O.21-491 CONT 280</t>
  </si>
  <si>
    <t>P.O.21-492 CONT 281</t>
  </si>
  <si>
    <t>P.O.21-493 CONT 282</t>
  </si>
  <si>
    <t>P.O.21-494 CONT 283</t>
  </si>
  <si>
    <t>P.O.21-495 CONT 284</t>
  </si>
  <si>
    <t>EN ESPERA</t>
  </si>
  <si>
    <t>P.O.21-496 CONT 285</t>
  </si>
  <si>
    <t>P.O.21-497 CONT 286</t>
  </si>
  <si>
    <t>P.O.21-498 CONT 287</t>
  </si>
  <si>
    <t>P.O.21-499 CONT 288</t>
  </si>
  <si>
    <t>MAZATLÁN</t>
  </si>
  <si>
    <t>pacific gourmet</t>
  </si>
  <si>
    <t>P.O.21-500 CONT 289</t>
  </si>
  <si>
    <t>P.O.21-501 CONT 290 A</t>
  </si>
  <si>
    <t>P.O.21-501 CONT 290 B</t>
  </si>
  <si>
    <t>P.O.21-502 CONT 291</t>
  </si>
  <si>
    <t>P.O.21-503 CONT 292</t>
  </si>
  <si>
    <t>P.O.21-505 CONT 294</t>
  </si>
  <si>
    <t>P.O.21-506 CONT 295</t>
  </si>
  <si>
    <t>P.O.21-508 CONT 297</t>
  </si>
  <si>
    <t>P.O.21-510 CONT 299</t>
  </si>
  <si>
    <t>P.O.21-511 CONT 300</t>
  </si>
  <si>
    <t>P.O.21-513 CONT 302</t>
  </si>
  <si>
    <t>P.O.21-514 CONT 303</t>
  </si>
  <si>
    <t>P.O.21-515 CONT 304</t>
  </si>
  <si>
    <t>P.O.21-516 CONT 305</t>
  </si>
  <si>
    <t>P.O.21-517 CONT 306</t>
  </si>
  <si>
    <t>P.O.21-518 CONT 307</t>
  </si>
  <si>
    <t>P.O.21-519 CONT 308</t>
  </si>
  <si>
    <t>P.O.21-520 CONT 309</t>
  </si>
  <si>
    <t>P.O.21-521 CONT 310</t>
  </si>
  <si>
    <t>P.O.21-522 CONT 311</t>
  </si>
  <si>
    <t>P.O.22-523 CONT 312</t>
  </si>
  <si>
    <t>P.O.22-524 CONT 313</t>
  </si>
  <si>
    <t>P.O.22-525 CONT 314</t>
  </si>
  <si>
    <t>P.O.22-527 CONT 316</t>
  </si>
  <si>
    <t>P.O.22-528 CONT 317</t>
  </si>
  <si>
    <t>P.O.22-529 CONT 318</t>
  </si>
  <si>
    <t>P.O.22-530 CONT 319</t>
  </si>
  <si>
    <t>P.O.22-531 CONT 320</t>
  </si>
  <si>
    <t>P.O.22-532 CONT 321</t>
  </si>
  <si>
    <t>P.O.22-533 CONT 322</t>
  </si>
  <si>
    <t>P.O.22-534 CONT 323</t>
  </si>
  <si>
    <t>P.O.22-535 CONT 324</t>
  </si>
  <si>
    <t>P.O.22-536 CONT 325</t>
  </si>
  <si>
    <t>P.O.22-537 CONT 326</t>
  </si>
  <si>
    <t>P.O.22-538 CONT 327</t>
  </si>
  <si>
    <t>WERNSING FEINKOST GMOH</t>
  </si>
  <si>
    <t>WERNSING</t>
  </si>
  <si>
    <t>FIX     (PEDIMENTO)</t>
  </si>
  <si>
    <t xml:space="preserve">T.C. EUR </t>
  </si>
  <si>
    <t>PROM. DE COMPRA</t>
  </si>
  <si>
    <t>ETA ALMACEN</t>
  </si>
  <si>
    <t>PROFORMA</t>
  </si>
  <si>
    <t>FACTURA</t>
  </si>
  <si>
    <t xml:space="preserve">NOV </t>
  </si>
  <si>
    <t>APR</t>
  </si>
  <si>
    <t>AUG</t>
  </si>
  <si>
    <t>DEC</t>
  </si>
  <si>
    <t>P.O.21-001 CONT 01W</t>
  </si>
  <si>
    <t>?</t>
  </si>
  <si>
    <t>P.O.20-002 CONT 02W</t>
  </si>
  <si>
    <t>P.O.20-003 CONT 03W</t>
  </si>
  <si>
    <t>Faraon / Meloni</t>
  </si>
  <si>
    <t>P.O.21-004 CONT 04W</t>
  </si>
  <si>
    <t>P.O.21-005 CONT 05W</t>
  </si>
  <si>
    <t>P.O.21-006 CONT 06W</t>
  </si>
  <si>
    <t>MELONI</t>
  </si>
  <si>
    <t>P.O.21-007 CONT 07W</t>
  </si>
  <si>
    <t>P.O.21-008 CONT 08W</t>
  </si>
  <si>
    <t>P.O.21-009 CONT 09W</t>
  </si>
  <si>
    <t>P.O.21-010 CONT 10W</t>
  </si>
  <si>
    <t>LEÓN</t>
  </si>
  <si>
    <t>P.O.21-011 CONT 11W</t>
  </si>
  <si>
    <t>P.O.21-012 CONT 12W</t>
  </si>
  <si>
    <t>P.O.22-013 CONT 13W</t>
  </si>
  <si>
    <t>P.O.22-014 CONT 14W</t>
  </si>
  <si>
    <t>P.O.22-015 CONT 15W</t>
  </si>
  <si>
    <t>P.O.22-016 CONT 16W</t>
  </si>
  <si>
    <t>P.O. 22-017 CONT 17W</t>
  </si>
  <si>
    <t>P.O. 22-018 CONT 18W</t>
  </si>
  <si>
    <t>P.O. 22-019 CONT 19W</t>
  </si>
  <si>
    <t>P.O. 22-020 CONT 20W</t>
  </si>
  <si>
    <t>P.O. 22-021 CONT 21W</t>
  </si>
  <si>
    <t>P.O. 22-022 CONT 22W</t>
  </si>
  <si>
    <t>P.O. 23-022 CONT 23W</t>
  </si>
  <si>
    <t>P.O. 24-022 CONT 24W</t>
  </si>
  <si>
    <t>Abs. L./El Faraón</t>
  </si>
  <si>
    <t>P.O. 25-022 CONT 25W</t>
  </si>
  <si>
    <t>OXDA S.A. DE C.V.</t>
  </si>
  <si>
    <t xml:space="preserve">CONSUMO ABASTOS LOGICOS </t>
  </si>
  <si>
    <t>CAJAS POR PALLET.</t>
  </si>
  <si>
    <t>NUMERO DE PALLETS</t>
  </si>
  <si>
    <t>CONTENEDOR ETA  17 OCT.</t>
  </si>
  <si>
    <t>NUMETO DE PALLETS</t>
  </si>
  <si>
    <t>CONTENEDOR ETA 14 NOV.</t>
  </si>
  <si>
    <t>CONTENEDOR ETA 12 DIC.</t>
  </si>
  <si>
    <t>CODIGO</t>
  </si>
  <si>
    <t>CONCEPTO</t>
  </si>
  <si>
    <t>AVIKO STRAIGHT CUT 3/8 4X2500G REG3</t>
  </si>
  <si>
    <t>AVIKO HASH BROWNS TRIANGLES 4X2500G</t>
  </si>
  <si>
    <t>AVIKO RÖSTIKO ROUNDS FRYER 4X2500G</t>
  </si>
  <si>
    <t>AVIKO SPICY JACKET WEDGES 4X2500G</t>
  </si>
  <si>
    <t>AVIKO H PREM. CRUNCH SHOESTRING 7MM 4X2270g</t>
  </si>
  <si>
    <t>AVIKO H SUPER CRUNCH 9.5MM 3/8 4X2500G</t>
  </si>
  <si>
    <t>AVIKO BREADED ONION RINGS 6*1000 G</t>
  </si>
  <si>
    <t>AVIKO ORIGINAL  20X450 G.</t>
  </si>
  <si>
    <t>Fecha ETD</t>
  </si>
  <si>
    <t>Fecha ETA</t>
  </si>
  <si>
    <t>Contenedor</t>
  </si>
  <si>
    <t>CONSUMO VERACRUZ.</t>
  </si>
  <si>
    <t>NUMERO DE PALLETS.</t>
  </si>
  <si>
    <t xml:space="preserve">ENTRADA CONTENEDOR 04/10/2021 </t>
  </si>
  <si>
    <t xml:space="preserve">ENTRADA CONTENEDOR 08/11/2021 </t>
  </si>
  <si>
    <t xml:space="preserve">ENTRADA CONTENEDOR 13/12/2021 </t>
  </si>
  <si>
    <t>AVIKO CRINKLE CUT 12MM 4 X 2.5 KG</t>
  </si>
  <si>
    <t>AVIKO STEAK FRIES 4X2500G 4X5.5 LBS</t>
  </si>
  <si>
    <t xml:space="preserve">ENTRADA CONTENEDOR 15/10/2021 </t>
  </si>
  <si>
    <t xml:space="preserve">ENTRADA CONTENEDOR 05/11/2021 </t>
  </si>
  <si>
    <t xml:space="preserve">ENTRADA CONTENEDOR 03/12/2021 </t>
  </si>
  <si>
    <t xml:space="preserve">ENTRADA CONTENEDOR 07/01/2022 </t>
  </si>
  <si>
    <t>AVIKO STRAIGHT CUT (10X1000G)</t>
  </si>
  <si>
    <t>AVIKO PAPAS FRITAS ZIGZAG 12X750G</t>
  </si>
  <si>
    <t>CONSUMO MAZATLAN</t>
  </si>
  <si>
    <t xml:space="preserve">ENTRADA CONTENEDOR 10/10/2021 </t>
  </si>
  <si>
    <t xml:space="preserve">ENTRADA CONTENEDOR 10/11/2021 </t>
  </si>
  <si>
    <t xml:space="preserve">ENTRADA CONTENEDOR 01/12/2021 </t>
  </si>
  <si>
    <t xml:space="preserve">ENTRADA CONTENEDOR 15/12/2021 </t>
  </si>
  <si>
    <t>AVIKO SPICY WEDGES 20X500G</t>
  </si>
  <si>
    <t>AVIKO ANEIS DE CEBOLA 25X400G</t>
  </si>
  <si>
    <t>ORDEN DE COMPRA</t>
  </si>
  <si>
    <t>INVOICE</t>
  </si>
  <si>
    <t>MONTO</t>
  </si>
  <si>
    <t>FECHA DE PAGO (SEGÚN FACTURA)</t>
  </si>
  <si>
    <t>FECHA DE PAGO CON 30 DÍAS DE CRÉDITO ADICIONALES</t>
  </si>
  <si>
    <t>P.O.22-525 C-314</t>
  </si>
  <si>
    <t>P.O.22-528 C-317</t>
  </si>
  <si>
    <t>P.O.22-531 C-320</t>
  </si>
  <si>
    <t>26-634</t>
  </si>
  <si>
    <t>26-633</t>
  </si>
  <si>
    <t>MIXTO GDL / LEON</t>
  </si>
  <si>
    <t>POR DEFINIR</t>
  </si>
  <si>
    <t>C20251201OD007</t>
  </si>
  <si>
    <t>C20251201OD008</t>
  </si>
  <si>
    <t>C20251208OD009</t>
  </si>
  <si>
    <t>C20251208OD010</t>
  </si>
  <si>
    <t>C20251218OD011</t>
  </si>
  <si>
    <t>C20251226XD013</t>
  </si>
  <si>
    <t>C20251226XD012</t>
  </si>
  <si>
    <t>K-016</t>
  </si>
  <si>
    <t>K-017</t>
  </si>
  <si>
    <t>26-635</t>
  </si>
  <si>
    <t>C-424</t>
  </si>
  <si>
    <t>109-026</t>
  </si>
  <si>
    <t>C-109</t>
  </si>
  <si>
    <t>TC Promedio</t>
  </si>
  <si>
    <t>K-018</t>
  </si>
  <si>
    <t>K-019</t>
  </si>
  <si>
    <t>Salchichonería San Juan | Papillon</t>
  </si>
  <si>
    <t>C-110</t>
  </si>
  <si>
    <t>110-026</t>
  </si>
  <si>
    <t>111-026</t>
  </si>
  <si>
    <t xml:space="preserve"> 112-026</t>
  </si>
  <si>
    <t>C-111</t>
  </si>
  <si>
    <t>C-112</t>
  </si>
  <si>
    <t>K-020</t>
  </si>
  <si>
    <t>K-021</t>
  </si>
  <si>
    <t>K-022</t>
  </si>
  <si>
    <t>K-023</t>
  </si>
  <si>
    <t>26-636</t>
  </si>
  <si>
    <t>C-425</t>
  </si>
  <si>
    <t>ALTO ESTANDAR  QUERETARO (GABY)</t>
  </si>
  <si>
    <t>113-026</t>
  </si>
  <si>
    <t>C-113</t>
  </si>
  <si>
    <t>K-024</t>
  </si>
  <si>
    <t>114-026</t>
  </si>
  <si>
    <t>C-114</t>
  </si>
  <si>
    <t>C-115</t>
  </si>
  <si>
    <t>115-026</t>
  </si>
  <si>
    <t>GUADALAJARA</t>
  </si>
  <si>
    <t>30/03//2026</t>
  </si>
  <si>
    <t>K-025</t>
  </si>
  <si>
    <t>K-026</t>
  </si>
  <si>
    <t>(POSIBLE CIERRE TOÑO ROMO 1/4) REVISAR CON KAIDA</t>
  </si>
  <si>
    <t>26-637</t>
  </si>
  <si>
    <t>C-426</t>
  </si>
  <si>
    <t>CDMX - LEON</t>
  </si>
  <si>
    <t>K-027</t>
  </si>
  <si>
    <t>TOÑO ROMO 1/4</t>
  </si>
  <si>
    <t>26-638</t>
  </si>
  <si>
    <t>26-639</t>
  </si>
  <si>
    <t>C-427</t>
  </si>
  <si>
    <t>C-428</t>
  </si>
  <si>
    <t>KD20260415XD-027</t>
  </si>
  <si>
    <t>KD20260217XD-026</t>
  </si>
  <si>
    <t>KD20260215XD-025</t>
  </si>
  <si>
    <t>KD20260215XD-024</t>
  </si>
  <si>
    <t>KD20260211XD-020</t>
  </si>
  <si>
    <t>KD20260211XD-021</t>
  </si>
  <si>
    <t>KD20260212XD-022</t>
  </si>
  <si>
    <t>KD20260212XD-023</t>
  </si>
  <si>
    <t>15/05/202026</t>
  </si>
  <si>
    <t>K-028</t>
  </si>
  <si>
    <t>K-029</t>
  </si>
  <si>
    <t>26-640</t>
  </si>
  <si>
    <t>C-429</t>
  </si>
  <si>
    <t>CDMX-LEON</t>
  </si>
  <si>
    <t>116-026</t>
  </si>
  <si>
    <t>C-116</t>
  </si>
  <si>
    <t>26//04/2026</t>
  </si>
  <si>
    <t>117-026</t>
  </si>
  <si>
    <t>118-026</t>
  </si>
  <si>
    <t>C-117</t>
  </si>
  <si>
    <t>C-118</t>
  </si>
  <si>
    <t>GUADALAJARA - PROMOCION</t>
  </si>
  <si>
    <t>Abastos Logicos - Promocion</t>
  </si>
  <si>
    <t>26-641</t>
  </si>
  <si>
    <t>C-430</t>
  </si>
  <si>
    <t>119-026</t>
  </si>
  <si>
    <t>C-119</t>
  </si>
  <si>
    <t>K-030</t>
  </si>
  <si>
    <t>K-031</t>
  </si>
  <si>
    <t>GDL 1/7 COMPLETO</t>
  </si>
  <si>
    <t>26-642</t>
  </si>
  <si>
    <t>C-431</t>
  </si>
  <si>
    <t>K-032</t>
  </si>
  <si>
    <t>26-643</t>
  </si>
  <si>
    <t>C-432</t>
  </si>
  <si>
    <t>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</si>
</sst>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.0000_);_(* \(#,##0.0000\);_(* &quot;-&quot;??_);_(@_)"/>
    <numFmt numFmtId="167" formatCode="_-* #,##0_-;\-* #,##0_-;_-* &quot;-&quot;??_-;_-@_-"/>
    <numFmt numFmtId="168" formatCode="_-* #,##0.0_-;\-* #,##0.0_-;_-* &quot;-&quot;??_-;_-@_-"/>
    <numFmt numFmtId="169" formatCode="#,##0.00\ [$€-1]"/>
    <numFmt numFmtId="170" formatCode="#,##0.00\ [$€-407]"/>
    <numFmt numFmtId="171" formatCode="_-* #,##0.00\ [$€-1]_-;\-* #,##0.00\ [$€-1]_-;_-* &quot;-&quot;??\ [$€-1]_-;_-@_-"/>
    <numFmt numFmtId="172" formatCode="_-* #,##0.000_-;\-* #,##0.000_-;_-* &quot;-&quot;??_-;_-@_-"/>
    <numFmt numFmtId="173" formatCode="_-* #,##0.0000_-;\-* #,##0.0000_-;_-* &quot;-&quot;??_-;_-@_-"/>
    <numFmt numFmtId="174" formatCode="dd/mmm/yyyy"/>
    <numFmt numFmtId="175" formatCode="0.0000"/>
    <numFmt numFmtId="176" formatCode="_-[$$-409]* #,##0.00_ ;_-[$$-409]* \-#,##0.00\ ;_-[$$-409]* &quot;-&quot;??_ ;_-@_ "/>
  </numFmts>
  <fonts count="7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222222"/>
      <name val="Arial"/>
      <family val="2"/>
    </font>
    <font>
      <b/>
      <sz val="11"/>
      <color rgb="FF222222"/>
      <name val="Arial"/>
      <family val="2"/>
    </font>
    <font>
      <sz val="12"/>
      <color rgb="FF222222"/>
      <name val="Roboto"/>
    </font>
    <font>
      <b/>
      <sz val="8"/>
      <color rgb="FF222222"/>
      <name val="Arial"/>
      <family val="2"/>
    </font>
    <font>
      <sz val="11"/>
      <color rgb="FF222222"/>
      <name val="Arial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0070C0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ahoma"/>
      <family val="2"/>
    </font>
    <font>
      <b/>
      <sz val="11"/>
      <color theme="7" tint="0.59999389629810485"/>
      <name val="Times New Roman"/>
      <family val="1"/>
    </font>
    <font>
      <b/>
      <sz val="11"/>
      <color theme="0"/>
      <name val="Times New Roman"/>
      <family val="1"/>
    </font>
    <font>
      <sz val="12"/>
      <color theme="1"/>
      <name val="Times New Roman"/>
      <family val="1"/>
    </font>
    <font>
      <b/>
      <sz val="12"/>
      <color rgb="FF7030A0"/>
      <name val="Times New Roman"/>
      <family val="1"/>
    </font>
    <font>
      <b/>
      <sz val="11"/>
      <color rgb="FF7030A0"/>
      <name val="Times New Roman"/>
      <family val="1"/>
    </font>
    <font>
      <b/>
      <sz val="12"/>
      <name val="Times New Roman"/>
      <family val="1"/>
    </font>
    <font>
      <b/>
      <sz val="12"/>
      <color rgb="FF0000FF"/>
      <name val="Times New Roman"/>
      <family val="1"/>
    </font>
    <font>
      <b/>
      <sz val="11"/>
      <color rgb="FF0000FF"/>
      <name val="Times New Roman"/>
      <family val="1"/>
    </font>
    <font>
      <sz val="12"/>
      <name val="Times New Roman"/>
      <family val="1"/>
    </font>
    <font>
      <b/>
      <sz val="11"/>
      <color rgb="FFE3139E"/>
      <name val="Times New Roman"/>
      <family val="1"/>
    </font>
    <font>
      <b/>
      <sz val="12"/>
      <color theme="9" tint="-0.249977111117893"/>
      <name val="Times New Roman"/>
      <family val="1"/>
    </font>
    <font>
      <b/>
      <sz val="11"/>
      <color theme="9" tint="-0.249977111117893"/>
      <name val="Times New Roman"/>
      <family val="1"/>
    </font>
    <font>
      <b/>
      <sz val="8"/>
      <name val="Times New Roman"/>
      <family val="1"/>
    </font>
    <font>
      <b/>
      <sz val="12"/>
      <color rgb="FFFF0000"/>
      <name val="Times New Roman"/>
      <family val="1"/>
    </font>
    <font>
      <b/>
      <sz val="8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0"/>
      <color rgb="FF7030A0"/>
      <name val="Times New Roman"/>
      <family val="1"/>
    </font>
    <font>
      <sz val="9"/>
      <color theme="1"/>
      <name val="Times New Roman"/>
      <family val="1"/>
    </font>
    <font>
      <b/>
      <sz val="14"/>
      <color theme="0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sz val="14"/>
      <color theme="1"/>
      <name val="Times New Roman"/>
      <family val="1"/>
    </font>
    <font>
      <sz val="9"/>
      <color theme="1"/>
      <name val="Calibri"/>
      <family val="2"/>
      <scheme val="minor"/>
    </font>
    <font>
      <sz val="11"/>
      <name val="Times New Roman"/>
      <family val="1"/>
    </font>
    <font>
      <sz val="11"/>
      <color rgb="FFDA006D"/>
      <name val="Times New Roman"/>
      <family val="1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Aptos Narrow"/>
      <family val="2"/>
    </font>
    <font>
      <b/>
      <sz val="12"/>
      <color theme="1"/>
      <name val="Aptos Narrow"/>
      <family val="2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b/>
      <sz val="10"/>
      <color theme="1"/>
      <name val="Aptos Narrow"/>
      <family val="2"/>
    </font>
    <font>
      <b/>
      <sz val="11"/>
      <color theme="1"/>
      <name val="Aptos Narrow"/>
      <family val="2"/>
    </font>
    <font>
      <b/>
      <sz val="9"/>
      <color theme="1"/>
      <name val="Aptos Narrow"/>
      <family val="2"/>
    </font>
    <font>
      <sz val="12"/>
      <color rgb="FFFF0000"/>
      <name val="Aptos Narrow"/>
      <family val="2"/>
    </font>
    <font>
      <sz val="18"/>
      <color theme="1"/>
      <name val="Calibri"/>
      <family val="2"/>
      <scheme val="minor"/>
    </font>
    <font>
      <b/>
      <sz val="16"/>
      <color theme="1"/>
      <name val="Aptos Narrow"/>
      <family val="2"/>
    </font>
    <font>
      <u/>
      <sz val="11"/>
      <color theme="1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u/>
      <sz val="16"/>
      <color rgb="FFFF0000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79DCFF"/>
        <bgColor indexed="64"/>
      </patternFill>
    </fill>
    <fill>
      <patternFill patternType="solid">
        <fgColor rgb="FF97FFD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E1B7D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60B2C8"/>
        <bgColor indexed="64"/>
      </patternFill>
    </fill>
    <fill>
      <patternFill patternType="solid">
        <fgColor rgb="FFE3139E"/>
        <bgColor indexed="64"/>
      </patternFill>
    </fill>
    <fill>
      <patternFill patternType="solid">
        <fgColor rgb="FFF1A20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A5D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FEE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BFDD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88FC88"/>
        <bgColor indexed="64"/>
      </patternFill>
    </fill>
    <fill>
      <patternFill patternType="solid">
        <fgColor rgb="FFFF6600"/>
        <bgColor indexed="64"/>
      </patternFill>
    </fill>
  </fills>
  <borders count="54">
    <border>
      <left/>
      <right/>
      <top/>
      <bottom/>
      <diagonal/>
    </border>
    <border>
      <left style="medium">
        <color rgb="FFC0C0C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1" fillId="0" borderId="0" applyNumberFormat="0" applyFill="0" applyBorder="0" applyAlignment="0" applyProtection="0"/>
  </cellStyleXfs>
  <cellXfs count="589">
    <xf numFmtId="0" fontId="0" fillId="0" borderId="0" xfId="0"/>
    <xf numFmtId="0" fontId="5" fillId="2" borderId="0" xfId="0" applyFont="1" applyFill="1" applyAlignment="1">
      <alignment horizontal="left" vertical="center"/>
    </xf>
    <xf numFmtId="0" fontId="0" fillId="2" borderId="0" xfId="0" applyFill="1"/>
    <xf numFmtId="0" fontId="6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vertical="top"/>
    </xf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3" fontId="9" fillId="2" borderId="6" xfId="0" applyNumberFormat="1" applyFont="1" applyFill="1" applyBorder="1" applyAlignment="1">
      <alignment vertical="center"/>
    </xf>
    <xf numFmtId="0" fontId="9" fillId="2" borderId="7" xfId="0" applyFont="1" applyFill="1" applyBorder="1" applyAlignment="1">
      <alignment vertical="center"/>
    </xf>
    <xf numFmtId="43" fontId="10" fillId="2" borderId="3" xfId="1" applyFont="1" applyFill="1" applyBorder="1" applyAlignment="1">
      <alignment horizontal="right" vertical="center"/>
    </xf>
    <xf numFmtId="43" fontId="10" fillId="2" borderId="7" xfId="1" applyFont="1" applyFill="1" applyBorder="1" applyAlignment="1">
      <alignment horizontal="right" vertical="center"/>
    </xf>
    <xf numFmtId="43" fontId="10" fillId="2" borderId="5" xfId="1" applyFont="1" applyFill="1" applyBorder="1" applyAlignment="1">
      <alignment horizontal="right" vertical="center"/>
    </xf>
    <xf numFmtId="43" fontId="10" fillId="2" borderId="4" xfId="1" applyFont="1" applyFill="1" applyBorder="1" applyAlignment="1">
      <alignment horizontal="right" vertical="center"/>
    </xf>
    <xf numFmtId="0" fontId="11" fillId="2" borderId="0" xfId="0" applyFont="1" applyFill="1" applyAlignment="1">
      <alignment vertical="center" wrapText="1"/>
    </xf>
    <xf numFmtId="43" fontId="0" fillId="2" borderId="9" xfId="0" applyNumberFormat="1" applyFill="1" applyBorder="1"/>
    <xf numFmtId="0" fontId="9" fillId="2" borderId="10" xfId="0" applyFont="1" applyFill="1" applyBorder="1" applyAlignment="1">
      <alignment vertical="center"/>
    </xf>
    <xf numFmtId="43" fontId="0" fillId="4" borderId="12" xfId="0" applyNumberFormat="1" applyFill="1" applyBorder="1"/>
    <xf numFmtId="43" fontId="0" fillId="4" borderId="11" xfId="0" applyNumberFormat="1" applyFill="1" applyBorder="1"/>
    <xf numFmtId="43" fontId="0" fillId="5" borderId="12" xfId="0" applyNumberFormat="1" applyFill="1" applyBorder="1"/>
    <xf numFmtId="43" fontId="0" fillId="5" borderId="11" xfId="0" applyNumberFormat="1" applyFill="1" applyBorder="1"/>
    <xf numFmtId="43" fontId="0" fillId="7" borderId="12" xfId="0" applyNumberFormat="1" applyFill="1" applyBorder="1"/>
    <xf numFmtId="43" fontId="0" fillId="7" borderId="11" xfId="0" applyNumberFormat="1" applyFill="1" applyBorder="1"/>
    <xf numFmtId="0" fontId="9" fillId="2" borderId="8" xfId="0" applyFont="1" applyFill="1" applyBorder="1" applyAlignment="1">
      <alignment vertical="center"/>
    </xf>
    <xf numFmtId="16" fontId="0" fillId="2" borderId="0" xfId="0" applyNumberFormat="1" applyFill="1"/>
    <xf numFmtId="0" fontId="12" fillId="9" borderId="21" xfId="0" applyFont="1" applyFill="1" applyBorder="1"/>
    <xf numFmtId="0" fontId="12" fillId="9" borderId="22" xfId="0" applyFont="1" applyFill="1" applyBorder="1"/>
    <xf numFmtId="0" fontId="12" fillId="9" borderId="23" xfId="0" applyFont="1" applyFill="1" applyBorder="1"/>
    <xf numFmtId="0" fontId="12" fillId="8" borderId="15" xfId="0" applyFont="1" applyFill="1" applyBorder="1"/>
    <xf numFmtId="14" fontId="12" fillId="8" borderId="14" xfId="0" applyNumberFormat="1" applyFont="1" applyFill="1" applyBorder="1"/>
    <xf numFmtId="0" fontId="12" fillId="8" borderId="16" xfId="0" applyFont="1" applyFill="1" applyBorder="1" applyAlignment="1">
      <alignment horizontal="center"/>
    </xf>
    <xf numFmtId="0" fontId="12" fillId="10" borderId="18" xfId="0" applyFont="1" applyFill="1" applyBorder="1"/>
    <xf numFmtId="14" fontId="12" fillId="10" borderId="19" xfId="0" applyNumberFormat="1" applyFont="1" applyFill="1" applyBorder="1"/>
    <xf numFmtId="0" fontId="12" fillId="10" borderId="19" xfId="0" applyFont="1" applyFill="1" applyBorder="1" applyAlignment="1">
      <alignment horizontal="center"/>
    </xf>
    <xf numFmtId="0" fontId="12" fillId="10" borderId="20" xfId="0" applyFont="1" applyFill="1" applyBorder="1" applyAlignment="1">
      <alignment horizontal="center"/>
    </xf>
    <xf numFmtId="14" fontId="12" fillId="10" borderId="14" xfId="0" applyNumberFormat="1" applyFont="1" applyFill="1" applyBorder="1"/>
    <xf numFmtId="0" fontId="12" fillId="10" borderId="14" xfId="0" applyFont="1" applyFill="1" applyBorder="1" applyAlignment="1">
      <alignment horizontal="center"/>
    </xf>
    <xf numFmtId="0" fontId="12" fillId="10" borderId="16" xfId="0" applyFont="1" applyFill="1" applyBorder="1" applyAlignment="1">
      <alignment horizontal="center"/>
    </xf>
    <xf numFmtId="0" fontId="12" fillId="10" borderId="15" xfId="0" applyFont="1" applyFill="1" applyBorder="1"/>
    <xf numFmtId="0" fontId="12" fillId="10" borderId="17" xfId="0" applyFont="1" applyFill="1" applyBorder="1" applyAlignment="1">
      <alignment horizontal="center"/>
    </xf>
    <xf numFmtId="0" fontId="12" fillId="10" borderId="11" xfId="0" applyFont="1" applyFill="1" applyBorder="1" applyAlignment="1">
      <alignment horizontal="center"/>
    </xf>
    <xf numFmtId="0" fontId="12" fillId="11" borderId="15" xfId="0" applyFont="1" applyFill="1" applyBorder="1"/>
    <xf numFmtId="14" fontId="12" fillId="11" borderId="14" xfId="0" applyNumberFormat="1" applyFont="1" applyFill="1" applyBorder="1"/>
    <xf numFmtId="0" fontId="12" fillId="11" borderId="14" xfId="0" applyFont="1" applyFill="1" applyBorder="1" applyAlignment="1">
      <alignment horizontal="center"/>
    </xf>
    <xf numFmtId="0" fontId="12" fillId="11" borderId="16" xfId="0" applyFont="1" applyFill="1" applyBorder="1" applyAlignment="1">
      <alignment horizontal="center"/>
    </xf>
    <xf numFmtId="14" fontId="12" fillId="8" borderId="15" xfId="0" applyNumberFormat="1" applyFont="1" applyFill="1" applyBorder="1"/>
    <xf numFmtId="0" fontId="12" fillId="8" borderId="18" xfId="0" applyFont="1" applyFill="1" applyBorder="1"/>
    <xf numFmtId="14" fontId="12" fillId="8" borderId="19" xfId="0" applyNumberFormat="1" applyFont="1" applyFill="1" applyBorder="1"/>
    <xf numFmtId="0" fontId="12" fillId="8" borderId="19" xfId="0" applyFont="1" applyFill="1" applyBorder="1" applyAlignment="1">
      <alignment horizontal="center"/>
    </xf>
    <xf numFmtId="0" fontId="12" fillId="8" borderId="20" xfId="0" applyFont="1" applyFill="1" applyBorder="1" applyAlignment="1">
      <alignment horizontal="center"/>
    </xf>
    <xf numFmtId="0" fontId="0" fillId="12" borderId="0" xfId="0" applyFill="1"/>
    <xf numFmtId="0" fontId="13" fillId="0" borderId="0" xfId="0" applyFont="1"/>
    <xf numFmtId="14" fontId="12" fillId="10" borderId="17" xfId="0" applyNumberFormat="1" applyFont="1" applyFill="1" applyBorder="1" applyAlignment="1">
      <alignment horizontal="center"/>
    </xf>
    <xf numFmtId="0" fontId="12" fillId="10" borderId="25" xfId="0" applyFont="1" applyFill="1" applyBorder="1"/>
    <xf numFmtId="14" fontId="12" fillId="10" borderId="26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12" borderId="14" xfId="0" applyFill="1" applyBorder="1"/>
    <xf numFmtId="0" fontId="0" fillId="12" borderId="19" xfId="0" applyFill="1" applyBorder="1"/>
    <xf numFmtId="0" fontId="0" fillId="5" borderId="14" xfId="0" applyFill="1" applyBorder="1"/>
    <xf numFmtId="0" fontId="13" fillId="10" borderId="14" xfId="0" applyFont="1" applyFill="1" applyBorder="1"/>
    <xf numFmtId="0" fontId="13" fillId="11" borderId="14" xfId="0" applyFont="1" applyFill="1" applyBorder="1"/>
    <xf numFmtId="14" fontId="0" fillId="10" borderId="19" xfId="0" applyNumberFormat="1" applyFill="1" applyBorder="1" applyAlignment="1">
      <alignment horizontal="center"/>
    </xf>
    <xf numFmtId="14" fontId="0" fillId="11" borderId="14" xfId="0" applyNumberFormat="1" applyFill="1" applyBorder="1" applyAlignment="1">
      <alignment horizontal="center"/>
    </xf>
    <xf numFmtId="14" fontId="0" fillId="10" borderId="14" xfId="0" applyNumberFormat="1" applyFill="1" applyBorder="1" applyAlignment="1">
      <alignment horizontal="center"/>
    </xf>
    <xf numFmtId="0" fontId="13" fillId="10" borderId="19" xfId="0" applyFont="1" applyFill="1" applyBorder="1"/>
    <xf numFmtId="0" fontId="0" fillId="13" borderId="14" xfId="0" applyFill="1" applyBorder="1"/>
    <xf numFmtId="0" fontId="0" fillId="5" borderId="17" xfId="0" applyFill="1" applyBorder="1"/>
    <xf numFmtId="0" fontId="12" fillId="10" borderId="24" xfId="0" applyFont="1" applyFill="1" applyBorder="1"/>
    <xf numFmtId="14" fontId="16" fillId="10" borderId="14" xfId="0" applyNumberFormat="1" applyFont="1" applyFill="1" applyBorder="1" applyAlignment="1">
      <alignment horizontal="left"/>
    </xf>
    <xf numFmtId="14" fontId="16" fillId="11" borderId="14" xfId="0" applyNumberFormat="1" applyFont="1" applyFill="1" applyBorder="1" applyAlignment="1">
      <alignment horizontal="left"/>
    </xf>
    <xf numFmtId="14" fontId="15" fillId="10" borderId="14" xfId="0" applyNumberFormat="1" applyFont="1" applyFill="1" applyBorder="1" applyAlignment="1">
      <alignment horizontal="center"/>
    </xf>
    <xf numFmtId="14" fontId="15" fillId="10" borderId="24" xfId="0" applyNumberFormat="1" applyFont="1" applyFill="1" applyBorder="1"/>
    <xf numFmtId="14" fontId="15" fillId="10" borderId="19" xfId="0" applyNumberFormat="1" applyFont="1" applyFill="1" applyBorder="1"/>
    <xf numFmtId="14" fontId="15" fillId="10" borderId="30" xfId="0" applyNumberFormat="1" applyFont="1" applyFill="1" applyBorder="1" applyAlignment="1">
      <alignment horizontal="left"/>
    </xf>
    <xf numFmtId="14" fontId="16" fillId="13" borderId="14" xfId="0" applyNumberFormat="1" applyFont="1" applyFill="1" applyBorder="1" applyAlignment="1">
      <alignment horizontal="left"/>
    </xf>
    <xf numFmtId="0" fontId="12" fillId="13" borderId="14" xfId="0" applyFont="1" applyFill="1" applyBorder="1" applyAlignment="1">
      <alignment horizontal="center"/>
    </xf>
    <xf numFmtId="0" fontId="13" fillId="13" borderId="14" xfId="0" applyFont="1" applyFill="1" applyBorder="1"/>
    <xf numFmtId="14" fontId="0" fillId="13" borderId="14" xfId="0" applyNumberFormat="1" applyFill="1" applyBorder="1" applyAlignment="1">
      <alignment horizontal="center"/>
    </xf>
    <xf numFmtId="14" fontId="15" fillId="13" borderId="14" xfId="0" applyNumberFormat="1" applyFont="1" applyFill="1" applyBorder="1" applyAlignment="1">
      <alignment horizontal="center"/>
    </xf>
    <xf numFmtId="0" fontId="14" fillId="9" borderId="36" xfId="0" applyFont="1" applyFill="1" applyBorder="1" applyAlignment="1">
      <alignment horizontal="center" vertical="center"/>
    </xf>
    <xf numFmtId="0" fontId="14" fillId="9" borderId="37" xfId="0" applyFont="1" applyFill="1" applyBorder="1" applyAlignment="1">
      <alignment horizontal="center" vertical="center" wrapText="1"/>
    </xf>
    <xf numFmtId="0" fontId="18" fillId="9" borderId="37" xfId="0" applyFont="1" applyFill="1" applyBorder="1" applyAlignment="1">
      <alignment horizontal="center" vertical="center" wrapText="1"/>
    </xf>
    <xf numFmtId="0" fontId="18" fillId="14" borderId="37" xfId="0" applyFont="1" applyFill="1" applyBorder="1" applyAlignment="1">
      <alignment horizontal="center" vertical="center" wrapText="1"/>
    </xf>
    <xf numFmtId="0" fontId="19" fillId="15" borderId="37" xfId="0" applyFont="1" applyFill="1" applyBorder="1" applyAlignment="1">
      <alignment horizontal="center" vertical="center" wrapText="1"/>
    </xf>
    <xf numFmtId="0" fontId="19" fillId="16" borderId="37" xfId="0" applyFont="1" applyFill="1" applyBorder="1" applyAlignment="1">
      <alignment horizontal="center" vertical="center" wrapText="1"/>
    </xf>
    <xf numFmtId="0" fontId="19" fillId="14" borderId="37" xfId="0" applyFont="1" applyFill="1" applyBorder="1" applyAlignment="1">
      <alignment horizontal="center" vertical="center" wrapText="1"/>
    </xf>
    <xf numFmtId="0" fontId="19" fillId="17" borderId="37" xfId="0" applyFont="1" applyFill="1" applyBorder="1" applyAlignment="1">
      <alignment horizontal="center" vertical="center" wrapText="1"/>
    </xf>
    <xf numFmtId="0" fontId="14" fillId="9" borderId="37" xfId="0" applyFont="1" applyFill="1" applyBorder="1" applyAlignment="1">
      <alignment horizontal="center" vertical="center"/>
    </xf>
    <xf numFmtId="0" fontId="14" fillId="9" borderId="38" xfId="0" applyFont="1" applyFill="1" applyBorder="1" applyAlignment="1">
      <alignment horizontal="center" vertical="center" wrapText="1"/>
    </xf>
    <xf numFmtId="0" fontId="0" fillId="11" borderId="14" xfId="0" applyFill="1" applyBorder="1"/>
    <xf numFmtId="14" fontId="0" fillId="17" borderId="14" xfId="0" applyNumberFormat="1" applyFill="1" applyBorder="1"/>
    <xf numFmtId="14" fontId="0" fillId="11" borderId="14" xfId="0" applyNumberFormat="1" applyFill="1" applyBorder="1"/>
    <xf numFmtId="2" fontId="0" fillId="3" borderId="14" xfId="0" applyNumberFormat="1" applyFill="1" applyBorder="1"/>
    <xf numFmtId="1" fontId="0" fillId="3" borderId="14" xfId="0" applyNumberFormat="1" applyFill="1" applyBorder="1"/>
    <xf numFmtId="0" fontId="0" fillId="11" borderId="14" xfId="0" applyFill="1" applyBorder="1" applyAlignment="1">
      <alignment horizontal="right"/>
    </xf>
    <xf numFmtId="43" fontId="0" fillId="11" borderId="14" xfId="2" applyNumberFormat="1" applyFont="1" applyFill="1" applyBorder="1"/>
    <xf numFmtId="0" fontId="0" fillId="11" borderId="0" xfId="0" applyFill="1"/>
    <xf numFmtId="0" fontId="0" fillId="8" borderId="0" xfId="0" applyFill="1"/>
    <xf numFmtId="0" fontId="0" fillId="18" borderId="14" xfId="0" applyFill="1" applyBorder="1"/>
    <xf numFmtId="14" fontId="0" fillId="18" borderId="14" xfId="0" applyNumberFormat="1" applyFill="1" applyBorder="1"/>
    <xf numFmtId="43" fontId="0" fillId="18" borderId="14" xfId="2" applyNumberFormat="1" applyFont="1" applyFill="1" applyBorder="1"/>
    <xf numFmtId="0" fontId="0" fillId="18" borderId="0" xfId="0" applyFill="1"/>
    <xf numFmtId="14" fontId="0" fillId="13" borderId="14" xfId="0" applyNumberFormat="1" applyFill="1" applyBorder="1"/>
    <xf numFmtId="2" fontId="0" fillId="13" borderId="14" xfId="0" applyNumberFormat="1" applyFill="1" applyBorder="1"/>
    <xf numFmtId="1" fontId="0" fillId="13" borderId="14" xfId="0" applyNumberFormat="1" applyFill="1" applyBorder="1"/>
    <xf numFmtId="43" fontId="0" fillId="13" borderId="14" xfId="2" applyNumberFormat="1" applyFont="1" applyFill="1" applyBorder="1"/>
    <xf numFmtId="0" fontId="0" fillId="13" borderId="0" xfId="0" applyFill="1"/>
    <xf numFmtId="0" fontId="14" fillId="9" borderId="0" xfId="0" applyFont="1" applyFill="1" applyAlignment="1">
      <alignment horizontal="center" vertical="center" wrapText="1"/>
    </xf>
    <xf numFmtId="14" fontId="0" fillId="11" borderId="0" xfId="0" applyNumberFormat="1" applyFill="1"/>
    <xf numFmtId="14" fontId="0" fillId="13" borderId="0" xfId="0" applyNumberFormat="1" applyFill="1"/>
    <xf numFmtId="0" fontId="13" fillId="18" borderId="14" xfId="0" applyFont="1" applyFill="1" applyBorder="1" applyAlignment="1">
      <alignment horizontal="right"/>
    </xf>
    <xf numFmtId="0" fontId="13" fillId="13" borderId="14" xfId="0" applyFont="1" applyFill="1" applyBorder="1" applyAlignment="1">
      <alignment horizontal="right"/>
    </xf>
    <xf numFmtId="0" fontId="0" fillId="19" borderId="0" xfId="0" applyFill="1"/>
    <xf numFmtId="0" fontId="20" fillId="0" borderId="0" xfId="0" applyFont="1" applyAlignment="1">
      <alignment wrapText="1"/>
    </xf>
    <xf numFmtId="0" fontId="21" fillId="0" borderId="0" xfId="0" applyFont="1"/>
    <xf numFmtId="43" fontId="21" fillId="0" borderId="0" xfId="1" applyFont="1"/>
    <xf numFmtId="0" fontId="20" fillId="0" borderId="0" xfId="0" applyFont="1"/>
    <xf numFmtId="0" fontId="22" fillId="0" borderId="0" xfId="0" applyFont="1"/>
    <xf numFmtId="43" fontId="24" fillId="0" borderId="14" xfId="1" applyFont="1" applyBorder="1"/>
    <xf numFmtId="0" fontId="24" fillId="0" borderId="14" xfId="1" applyNumberFormat="1" applyFont="1" applyBorder="1" applyAlignment="1">
      <alignment horizontal="center"/>
    </xf>
    <xf numFmtId="0" fontId="24" fillId="0" borderId="14" xfId="0" applyFont="1" applyBorder="1"/>
    <xf numFmtId="0" fontId="25" fillId="21" borderId="14" xfId="0" applyFont="1" applyFill="1" applyBorder="1" applyAlignment="1">
      <alignment horizontal="center" wrapText="1"/>
    </xf>
    <xf numFmtId="43" fontId="26" fillId="5" borderId="14" xfId="1" applyFont="1" applyFill="1" applyBorder="1" applyAlignment="1">
      <alignment horizontal="center" wrapText="1"/>
    </xf>
    <xf numFmtId="0" fontId="24" fillId="22" borderId="14" xfId="0" applyFont="1" applyFill="1" applyBorder="1" applyAlignment="1">
      <alignment horizontal="center" vertical="center" wrapText="1"/>
    </xf>
    <xf numFmtId="0" fontId="24" fillId="23" borderId="14" xfId="0" applyFont="1" applyFill="1" applyBorder="1" applyAlignment="1">
      <alignment horizontal="center" vertical="center" wrapText="1"/>
    </xf>
    <xf numFmtId="0" fontId="24" fillId="24" borderId="14" xfId="0" applyFont="1" applyFill="1" applyBorder="1" applyAlignment="1">
      <alignment horizontal="center" vertical="center" wrapText="1"/>
    </xf>
    <xf numFmtId="0" fontId="27" fillId="24" borderId="14" xfId="0" applyFont="1" applyFill="1" applyBorder="1" applyAlignment="1">
      <alignment horizontal="center" vertical="center" wrapText="1"/>
    </xf>
    <xf numFmtId="0" fontId="28" fillId="22" borderId="14" xfId="0" applyFont="1" applyFill="1" applyBorder="1" applyAlignment="1">
      <alignment horizontal="center" vertical="center" wrapText="1"/>
    </xf>
    <xf numFmtId="1" fontId="27" fillId="22" borderId="14" xfId="0" applyNumberFormat="1" applyFont="1" applyFill="1" applyBorder="1" applyAlignment="1">
      <alignment horizontal="center" vertical="center" wrapText="1"/>
    </xf>
    <xf numFmtId="0" fontId="24" fillId="22" borderId="14" xfId="0" applyFont="1" applyFill="1" applyBorder="1" applyAlignment="1">
      <alignment horizontal="center" vertical="center"/>
    </xf>
    <xf numFmtId="43" fontId="24" fillId="22" borderId="14" xfId="1" applyFont="1" applyFill="1" applyBorder="1" applyAlignment="1">
      <alignment horizontal="center" vertical="center"/>
    </xf>
    <xf numFmtId="14" fontId="29" fillId="22" borderId="14" xfId="0" applyNumberFormat="1" applyFont="1" applyFill="1" applyBorder="1" applyAlignment="1">
      <alignment horizontal="center" vertical="center" wrapText="1"/>
    </xf>
    <xf numFmtId="43" fontId="24" fillId="8" borderId="14" xfId="1" applyFont="1" applyFill="1" applyBorder="1" applyAlignment="1">
      <alignment horizontal="center" vertical="center"/>
    </xf>
    <xf numFmtId="43" fontId="24" fillId="25" borderId="14" xfId="1" applyFont="1" applyFill="1" applyBorder="1" applyAlignment="1">
      <alignment horizontal="center" vertical="center"/>
    </xf>
    <xf numFmtId="43" fontId="24" fillId="26" borderId="14" xfId="1" applyFont="1" applyFill="1" applyBorder="1" applyAlignment="1">
      <alignment horizontal="center" vertical="center"/>
    </xf>
    <xf numFmtId="43" fontId="24" fillId="27" borderId="14" xfId="1" applyFont="1" applyFill="1" applyBorder="1" applyAlignment="1">
      <alignment horizontal="center" vertical="center"/>
    </xf>
    <xf numFmtId="43" fontId="24" fillId="10" borderId="14" xfId="1" applyFont="1" applyFill="1" applyBorder="1" applyAlignment="1">
      <alignment horizontal="center" vertical="center"/>
    </xf>
    <xf numFmtId="43" fontId="30" fillId="28" borderId="14" xfId="1" applyFont="1" applyFill="1" applyBorder="1" applyAlignment="1">
      <alignment horizontal="center" vertical="center"/>
    </xf>
    <xf numFmtId="43" fontId="27" fillId="29" borderId="14" xfId="1" applyFont="1" applyFill="1" applyBorder="1" applyAlignment="1">
      <alignment horizontal="center" vertical="center"/>
    </xf>
    <xf numFmtId="43" fontId="29" fillId="30" borderId="14" xfId="1" applyFont="1" applyFill="1" applyBorder="1" applyAlignment="1">
      <alignment horizontal="center" vertical="center"/>
    </xf>
    <xf numFmtId="43" fontId="27" fillId="18" borderId="14" xfId="1" applyFont="1" applyFill="1" applyBorder="1" applyAlignment="1">
      <alignment horizontal="center" vertical="center" wrapText="1"/>
    </xf>
    <xf numFmtId="43" fontId="29" fillId="31" borderId="14" xfId="1" applyFont="1" applyFill="1" applyBorder="1" applyAlignment="1">
      <alignment horizontal="center" vertical="center"/>
    </xf>
    <xf numFmtId="43" fontId="28" fillId="12" borderId="14" xfId="1" applyFont="1" applyFill="1" applyBorder="1" applyAlignment="1">
      <alignment horizontal="center" vertical="center"/>
    </xf>
    <xf numFmtId="43" fontId="28" fillId="32" borderId="14" xfId="1" applyFont="1" applyFill="1" applyBorder="1" applyAlignment="1">
      <alignment horizontal="center" vertical="center"/>
    </xf>
    <xf numFmtId="43" fontId="28" fillId="33" borderId="14" xfId="1" applyFont="1" applyFill="1" applyBorder="1" applyAlignment="1">
      <alignment horizontal="center" vertical="center"/>
    </xf>
    <xf numFmtId="43" fontId="28" fillId="34" borderId="14" xfId="1" applyFont="1" applyFill="1" applyBorder="1" applyAlignment="1">
      <alignment horizontal="center" vertical="center"/>
    </xf>
    <xf numFmtId="43" fontId="28" fillId="35" borderId="14" xfId="1" applyFont="1" applyFill="1" applyBorder="1" applyAlignment="1">
      <alignment horizontal="center" vertical="center"/>
    </xf>
    <xf numFmtId="43" fontId="28" fillId="10" borderId="14" xfId="1" applyFont="1" applyFill="1" applyBorder="1" applyAlignment="1">
      <alignment horizontal="center" vertical="center"/>
    </xf>
    <xf numFmtId="43" fontId="28" fillId="36" borderId="14" xfId="1" applyFont="1" applyFill="1" applyBorder="1" applyAlignment="1">
      <alignment horizontal="center" vertical="center"/>
    </xf>
    <xf numFmtId="43" fontId="28" fillId="37" borderId="14" xfId="1" applyFont="1" applyFill="1" applyBorder="1" applyAlignment="1">
      <alignment horizontal="center" vertical="center"/>
    </xf>
    <xf numFmtId="43" fontId="28" fillId="38" borderId="14" xfId="1" applyFont="1" applyFill="1" applyBorder="1" applyAlignment="1">
      <alignment horizontal="center" vertical="center"/>
    </xf>
    <xf numFmtId="43" fontId="28" fillId="39" borderId="14" xfId="1" applyFont="1" applyFill="1" applyBorder="1" applyAlignment="1">
      <alignment horizontal="center" vertical="center"/>
    </xf>
    <xf numFmtId="43" fontId="28" fillId="26" borderId="14" xfId="1" applyFont="1" applyFill="1" applyBorder="1" applyAlignment="1">
      <alignment horizontal="center" vertical="center"/>
    </xf>
    <xf numFmtId="43" fontId="28" fillId="40" borderId="14" xfId="1" applyFont="1" applyFill="1" applyBorder="1" applyAlignment="1">
      <alignment horizontal="center" vertical="center"/>
    </xf>
    <xf numFmtId="43" fontId="28" fillId="11" borderId="14" xfId="1" applyFont="1" applyFill="1" applyBorder="1" applyAlignment="1">
      <alignment horizontal="center" vertical="center"/>
    </xf>
    <xf numFmtId="43" fontId="28" fillId="27" borderId="14" xfId="1" applyFont="1" applyFill="1" applyBorder="1" applyAlignment="1">
      <alignment horizontal="center" vertical="center"/>
    </xf>
    <xf numFmtId="43" fontId="28" fillId="18" borderId="14" xfId="1" applyFont="1" applyFill="1" applyBorder="1" applyAlignment="1">
      <alignment horizontal="center" vertical="center"/>
    </xf>
    <xf numFmtId="43" fontId="31" fillId="37" borderId="14" xfId="1" applyFont="1" applyFill="1" applyBorder="1" applyAlignment="1">
      <alignment horizontal="center" vertical="center"/>
    </xf>
    <xf numFmtId="43" fontId="32" fillId="41" borderId="14" xfId="1" applyFont="1" applyFill="1" applyBorder="1" applyAlignment="1">
      <alignment horizontal="center" vertical="center"/>
    </xf>
    <xf numFmtId="43" fontId="32" fillId="42" borderId="14" xfId="1" applyFont="1" applyFill="1" applyBorder="1" applyAlignment="1">
      <alignment horizontal="center" vertical="center"/>
    </xf>
    <xf numFmtId="43" fontId="32" fillId="43" borderId="14" xfId="1" applyFont="1" applyFill="1" applyBorder="1" applyAlignment="1">
      <alignment horizontal="center" vertical="center"/>
    </xf>
    <xf numFmtId="43" fontId="32" fillId="26" borderId="14" xfId="1" applyFont="1" applyFill="1" applyBorder="1" applyAlignment="1">
      <alignment horizontal="center" vertical="center"/>
    </xf>
    <xf numFmtId="43" fontId="32" fillId="44" borderId="14" xfId="1" applyFont="1" applyFill="1" applyBorder="1" applyAlignment="1">
      <alignment horizontal="center" vertical="center"/>
    </xf>
    <xf numFmtId="43" fontId="32" fillId="45" borderId="14" xfId="1" applyFont="1" applyFill="1" applyBorder="1" applyAlignment="1">
      <alignment horizontal="center" vertical="center"/>
    </xf>
    <xf numFmtId="43" fontId="28" fillId="46" borderId="14" xfId="1" applyFont="1" applyFill="1" applyBorder="1" applyAlignment="1">
      <alignment horizontal="center" vertical="center"/>
    </xf>
    <xf numFmtId="0" fontId="24" fillId="47" borderId="14" xfId="0" applyFont="1" applyFill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3" fillId="0" borderId="14" xfId="0" applyFont="1" applyBorder="1" applyAlignment="1">
      <alignment vertical="center"/>
    </xf>
    <xf numFmtId="43" fontId="24" fillId="5" borderId="14" xfId="1" applyFont="1" applyFill="1" applyBorder="1" applyAlignment="1">
      <alignment horizontal="center" vertical="center" wrapText="1"/>
    </xf>
    <xf numFmtId="43" fontId="28" fillId="17" borderId="14" xfId="1" applyFont="1" applyFill="1" applyBorder="1" applyAlignment="1">
      <alignment horizontal="center" vertical="center" wrapText="1"/>
    </xf>
    <xf numFmtId="43" fontId="26" fillId="17" borderId="14" xfId="1" applyFont="1" applyFill="1" applyBorder="1" applyAlignment="1">
      <alignment horizontal="center" vertical="center"/>
    </xf>
    <xf numFmtId="14" fontId="24" fillId="0" borderId="14" xfId="0" applyNumberFormat="1" applyFont="1" applyBorder="1"/>
    <xf numFmtId="14" fontId="27" fillId="0" borderId="14" xfId="0" applyNumberFormat="1" applyFont="1" applyBorder="1"/>
    <xf numFmtId="0" fontId="24" fillId="0" borderId="14" xfId="0" applyFont="1" applyBorder="1" applyAlignment="1">
      <alignment horizontal="center"/>
    </xf>
    <xf numFmtId="1" fontId="24" fillId="0" borderId="14" xfId="0" applyNumberFormat="1" applyFont="1" applyBorder="1" applyAlignment="1">
      <alignment horizontal="center"/>
    </xf>
    <xf numFmtId="0" fontId="21" fillId="0" borderId="14" xfId="0" applyFont="1" applyBorder="1"/>
    <xf numFmtId="14" fontId="24" fillId="8" borderId="14" xfId="0" applyNumberFormat="1" applyFont="1" applyFill="1" applyBorder="1"/>
    <xf numFmtId="0" fontId="33" fillId="0" borderId="14" xfId="0" applyFont="1" applyBorder="1"/>
    <xf numFmtId="165" fontId="33" fillId="0" borderId="14" xfId="0" applyNumberFormat="1" applyFont="1" applyBorder="1"/>
    <xf numFmtId="165" fontId="24" fillId="0" borderId="14" xfId="1" applyNumberFormat="1" applyFont="1" applyBorder="1"/>
    <xf numFmtId="43" fontId="24" fillId="47" borderId="14" xfId="0" applyNumberFormat="1" applyFont="1" applyFill="1" applyBorder="1"/>
    <xf numFmtId="166" fontId="33" fillId="0" borderId="14" xfId="0" applyNumberFormat="1" applyFont="1" applyBorder="1"/>
    <xf numFmtId="43" fontId="34" fillId="0" borderId="14" xfId="1" applyFont="1" applyBorder="1"/>
    <xf numFmtId="43" fontId="35" fillId="0" borderId="14" xfId="1" applyFont="1" applyBorder="1"/>
    <xf numFmtId="14" fontId="24" fillId="0" borderId="14" xfId="0" applyNumberFormat="1" applyFont="1" applyBorder="1" applyAlignment="1">
      <alignment horizontal="right"/>
    </xf>
    <xf numFmtId="14" fontId="27" fillId="0" borderId="0" xfId="0" applyNumberFormat="1" applyFont="1"/>
    <xf numFmtId="43" fontId="36" fillId="0" borderId="14" xfId="1" applyFont="1" applyBorder="1"/>
    <xf numFmtId="166" fontId="24" fillId="0" borderId="14" xfId="0" applyNumberFormat="1" applyFont="1" applyBorder="1"/>
    <xf numFmtId="43" fontId="37" fillId="0" borderId="14" xfId="1" applyFont="1" applyBorder="1"/>
    <xf numFmtId="43" fontId="38" fillId="0" borderId="14" xfId="1" applyFont="1" applyBorder="1"/>
    <xf numFmtId="166" fontId="39" fillId="0" borderId="14" xfId="0" applyNumberFormat="1" applyFont="1" applyBorder="1"/>
    <xf numFmtId="43" fontId="40" fillId="0" borderId="14" xfId="1" applyFont="1" applyBorder="1"/>
    <xf numFmtId="166" fontId="34" fillId="0" borderId="14" xfId="0" applyNumberFormat="1" applyFont="1" applyBorder="1"/>
    <xf numFmtId="164" fontId="24" fillId="0" borderId="14" xfId="0" applyNumberFormat="1" applyFont="1" applyBorder="1"/>
    <xf numFmtId="43" fontId="28" fillId="0" borderId="14" xfId="1" applyFont="1" applyBorder="1"/>
    <xf numFmtId="43" fontId="41" fillId="0" borderId="14" xfId="1" applyFont="1" applyBorder="1"/>
    <xf numFmtId="43" fontId="42" fillId="0" borderId="14" xfId="1" applyFont="1" applyBorder="1"/>
    <xf numFmtId="14" fontId="43" fillId="0" borderId="14" xfId="0" applyNumberFormat="1" applyFont="1" applyBorder="1"/>
    <xf numFmtId="165" fontId="24" fillId="0" borderId="14" xfId="0" applyNumberFormat="1" applyFont="1" applyBorder="1"/>
    <xf numFmtId="43" fontId="21" fillId="0" borderId="14" xfId="1" applyFont="1" applyBorder="1"/>
    <xf numFmtId="0" fontId="25" fillId="0" borderId="14" xfId="0" applyFont="1" applyBorder="1"/>
    <xf numFmtId="0" fontId="28" fillId="0" borderId="14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15" fontId="27" fillId="0" borderId="14" xfId="0" applyNumberFormat="1" applyFont="1" applyBorder="1"/>
    <xf numFmtId="43" fontId="24" fillId="5" borderId="14" xfId="1" applyFont="1" applyFill="1" applyBorder="1"/>
    <xf numFmtId="43" fontId="21" fillId="5" borderId="14" xfId="1" applyFont="1" applyFill="1" applyBorder="1"/>
    <xf numFmtId="14" fontId="44" fillId="0" borderId="14" xfId="0" applyNumberFormat="1" applyFont="1" applyBorder="1"/>
    <xf numFmtId="14" fontId="44" fillId="0" borderId="14" xfId="0" applyNumberFormat="1" applyFont="1" applyBorder="1" applyAlignment="1">
      <alignment horizontal="right"/>
    </xf>
    <xf numFmtId="14" fontId="45" fillId="0" borderId="14" xfId="0" applyNumberFormat="1" applyFont="1" applyBorder="1"/>
    <xf numFmtId="0" fontId="46" fillId="0" borderId="14" xfId="0" applyFont="1" applyBorder="1" applyAlignment="1">
      <alignment horizontal="center"/>
    </xf>
    <xf numFmtId="1" fontId="44" fillId="0" borderId="14" xfId="0" applyNumberFormat="1" applyFont="1" applyBorder="1" applyAlignment="1">
      <alignment horizontal="center"/>
    </xf>
    <xf numFmtId="0" fontId="44" fillId="0" borderId="14" xfId="0" applyFont="1" applyBorder="1"/>
    <xf numFmtId="43" fontId="44" fillId="0" borderId="14" xfId="1" applyFont="1" applyBorder="1"/>
    <xf numFmtId="0" fontId="47" fillId="0" borderId="14" xfId="0" applyFont="1" applyBorder="1"/>
    <xf numFmtId="14" fontId="44" fillId="8" borderId="14" xfId="0" applyNumberFormat="1" applyFont="1" applyFill="1" applyBorder="1"/>
    <xf numFmtId="166" fontId="34" fillId="48" borderId="14" xfId="0" applyNumberFormat="1" applyFont="1" applyFill="1" applyBorder="1"/>
    <xf numFmtId="43" fontId="26" fillId="0" borderId="14" xfId="1" applyFont="1" applyBorder="1"/>
    <xf numFmtId="14" fontId="22" fillId="0" borderId="14" xfId="0" applyNumberFormat="1" applyFont="1" applyBorder="1"/>
    <xf numFmtId="0" fontId="24" fillId="0" borderId="14" xfId="0" applyFont="1" applyBorder="1" applyAlignment="1">
      <alignment horizontal="right"/>
    </xf>
    <xf numFmtId="0" fontId="36" fillId="0" borderId="14" xfId="0" applyFont="1" applyBorder="1" applyAlignment="1">
      <alignment horizontal="right"/>
    </xf>
    <xf numFmtId="0" fontId="44" fillId="0" borderId="14" xfId="0" applyFont="1" applyBorder="1" applyAlignment="1">
      <alignment horizontal="center"/>
    </xf>
    <xf numFmtId="0" fontId="44" fillId="0" borderId="14" xfId="0" applyFont="1" applyBorder="1" applyAlignment="1">
      <alignment horizontal="right"/>
    </xf>
    <xf numFmtId="164" fontId="24" fillId="0" borderId="14" xfId="1" applyNumberFormat="1" applyFont="1" applyBorder="1"/>
    <xf numFmtId="43" fontId="24" fillId="2" borderId="14" xfId="1" applyFont="1" applyFill="1" applyBorder="1"/>
    <xf numFmtId="165" fontId="24" fillId="2" borderId="14" xfId="1" applyNumberFormat="1" applyFont="1" applyFill="1" applyBorder="1"/>
    <xf numFmtId="166" fontId="48" fillId="0" borderId="14" xfId="0" applyNumberFormat="1" applyFont="1" applyBorder="1"/>
    <xf numFmtId="0" fontId="24" fillId="12" borderId="14" xfId="0" applyFont="1" applyFill="1" applyBorder="1"/>
    <xf numFmtId="43" fontId="24" fillId="12" borderId="14" xfId="0" applyNumberFormat="1" applyFont="1" applyFill="1" applyBorder="1"/>
    <xf numFmtId="0" fontId="24" fillId="8" borderId="14" xfId="0" applyFont="1" applyFill="1" applyBorder="1"/>
    <xf numFmtId="43" fontId="24" fillId="8" borderId="14" xfId="0" applyNumberFormat="1" applyFont="1" applyFill="1" applyBorder="1"/>
    <xf numFmtId="43" fontId="49" fillId="8" borderId="14" xfId="0" applyNumberFormat="1" applyFont="1" applyFill="1" applyBorder="1"/>
    <xf numFmtId="167" fontId="49" fillId="8" borderId="14" xfId="0" applyNumberFormat="1" applyFont="1" applyFill="1" applyBorder="1"/>
    <xf numFmtId="168" fontId="24" fillId="47" borderId="14" xfId="0" applyNumberFormat="1" applyFont="1" applyFill="1" applyBorder="1"/>
    <xf numFmtId="43" fontId="21" fillId="0" borderId="0" xfId="0" applyNumberFormat="1" applyFont="1"/>
    <xf numFmtId="0" fontId="49" fillId="0" borderId="0" xfId="0" applyFont="1"/>
    <xf numFmtId="43" fontId="0" fillId="0" borderId="0" xfId="1" applyFont="1"/>
    <xf numFmtId="0" fontId="25" fillId="21" borderId="14" xfId="0" applyFont="1" applyFill="1" applyBorder="1" applyAlignment="1">
      <alignment horizontal="center" vertical="center" wrapText="1"/>
    </xf>
    <xf numFmtId="166" fontId="26" fillId="5" borderId="14" xfId="1" applyNumberFormat="1" applyFont="1" applyFill="1" applyBorder="1" applyAlignment="1">
      <alignment horizontal="center" vertical="center" wrapText="1"/>
    </xf>
    <xf numFmtId="43" fontId="0" fillId="0" borderId="14" xfId="1" applyFont="1" applyBorder="1" applyAlignment="1">
      <alignment horizontal="center" vertical="center" wrapText="1"/>
    </xf>
    <xf numFmtId="0" fontId="13" fillId="0" borderId="14" xfId="0" applyFont="1" applyBorder="1" applyAlignment="1">
      <alignment vertical="center"/>
    </xf>
    <xf numFmtId="0" fontId="26" fillId="24" borderId="14" xfId="0" applyFont="1" applyFill="1" applyBorder="1" applyAlignment="1">
      <alignment horizontal="center" vertical="center" wrapText="1"/>
    </xf>
    <xf numFmtId="0" fontId="26" fillId="22" borderId="14" xfId="0" applyFont="1" applyFill="1" applyBorder="1" applyAlignment="1">
      <alignment horizontal="center" vertical="center" wrapText="1"/>
    </xf>
    <xf numFmtId="14" fontId="26" fillId="22" borderId="14" xfId="0" applyNumberFormat="1" applyFont="1" applyFill="1" applyBorder="1" applyAlignment="1">
      <alignment horizontal="center" vertical="center" wrapText="1"/>
    </xf>
    <xf numFmtId="43" fontId="26" fillId="8" borderId="14" xfId="1" applyFont="1" applyFill="1" applyBorder="1" applyAlignment="1">
      <alignment horizontal="center" vertical="center"/>
    </xf>
    <xf numFmtId="43" fontId="26" fillId="25" borderId="14" xfId="1" applyFont="1" applyFill="1" applyBorder="1" applyAlignment="1">
      <alignment horizontal="center" vertical="center"/>
    </xf>
    <xf numFmtId="43" fontId="26" fillId="26" borderId="14" xfId="1" applyFont="1" applyFill="1" applyBorder="1" applyAlignment="1">
      <alignment horizontal="center" vertical="center"/>
    </xf>
    <xf numFmtId="43" fontId="26" fillId="27" borderId="14" xfId="1" applyFont="1" applyFill="1" applyBorder="1" applyAlignment="1">
      <alignment horizontal="center" vertical="center"/>
    </xf>
    <xf numFmtId="43" fontId="26" fillId="10" borderId="14" xfId="1" applyFont="1" applyFill="1" applyBorder="1" applyAlignment="1">
      <alignment horizontal="center" vertical="center"/>
    </xf>
    <xf numFmtId="43" fontId="26" fillId="28" borderId="14" xfId="1" applyFont="1" applyFill="1" applyBorder="1" applyAlignment="1">
      <alignment horizontal="center" vertical="center"/>
    </xf>
    <xf numFmtId="43" fontId="26" fillId="29" borderId="14" xfId="1" applyFont="1" applyFill="1" applyBorder="1" applyAlignment="1">
      <alignment horizontal="center" vertical="center"/>
    </xf>
    <xf numFmtId="43" fontId="26" fillId="30" borderId="14" xfId="1" applyFont="1" applyFill="1" applyBorder="1" applyAlignment="1">
      <alignment horizontal="center" vertical="center"/>
    </xf>
    <xf numFmtId="43" fontId="26" fillId="18" borderId="14" xfId="1" applyFont="1" applyFill="1" applyBorder="1" applyAlignment="1">
      <alignment horizontal="center" vertical="center" wrapText="1"/>
    </xf>
    <xf numFmtId="43" fontId="26" fillId="31" borderId="14" xfId="1" applyFont="1" applyFill="1" applyBorder="1" applyAlignment="1">
      <alignment horizontal="center" vertical="center"/>
    </xf>
    <xf numFmtId="43" fontId="26" fillId="12" borderId="14" xfId="1" applyFont="1" applyFill="1" applyBorder="1" applyAlignment="1">
      <alignment horizontal="center" vertical="center"/>
    </xf>
    <xf numFmtId="43" fontId="26" fillId="32" borderId="14" xfId="1" applyFont="1" applyFill="1" applyBorder="1" applyAlignment="1">
      <alignment horizontal="center" vertical="center"/>
    </xf>
    <xf numFmtId="43" fontId="26" fillId="49" borderId="14" xfId="1" applyFont="1" applyFill="1" applyBorder="1" applyAlignment="1">
      <alignment horizontal="center" vertical="center"/>
    </xf>
    <xf numFmtId="166" fontId="24" fillId="5" borderId="14" xfId="1" applyNumberFormat="1" applyFont="1" applyFill="1" applyBorder="1" applyAlignment="1">
      <alignment vertical="center"/>
    </xf>
    <xf numFmtId="43" fontId="0" fillId="0" borderId="14" xfId="1" applyFont="1" applyBorder="1" applyAlignment="1">
      <alignment vertical="center"/>
    </xf>
    <xf numFmtId="14" fontId="24" fillId="0" borderId="14" xfId="0" applyNumberFormat="1" applyFont="1" applyBorder="1" applyAlignment="1">
      <alignment horizontal="center"/>
    </xf>
    <xf numFmtId="43" fontId="24" fillId="0" borderId="14" xfId="1" applyFont="1" applyBorder="1" applyAlignment="1">
      <alignment horizontal="center"/>
    </xf>
    <xf numFmtId="14" fontId="24" fillId="8" borderId="14" xfId="0" applyNumberFormat="1" applyFont="1" applyFill="1" applyBorder="1" applyAlignment="1">
      <alignment horizontal="center"/>
    </xf>
    <xf numFmtId="0" fontId="33" fillId="0" borderId="14" xfId="0" applyFont="1" applyBorder="1" applyAlignment="1">
      <alignment horizontal="center"/>
    </xf>
    <xf numFmtId="165" fontId="33" fillId="0" borderId="14" xfId="0" applyNumberFormat="1" applyFont="1" applyBorder="1" applyAlignment="1">
      <alignment horizontal="center"/>
    </xf>
    <xf numFmtId="165" fontId="24" fillId="0" borderId="14" xfId="1" applyNumberFormat="1" applyFont="1" applyBorder="1" applyAlignment="1">
      <alignment horizontal="center"/>
    </xf>
    <xf numFmtId="43" fontId="24" fillId="47" borderId="14" xfId="0" applyNumberFormat="1" applyFont="1" applyFill="1" applyBorder="1" applyAlignment="1">
      <alignment horizontal="center"/>
    </xf>
    <xf numFmtId="166" fontId="33" fillId="0" borderId="14" xfId="0" applyNumberFormat="1" applyFont="1" applyBorder="1" applyAlignment="1">
      <alignment horizontal="center"/>
    </xf>
    <xf numFmtId="166" fontId="36" fillId="0" borderId="14" xfId="1" applyNumberFormat="1" applyFont="1" applyBorder="1" applyAlignment="1">
      <alignment horizontal="center"/>
    </xf>
    <xf numFmtId="43" fontId="33" fillId="0" borderId="14" xfId="1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166" fontId="36" fillId="0" borderId="14" xfId="1" applyNumberFormat="1" applyFont="1" applyBorder="1"/>
    <xf numFmtId="43" fontId="33" fillId="0" borderId="14" xfId="1" applyFont="1" applyBorder="1"/>
    <xf numFmtId="166" fontId="24" fillId="0" borderId="14" xfId="1" applyNumberFormat="1" applyFont="1" applyBorder="1"/>
    <xf numFmtId="166" fontId="24" fillId="0" borderId="14" xfId="0" applyNumberFormat="1" applyFont="1" applyBorder="1" applyAlignment="1">
      <alignment horizontal="center"/>
    </xf>
    <xf numFmtId="43" fontId="0" fillId="0" borderId="14" xfId="1" applyFont="1" applyBorder="1"/>
    <xf numFmtId="0" fontId="13" fillId="0" borderId="14" xfId="0" applyFont="1" applyBorder="1"/>
    <xf numFmtId="166" fontId="34" fillId="0" borderId="14" xfId="0" applyNumberFormat="1" applyFont="1" applyBorder="1" applyAlignment="1">
      <alignment horizontal="center"/>
    </xf>
    <xf numFmtId="43" fontId="24" fillId="12" borderId="14" xfId="0" applyNumberFormat="1" applyFont="1" applyFill="1" applyBorder="1" applyAlignment="1">
      <alignment horizontal="center"/>
    </xf>
    <xf numFmtId="43" fontId="28" fillId="8" borderId="14" xfId="0" applyNumberFormat="1" applyFont="1" applyFill="1" applyBorder="1"/>
    <xf numFmtId="14" fontId="16" fillId="10" borderId="14" xfId="0" applyNumberFormat="1" applyFont="1" applyFill="1" applyBorder="1" applyAlignment="1">
      <alignment horizontal="center"/>
    </xf>
    <xf numFmtId="14" fontId="16" fillId="10" borderId="28" xfId="0" applyNumberFormat="1" applyFont="1" applyFill="1" applyBorder="1" applyAlignment="1">
      <alignment horizontal="center"/>
    </xf>
    <xf numFmtId="0" fontId="0" fillId="0" borderId="14" xfId="0" applyBorder="1"/>
    <xf numFmtId="169" fontId="0" fillId="0" borderId="14" xfId="2" applyNumberFormat="1" applyFont="1" applyBorder="1"/>
    <xf numFmtId="14" fontId="0" fillId="0" borderId="14" xfId="0" applyNumberFormat="1" applyBorder="1"/>
    <xf numFmtId="0" fontId="13" fillId="0" borderId="44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50" borderId="46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9" xfId="0" applyBorder="1"/>
    <xf numFmtId="0" fontId="0" fillId="0" borderId="17" xfId="0" applyBorder="1"/>
    <xf numFmtId="169" fontId="0" fillId="0" borderId="17" xfId="2" applyNumberFormat="1" applyFont="1" applyBorder="1"/>
    <xf numFmtId="14" fontId="0" fillId="0" borderId="17" xfId="0" applyNumberFormat="1" applyBorder="1"/>
    <xf numFmtId="14" fontId="13" fillId="10" borderId="16" xfId="0" applyNumberFormat="1" applyFont="1" applyFill="1" applyBorder="1"/>
    <xf numFmtId="14" fontId="13" fillId="10" borderId="11" xfId="0" applyNumberFormat="1" applyFont="1" applyFill="1" applyBorder="1"/>
    <xf numFmtId="0" fontId="13" fillId="0" borderId="45" xfId="0" applyFont="1" applyBorder="1" applyAlignment="1">
      <alignment horizontal="center" vertical="center" wrapText="1"/>
    </xf>
    <xf numFmtId="0" fontId="51" fillId="0" borderId="14" xfId="0" applyFont="1" applyBorder="1" applyAlignment="1">
      <alignment horizontal="center"/>
    </xf>
    <xf numFmtId="1" fontId="51" fillId="0" borderId="14" xfId="0" applyNumberFormat="1" applyFont="1" applyBorder="1" applyAlignment="1">
      <alignment horizontal="center"/>
    </xf>
    <xf numFmtId="0" fontId="51" fillId="0" borderId="14" xfId="0" applyFont="1" applyBorder="1" applyAlignment="1">
      <alignment horizontal="right"/>
    </xf>
    <xf numFmtId="0" fontId="51" fillId="0" borderId="14" xfId="0" applyFont="1" applyBorder="1"/>
    <xf numFmtId="43" fontId="36" fillId="0" borderId="14" xfId="1" applyFont="1" applyBorder="1" applyAlignment="1">
      <alignment horizontal="right"/>
    </xf>
    <xf numFmtId="0" fontId="0" fillId="12" borderId="17" xfId="0" applyFill="1" applyBorder="1"/>
    <xf numFmtId="0" fontId="13" fillId="18" borderId="0" xfId="0" applyFont="1" applyFill="1" applyAlignment="1">
      <alignment horizontal="center"/>
    </xf>
    <xf numFmtId="14" fontId="0" fillId="17" borderId="0" xfId="0" applyNumberFormat="1" applyFill="1"/>
    <xf numFmtId="14" fontId="0" fillId="18" borderId="0" xfId="0" applyNumberFormat="1" applyFill="1"/>
    <xf numFmtId="2" fontId="0" fillId="3" borderId="0" xfId="0" applyNumberFormat="1" applyFill="1"/>
    <xf numFmtId="1" fontId="0" fillId="3" borderId="0" xfId="0" applyNumberFormat="1" applyFill="1"/>
    <xf numFmtId="0" fontId="13" fillId="18" borderId="0" xfId="0" applyFont="1" applyFill="1" applyAlignment="1">
      <alignment horizontal="right"/>
    </xf>
    <xf numFmtId="43" fontId="0" fillId="18" borderId="0" xfId="2" applyNumberFormat="1" applyFont="1" applyFill="1" applyBorder="1"/>
    <xf numFmtId="14" fontId="16" fillId="50" borderId="14" xfId="0" applyNumberFormat="1" applyFont="1" applyFill="1" applyBorder="1" applyAlignment="1">
      <alignment horizontal="center"/>
    </xf>
    <xf numFmtId="0" fontId="0" fillId="13" borderId="17" xfId="0" applyFill="1" applyBorder="1"/>
    <xf numFmtId="170" fontId="16" fillId="10" borderId="30" xfId="2" applyNumberFormat="1" applyFont="1" applyFill="1" applyBorder="1" applyAlignment="1">
      <alignment horizontal="left"/>
    </xf>
    <xf numFmtId="14" fontId="15" fillId="10" borderId="24" xfId="0" applyNumberFormat="1" applyFont="1" applyFill="1" applyBorder="1" applyAlignment="1">
      <alignment horizontal="left"/>
    </xf>
    <xf numFmtId="14" fontId="15" fillId="13" borderId="24" xfId="0" applyNumberFormat="1" applyFont="1" applyFill="1" applyBorder="1"/>
    <xf numFmtId="14" fontId="16" fillId="51" borderId="14" xfId="0" applyNumberFormat="1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14" fontId="15" fillId="10" borderId="19" xfId="0" applyNumberFormat="1" applyFont="1" applyFill="1" applyBorder="1" applyAlignment="1">
      <alignment horizontal="right"/>
    </xf>
    <xf numFmtId="14" fontId="21" fillId="0" borderId="14" xfId="0" applyNumberFormat="1" applyFont="1" applyBorder="1"/>
    <xf numFmtId="168" fontId="21" fillId="0" borderId="14" xfId="1" applyNumberFormat="1" applyFont="1" applyBorder="1"/>
    <xf numFmtId="167" fontId="21" fillId="0" borderId="14" xfId="0" applyNumberFormat="1" applyFont="1" applyBorder="1"/>
    <xf numFmtId="0" fontId="53" fillId="52" borderId="14" xfId="0" applyFont="1" applyFill="1" applyBorder="1" applyAlignment="1">
      <alignment horizontal="center"/>
    </xf>
    <xf numFmtId="0" fontId="21" fillId="52" borderId="14" xfId="0" applyFont="1" applyFill="1" applyBorder="1" applyAlignment="1">
      <alignment horizontal="center"/>
    </xf>
    <xf numFmtId="0" fontId="21" fillId="52" borderId="14" xfId="0" applyFont="1" applyFill="1" applyBorder="1" applyAlignment="1">
      <alignment horizontal="center" wrapText="1"/>
    </xf>
    <xf numFmtId="167" fontId="28" fillId="53" borderId="14" xfId="0" applyNumberFormat="1" applyFont="1" applyFill="1" applyBorder="1"/>
    <xf numFmtId="14" fontId="28" fillId="53" borderId="14" xfId="0" applyNumberFormat="1" applyFont="1" applyFill="1" applyBorder="1"/>
    <xf numFmtId="167" fontId="28" fillId="54" borderId="14" xfId="0" applyNumberFormat="1" applyFont="1" applyFill="1" applyBorder="1"/>
    <xf numFmtId="14" fontId="28" fillId="54" borderId="14" xfId="0" applyNumberFormat="1" applyFont="1" applyFill="1" applyBorder="1"/>
    <xf numFmtId="0" fontId="28" fillId="53" borderId="0" xfId="0" applyFont="1" applyFill="1" applyAlignment="1">
      <alignment vertical="center"/>
    </xf>
    <xf numFmtId="0" fontId="28" fillId="53" borderId="0" xfId="0" applyFont="1" applyFill="1"/>
    <xf numFmtId="0" fontId="21" fillId="53" borderId="0" xfId="0" applyFont="1" applyFill="1"/>
    <xf numFmtId="43" fontId="21" fillId="52" borderId="14" xfId="1" applyFont="1" applyFill="1" applyBorder="1" applyAlignment="1">
      <alignment horizontal="center" wrapText="1"/>
    </xf>
    <xf numFmtId="14" fontId="21" fillId="2" borderId="14" xfId="0" applyNumberFormat="1" applyFont="1" applyFill="1" applyBorder="1"/>
    <xf numFmtId="14" fontId="28" fillId="47" borderId="14" xfId="0" applyNumberFormat="1" applyFont="1" applyFill="1" applyBorder="1"/>
    <xf numFmtId="43" fontId="21" fillId="50" borderId="14" xfId="1" applyFont="1" applyFill="1" applyBorder="1"/>
    <xf numFmtId="14" fontId="49" fillId="0" borderId="14" xfId="0" applyNumberFormat="1" applyFont="1" applyBorder="1"/>
    <xf numFmtId="14" fontId="21" fillId="50" borderId="14" xfId="0" applyNumberFormat="1" applyFont="1" applyFill="1" applyBorder="1"/>
    <xf numFmtId="43" fontId="21" fillId="0" borderId="14" xfId="1" applyFont="1" applyFill="1" applyBorder="1"/>
    <xf numFmtId="0" fontId="29" fillId="0" borderId="0" xfId="0" applyFont="1"/>
    <xf numFmtId="0" fontId="21" fillId="55" borderId="14" xfId="0" applyFont="1" applyFill="1" applyBorder="1"/>
    <xf numFmtId="0" fontId="29" fillId="56" borderId="14" xfId="0" applyFont="1" applyFill="1" applyBorder="1"/>
    <xf numFmtId="14" fontId="21" fillId="55" borderId="14" xfId="0" applyNumberFormat="1" applyFont="1" applyFill="1" applyBorder="1"/>
    <xf numFmtId="14" fontId="29" fillId="56" borderId="14" xfId="0" applyNumberFormat="1" applyFont="1" applyFill="1" applyBorder="1"/>
    <xf numFmtId="0" fontId="29" fillId="0" borderId="14" xfId="0" applyFont="1" applyBorder="1"/>
    <xf numFmtId="43" fontId="21" fillId="0" borderId="14" xfId="0" applyNumberFormat="1" applyFont="1" applyBorder="1"/>
    <xf numFmtId="43" fontId="28" fillId="56" borderId="14" xfId="1" applyFont="1" applyFill="1" applyBorder="1"/>
    <xf numFmtId="0" fontId="29" fillId="56" borderId="14" xfId="0" applyFont="1" applyFill="1" applyBorder="1" applyAlignment="1">
      <alignment horizontal="center" wrapText="1"/>
    </xf>
    <xf numFmtId="0" fontId="21" fillId="8" borderId="14" xfId="0" applyFont="1" applyFill="1" applyBorder="1" applyAlignment="1">
      <alignment horizontal="center" wrapText="1"/>
    </xf>
    <xf numFmtId="14" fontId="21" fillId="8" borderId="14" xfId="0" applyNumberFormat="1" applyFont="1" applyFill="1" applyBorder="1"/>
    <xf numFmtId="170" fontId="16" fillId="10" borderId="32" xfId="2" applyNumberFormat="1" applyFont="1" applyFill="1" applyBorder="1" applyAlignment="1">
      <alignment horizontal="left"/>
    </xf>
    <xf numFmtId="0" fontId="12" fillId="10" borderId="47" xfId="0" applyFont="1" applyFill="1" applyBorder="1"/>
    <xf numFmtId="14" fontId="15" fillId="10" borderId="32" xfId="0" applyNumberFormat="1" applyFont="1" applyFill="1" applyBorder="1" applyAlignment="1">
      <alignment horizontal="left"/>
    </xf>
    <xf numFmtId="0" fontId="12" fillId="10" borderId="14" xfId="0" applyFont="1" applyFill="1" applyBorder="1"/>
    <xf numFmtId="14" fontId="15" fillId="10" borderId="14" xfId="0" applyNumberFormat="1" applyFont="1" applyFill="1" applyBorder="1" applyAlignment="1">
      <alignment horizontal="left"/>
    </xf>
    <xf numFmtId="14" fontId="15" fillId="51" borderId="14" xfId="0" applyNumberFormat="1" applyFont="1" applyFill="1" applyBorder="1" applyAlignment="1">
      <alignment horizontal="left"/>
    </xf>
    <xf numFmtId="170" fontId="16" fillId="10" borderId="14" xfId="2" applyNumberFormat="1" applyFont="1" applyFill="1" applyBorder="1" applyAlignment="1">
      <alignment horizontal="left"/>
    </xf>
    <xf numFmtId="167" fontId="15" fillId="10" borderId="14" xfId="0" applyNumberFormat="1" applyFont="1" applyFill="1" applyBorder="1" applyAlignment="1">
      <alignment horizontal="center" wrapText="1"/>
    </xf>
    <xf numFmtId="14" fontId="16" fillId="11" borderId="14" xfId="0" applyNumberFormat="1" applyFont="1" applyFill="1" applyBorder="1"/>
    <xf numFmtId="14" fontId="16" fillId="10" borderId="14" xfId="0" applyNumberFormat="1" applyFont="1" applyFill="1" applyBorder="1"/>
    <xf numFmtId="0" fontId="53" fillId="0" borderId="14" xfId="0" applyFont="1" applyBorder="1" applyAlignment="1">
      <alignment horizontal="center"/>
    </xf>
    <xf numFmtId="14" fontId="21" fillId="57" borderId="14" xfId="0" applyNumberFormat="1" applyFont="1" applyFill="1" applyBorder="1"/>
    <xf numFmtId="43" fontId="24" fillId="11" borderId="0" xfId="1" applyFont="1" applyFill="1"/>
    <xf numFmtId="43" fontId="24" fillId="0" borderId="0" xfId="1" applyFont="1"/>
    <xf numFmtId="14" fontId="0" fillId="10" borderId="27" xfId="0" applyNumberFormat="1" applyFill="1" applyBorder="1" applyAlignment="1">
      <alignment horizontal="center"/>
    </xf>
    <xf numFmtId="14" fontId="13" fillId="10" borderId="27" xfId="0" applyNumberFormat="1" applyFont="1" applyFill="1" applyBorder="1" applyAlignment="1">
      <alignment horizontal="center"/>
    </xf>
    <xf numFmtId="14" fontId="15" fillId="10" borderId="14" xfId="0" applyNumberFormat="1" applyFont="1" applyFill="1" applyBorder="1" applyAlignment="1">
      <alignment horizontal="center" wrapText="1"/>
    </xf>
    <xf numFmtId="14" fontId="14" fillId="10" borderId="14" xfId="0" applyNumberFormat="1" applyFont="1" applyFill="1" applyBorder="1" applyAlignment="1">
      <alignment horizontal="center" wrapText="1"/>
    </xf>
    <xf numFmtId="43" fontId="15" fillId="10" borderId="14" xfId="1" applyFont="1" applyFill="1" applyBorder="1" applyAlignment="1">
      <alignment horizontal="center" wrapText="1"/>
    </xf>
    <xf numFmtId="171" fontId="15" fillId="10" borderId="14" xfId="1" applyNumberFormat="1" applyFont="1" applyFill="1" applyBorder="1" applyAlignment="1">
      <alignment horizontal="center" vertical="center" wrapText="1"/>
    </xf>
    <xf numFmtId="171" fontId="15" fillId="10" borderId="14" xfId="1" applyNumberFormat="1" applyFont="1" applyFill="1" applyBorder="1" applyAlignment="1">
      <alignment horizontal="right" vertical="center" wrapText="1"/>
    </xf>
    <xf numFmtId="0" fontId="12" fillId="11" borderId="14" xfId="0" applyFont="1" applyFill="1" applyBorder="1"/>
    <xf numFmtId="0" fontId="16" fillId="10" borderId="14" xfId="0" applyFont="1" applyFill="1" applyBorder="1"/>
    <xf numFmtId="0" fontId="16" fillId="11" borderId="14" xfId="0" applyFont="1" applyFill="1" applyBorder="1"/>
    <xf numFmtId="14" fontId="15" fillId="11" borderId="14" xfId="0" applyNumberFormat="1" applyFont="1" applyFill="1" applyBorder="1" applyAlignment="1">
      <alignment horizontal="left"/>
    </xf>
    <xf numFmtId="0" fontId="16" fillId="13" borderId="14" xfId="0" applyFont="1" applyFill="1" applyBorder="1"/>
    <xf numFmtId="14" fontId="15" fillId="13" borderId="14" xfId="0" applyNumberFormat="1" applyFont="1" applyFill="1" applyBorder="1" applyAlignment="1">
      <alignment horizontal="left"/>
    </xf>
    <xf numFmtId="0" fontId="16" fillId="19" borderId="14" xfId="0" applyFont="1" applyFill="1" applyBorder="1"/>
    <xf numFmtId="14" fontId="15" fillId="19" borderId="14" xfId="0" applyNumberFormat="1" applyFont="1" applyFill="1" applyBorder="1" applyAlignment="1">
      <alignment horizontal="left"/>
    </xf>
    <xf numFmtId="14" fontId="16" fillId="19" borderId="14" xfId="0" applyNumberFormat="1" applyFont="1" applyFill="1" applyBorder="1" applyAlignment="1">
      <alignment horizontal="left"/>
    </xf>
    <xf numFmtId="0" fontId="12" fillId="19" borderId="14" xfId="0" applyFont="1" applyFill="1" applyBorder="1" applyAlignment="1">
      <alignment horizontal="center"/>
    </xf>
    <xf numFmtId="0" fontId="13" fillId="19" borderId="14" xfId="0" applyFont="1" applyFill="1" applyBorder="1"/>
    <xf numFmtId="0" fontId="0" fillId="19" borderId="14" xfId="0" applyFill="1" applyBorder="1"/>
    <xf numFmtId="14" fontId="0" fillId="19" borderId="14" xfId="0" applyNumberFormat="1" applyFill="1" applyBorder="1" applyAlignment="1">
      <alignment horizontal="center"/>
    </xf>
    <xf numFmtId="0" fontId="52" fillId="48" borderId="14" xfId="0" applyFont="1" applyFill="1" applyBorder="1"/>
    <xf numFmtId="14" fontId="13" fillId="10" borderId="14" xfId="0" applyNumberFormat="1" applyFont="1" applyFill="1" applyBorder="1" applyAlignment="1">
      <alignment horizontal="center"/>
    </xf>
    <xf numFmtId="167" fontId="54" fillId="10" borderId="14" xfId="0" applyNumberFormat="1" applyFont="1" applyFill="1" applyBorder="1" applyAlignment="1">
      <alignment horizontal="center" wrapText="1"/>
    </xf>
    <xf numFmtId="14" fontId="15" fillId="13" borderId="32" xfId="0" applyNumberFormat="1" applyFont="1" applyFill="1" applyBorder="1"/>
    <xf numFmtId="0" fontId="12" fillId="10" borderId="29" xfId="0" applyFont="1" applyFill="1" applyBorder="1" applyAlignment="1">
      <alignment horizontal="center"/>
    </xf>
    <xf numFmtId="0" fontId="13" fillId="10" borderId="29" xfId="0" applyFont="1" applyFill="1" applyBorder="1"/>
    <xf numFmtId="0" fontId="0" fillId="13" borderId="28" xfId="0" applyFill="1" applyBorder="1"/>
    <xf numFmtId="14" fontId="16" fillId="50" borderId="28" xfId="0" applyNumberFormat="1" applyFont="1" applyFill="1" applyBorder="1" applyAlignment="1">
      <alignment horizontal="center"/>
    </xf>
    <xf numFmtId="14" fontId="0" fillId="10" borderId="31" xfId="0" applyNumberFormat="1" applyFill="1" applyBorder="1" applyAlignment="1">
      <alignment horizontal="center"/>
    </xf>
    <xf numFmtId="14" fontId="15" fillId="13" borderId="14" xfId="0" applyNumberFormat="1" applyFont="1" applyFill="1" applyBorder="1"/>
    <xf numFmtId="14" fontId="0" fillId="10" borderId="39" xfId="0" applyNumberFormat="1" applyFill="1" applyBorder="1" applyAlignment="1">
      <alignment horizontal="center"/>
    </xf>
    <xf numFmtId="167" fontId="18" fillId="10" borderId="14" xfId="0" applyNumberFormat="1" applyFont="1" applyFill="1" applyBorder="1" applyAlignment="1">
      <alignment horizontal="center" wrapText="1"/>
    </xf>
    <xf numFmtId="14" fontId="21" fillId="56" borderId="14" xfId="0" applyNumberFormat="1" applyFont="1" applyFill="1" applyBorder="1"/>
    <xf numFmtId="43" fontId="55" fillId="0" borderId="14" xfId="1" applyFont="1" applyBorder="1"/>
    <xf numFmtId="43" fontId="55" fillId="2" borderId="14" xfId="1" applyFont="1" applyFill="1" applyBorder="1"/>
    <xf numFmtId="0" fontId="12" fillId="53" borderId="14" xfId="0" applyFont="1" applyFill="1" applyBorder="1"/>
    <xf numFmtId="0" fontId="12" fillId="4" borderId="14" xfId="0" applyFont="1" applyFill="1" applyBorder="1"/>
    <xf numFmtId="14" fontId="19" fillId="10" borderId="14" xfId="0" applyNumberFormat="1" applyFont="1" applyFill="1" applyBorder="1" applyAlignment="1">
      <alignment horizontal="center"/>
    </xf>
    <xf numFmtId="0" fontId="21" fillId="2" borderId="14" xfId="0" applyFont="1" applyFill="1" applyBorder="1" applyAlignment="1">
      <alignment horizontal="right"/>
    </xf>
    <xf numFmtId="14" fontId="21" fillId="2" borderId="14" xfId="0" applyNumberFormat="1" applyFont="1" applyFill="1" applyBorder="1" applyAlignment="1">
      <alignment horizontal="right"/>
    </xf>
    <xf numFmtId="43" fontId="28" fillId="0" borderId="14" xfId="1" applyFont="1" applyFill="1" applyBorder="1"/>
    <xf numFmtId="14" fontId="56" fillId="56" borderId="14" xfId="0" applyNumberFormat="1" applyFont="1" applyFill="1" applyBorder="1"/>
    <xf numFmtId="0" fontId="53" fillId="56" borderId="14" xfId="0" applyFont="1" applyFill="1" applyBorder="1" applyAlignment="1">
      <alignment horizontal="center"/>
    </xf>
    <xf numFmtId="43" fontId="21" fillId="2" borderId="14" xfId="1" applyFont="1" applyFill="1" applyBorder="1" applyAlignment="1">
      <alignment horizontal="right"/>
    </xf>
    <xf numFmtId="2" fontId="57" fillId="10" borderId="14" xfId="0" applyNumberFormat="1" applyFont="1" applyFill="1" applyBorder="1" applyAlignment="1">
      <alignment horizontal="center" wrapText="1"/>
    </xf>
    <xf numFmtId="2" fontId="58" fillId="10" borderId="14" xfId="0" applyNumberFormat="1" applyFont="1" applyFill="1" applyBorder="1" applyAlignment="1">
      <alignment horizontal="center" wrapText="1"/>
    </xf>
    <xf numFmtId="2" fontId="57" fillId="10" borderId="14" xfId="1" applyNumberFormat="1" applyFont="1" applyFill="1" applyBorder="1" applyAlignment="1">
      <alignment horizontal="center" vertical="center" wrapText="1"/>
    </xf>
    <xf numFmtId="2" fontId="57" fillId="10" borderId="14" xfId="1" applyNumberFormat="1" applyFont="1" applyFill="1" applyBorder="1" applyAlignment="1">
      <alignment horizontal="right" vertical="center" wrapText="1"/>
    </xf>
    <xf numFmtId="43" fontId="0" fillId="0" borderId="0" xfId="0" applyNumberFormat="1"/>
    <xf numFmtId="167" fontId="15" fillId="10" borderId="39" xfId="0" applyNumberFormat="1" applyFont="1" applyFill="1" applyBorder="1" applyAlignment="1">
      <alignment horizontal="center" wrapText="1"/>
    </xf>
    <xf numFmtId="43" fontId="13" fillId="56" borderId="14" xfId="1" applyFont="1" applyFill="1" applyBorder="1"/>
    <xf numFmtId="0" fontId="13" fillId="56" borderId="14" xfId="0" applyFont="1" applyFill="1" applyBorder="1"/>
    <xf numFmtId="173" fontId="0" fillId="10" borderId="14" xfId="0" applyNumberFormat="1" applyFill="1" applyBorder="1" applyAlignment="1">
      <alignment horizontal="center" wrapText="1"/>
    </xf>
    <xf numFmtId="172" fontId="0" fillId="10" borderId="39" xfId="0" applyNumberFormat="1" applyFill="1" applyBorder="1" applyAlignment="1">
      <alignment horizontal="center" wrapText="1"/>
    </xf>
    <xf numFmtId="14" fontId="25" fillId="2" borderId="14" xfId="0" applyNumberFormat="1" applyFont="1" applyFill="1" applyBorder="1" applyAlignment="1">
      <alignment horizontal="left"/>
    </xf>
    <xf numFmtId="14" fontId="21" fillId="2" borderId="14" xfId="0" applyNumberFormat="1" applyFont="1" applyFill="1" applyBorder="1" applyAlignment="1">
      <alignment horizontal="center"/>
    </xf>
    <xf numFmtId="0" fontId="21" fillId="2" borderId="14" xfId="0" applyFont="1" applyFill="1" applyBorder="1" applyAlignment="1">
      <alignment horizontal="center"/>
    </xf>
    <xf numFmtId="43" fontId="21" fillId="2" borderId="14" xfId="1" applyFont="1" applyFill="1" applyBorder="1" applyAlignment="1">
      <alignment horizontal="center"/>
    </xf>
    <xf numFmtId="0" fontId="60" fillId="9" borderId="14" xfId="0" applyFont="1" applyFill="1" applyBorder="1" applyAlignment="1">
      <alignment horizontal="center" vertical="center"/>
    </xf>
    <xf numFmtId="0" fontId="60" fillId="9" borderId="14" xfId="0" applyFont="1" applyFill="1" applyBorder="1" applyAlignment="1">
      <alignment horizontal="center" vertical="center" wrapText="1"/>
    </xf>
    <xf numFmtId="0" fontId="62" fillId="0" borderId="0" xfId="0" applyFont="1"/>
    <xf numFmtId="0" fontId="60" fillId="9" borderId="39" xfId="0" applyFont="1" applyFill="1" applyBorder="1" applyAlignment="1">
      <alignment horizontal="center" vertical="center" wrapText="1"/>
    </xf>
    <xf numFmtId="0" fontId="60" fillId="0" borderId="0" xfId="0" applyFont="1"/>
    <xf numFmtId="170" fontId="62" fillId="10" borderId="14" xfId="2" applyNumberFormat="1" applyFont="1" applyFill="1" applyBorder="1" applyAlignment="1">
      <alignment horizontal="left"/>
    </xf>
    <xf numFmtId="0" fontId="62" fillId="10" borderId="14" xfId="0" applyFont="1" applyFill="1" applyBorder="1" applyAlignment="1">
      <alignment horizontal="center"/>
    </xf>
    <xf numFmtId="0" fontId="60" fillId="10" borderId="14" xfId="0" applyFont="1" applyFill="1" applyBorder="1"/>
    <xf numFmtId="0" fontId="62" fillId="5" borderId="14" xfId="0" applyFont="1" applyFill="1" applyBorder="1"/>
    <xf numFmtId="14" fontId="62" fillId="10" borderId="14" xfId="0" applyNumberFormat="1" applyFont="1" applyFill="1" applyBorder="1" applyAlignment="1">
      <alignment horizontal="center"/>
    </xf>
    <xf numFmtId="14" fontId="62" fillId="50" borderId="14" xfId="0" applyNumberFormat="1" applyFont="1" applyFill="1" applyBorder="1" applyAlignment="1">
      <alignment horizontal="center"/>
    </xf>
    <xf numFmtId="172" fontId="62" fillId="10" borderId="39" xfId="0" applyNumberFormat="1" applyFont="1" applyFill="1" applyBorder="1" applyAlignment="1">
      <alignment horizontal="center" wrapText="1"/>
    </xf>
    <xf numFmtId="43" fontId="60" fillId="56" borderId="14" xfId="1" applyFont="1" applyFill="1" applyBorder="1"/>
    <xf numFmtId="0" fontId="60" fillId="56" borderId="14" xfId="0" applyFont="1" applyFill="1" applyBorder="1"/>
    <xf numFmtId="167" fontId="62" fillId="10" borderId="39" xfId="0" applyNumberFormat="1" applyFont="1" applyFill="1" applyBorder="1" applyAlignment="1">
      <alignment horizontal="center" wrapText="1"/>
    </xf>
    <xf numFmtId="0" fontId="60" fillId="10" borderId="14" xfId="0" applyFont="1" applyFill="1" applyBorder="1" applyAlignment="1">
      <alignment wrapText="1"/>
    </xf>
    <xf numFmtId="14" fontId="62" fillId="51" borderId="14" xfId="0" applyNumberFormat="1" applyFont="1" applyFill="1" applyBorder="1" applyAlignment="1">
      <alignment horizontal="center"/>
    </xf>
    <xf numFmtId="0" fontId="60" fillId="0" borderId="41" xfId="0" applyFont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0" fillId="0" borderId="0" xfId="0" applyFont="1" applyAlignment="1">
      <alignment vertical="center"/>
    </xf>
    <xf numFmtId="0" fontId="60" fillId="9" borderId="19" xfId="0" applyFont="1" applyFill="1" applyBorder="1" applyAlignment="1">
      <alignment horizontal="center" vertical="center"/>
    </xf>
    <xf numFmtId="0" fontId="60" fillId="9" borderId="19" xfId="0" applyFont="1" applyFill="1" applyBorder="1" applyAlignment="1">
      <alignment horizontal="center" vertical="center" wrapText="1"/>
    </xf>
    <xf numFmtId="0" fontId="62" fillId="0" borderId="0" xfId="0" applyFont="1" applyAlignment="1">
      <alignment horizontal="center"/>
    </xf>
    <xf numFmtId="0" fontId="62" fillId="58" borderId="14" xfId="0" applyFont="1" applyFill="1" applyBorder="1" applyAlignment="1">
      <alignment horizontal="center"/>
    </xf>
    <xf numFmtId="2" fontId="60" fillId="10" borderId="14" xfId="0" applyNumberFormat="1" applyFont="1" applyFill="1" applyBorder="1" applyAlignment="1">
      <alignment horizontal="center" wrapText="1"/>
    </xf>
    <xf numFmtId="0" fontId="59" fillId="10" borderId="14" xfId="0" applyFont="1" applyFill="1" applyBorder="1" applyAlignment="1">
      <alignment horizontal="center"/>
    </xf>
    <xf numFmtId="14" fontId="0" fillId="10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/>
    </xf>
    <xf numFmtId="14" fontId="15" fillId="13" borderId="0" xfId="0" applyNumberFormat="1" applyFont="1" applyFill="1" applyAlignment="1">
      <alignment horizontal="center"/>
    </xf>
    <xf numFmtId="14" fontId="0" fillId="13" borderId="0" xfId="0" applyNumberFormat="1" applyFill="1" applyAlignment="1">
      <alignment horizontal="center"/>
    </xf>
    <xf numFmtId="14" fontId="15" fillId="10" borderId="0" xfId="0" applyNumberFormat="1" applyFont="1" applyFill="1" applyAlignment="1">
      <alignment horizontal="center" wrapText="1"/>
    </xf>
    <xf numFmtId="14" fontId="14" fillId="10" borderId="0" xfId="0" applyNumberFormat="1" applyFont="1" applyFill="1" applyAlignment="1">
      <alignment horizontal="center" wrapText="1"/>
    </xf>
    <xf numFmtId="167" fontId="15" fillId="10" borderId="0" xfId="0" applyNumberFormat="1" applyFont="1" applyFill="1" applyAlignment="1">
      <alignment horizontal="center" wrapText="1"/>
    </xf>
    <xf numFmtId="0" fontId="60" fillId="9" borderId="39" xfId="0" applyFont="1" applyFill="1" applyBorder="1" applyAlignment="1">
      <alignment horizontal="center" vertical="center"/>
    </xf>
    <xf numFmtId="172" fontId="62" fillId="10" borderId="39" xfId="0" applyNumberFormat="1" applyFont="1" applyFill="1" applyBorder="1" applyAlignment="1">
      <alignment horizontal="center"/>
    </xf>
    <xf numFmtId="167" fontId="62" fillId="10" borderId="39" xfId="0" applyNumberFormat="1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0" fontId="63" fillId="9" borderId="19" xfId="0" applyFont="1" applyFill="1" applyBorder="1" applyAlignment="1">
      <alignment horizontal="center" vertical="center" wrapText="1"/>
    </xf>
    <xf numFmtId="14" fontId="64" fillId="10" borderId="14" xfId="0" applyNumberFormat="1" applyFont="1" applyFill="1" applyBorder="1" applyAlignment="1">
      <alignment horizontal="center"/>
    </xf>
    <xf numFmtId="0" fontId="64" fillId="0" borderId="0" xfId="0" applyFont="1" applyAlignment="1">
      <alignment horizontal="center"/>
    </xf>
    <xf numFmtId="167" fontId="61" fillId="10" borderId="39" xfId="0" applyNumberFormat="1" applyFont="1" applyFill="1" applyBorder="1" applyAlignment="1">
      <alignment horizontal="center"/>
    </xf>
    <xf numFmtId="2" fontId="61" fillId="10" borderId="14" xfId="1" applyNumberFormat="1" applyFont="1" applyFill="1" applyBorder="1" applyAlignment="1">
      <alignment horizontal="center" vertical="center" wrapText="1"/>
    </xf>
    <xf numFmtId="174" fontId="60" fillId="0" borderId="0" xfId="0" applyNumberFormat="1" applyFont="1" applyAlignment="1">
      <alignment horizontal="center" vertical="center"/>
    </xf>
    <xf numFmtId="174" fontId="60" fillId="9" borderId="19" xfId="0" applyNumberFormat="1" applyFont="1" applyFill="1" applyBorder="1" applyAlignment="1">
      <alignment horizontal="center" vertical="center"/>
    </xf>
    <xf numFmtId="174" fontId="62" fillId="10" borderId="14" xfId="0" applyNumberFormat="1" applyFont="1" applyFill="1" applyBorder="1" applyAlignment="1">
      <alignment horizontal="center"/>
    </xf>
    <xf numFmtId="174" fontId="62" fillId="0" borderId="0" xfId="0" applyNumberFormat="1" applyFont="1" applyAlignment="1">
      <alignment horizontal="center"/>
    </xf>
    <xf numFmtId="174" fontId="62" fillId="13" borderId="14" xfId="0" applyNumberFormat="1" applyFont="1" applyFill="1" applyBorder="1" applyAlignment="1">
      <alignment horizontal="center"/>
    </xf>
    <xf numFmtId="14" fontId="60" fillId="10" borderId="14" xfId="0" applyNumberFormat="1" applyFont="1" applyFill="1" applyBorder="1" applyAlignment="1">
      <alignment horizontal="center"/>
    </xf>
    <xf numFmtId="0" fontId="65" fillId="56" borderId="14" xfId="0" applyFont="1" applyFill="1" applyBorder="1" applyAlignment="1">
      <alignment horizontal="center" wrapText="1"/>
    </xf>
    <xf numFmtId="43" fontId="60" fillId="56" borderId="14" xfId="0" applyNumberFormat="1" applyFont="1" applyFill="1" applyBorder="1"/>
    <xf numFmtId="175" fontId="66" fillId="59" borderId="14" xfId="0" applyNumberFormat="1" applyFont="1" applyFill="1" applyBorder="1" applyAlignment="1">
      <alignment horizontal="center" wrapText="1"/>
    </xf>
    <xf numFmtId="175" fontId="66" fillId="59" borderId="14" xfId="1" applyNumberFormat="1" applyFont="1" applyFill="1" applyBorder="1" applyAlignment="1">
      <alignment horizontal="center" vertical="center" wrapText="1"/>
    </xf>
    <xf numFmtId="175" fontId="66" fillId="10" borderId="14" xfId="1" applyNumberFormat="1" applyFont="1" applyFill="1" applyBorder="1" applyAlignment="1">
      <alignment horizontal="center" vertical="center" wrapText="1"/>
    </xf>
    <xf numFmtId="175" fontId="66" fillId="54" borderId="14" xfId="1" applyNumberFormat="1" applyFont="1" applyFill="1" applyBorder="1" applyAlignment="1">
      <alignment horizontal="center" vertical="center" wrapText="1"/>
    </xf>
    <xf numFmtId="175" fontId="66" fillId="9" borderId="19" xfId="0" applyNumberFormat="1" applyFont="1" applyFill="1" applyBorder="1" applyAlignment="1">
      <alignment horizontal="center" vertical="center" wrapText="1"/>
    </xf>
    <xf numFmtId="175" fontId="66" fillId="9" borderId="14" xfId="0" applyNumberFormat="1" applyFont="1" applyFill="1" applyBorder="1" applyAlignment="1">
      <alignment horizontal="center" vertical="center" wrapText="1"/>
    </xf>
    <xf numFmtId="175" fontId="66" fillId="0" borderId="0" xfId="0" applyNumberFormat="1" applyFont="1"/>
    <xf numFmtId="175" fontId="66" fillId="10" borderId="14" xfId="0" applyNumberFormat="1" applyFont="1" applyFill="1" applyBorder="1" applyAlignment="1">
      <alignment horizontal="center" wrapText="1"/>
    </xf>
    <xf numFmtId="175" fontId="66" fillId="54" borderId="14" xfId="0" applyNumberFormat="1" applyFont="1" applyFill="1" applyBorder="1" applyAlignment="1">
      <alignment horizontal="center" wrapText="1"/>
    </xf>
    <xf numFmtId="175" fontId="67" fillId="59" borderId="8" xfId="0" applyNumberFormat="1" applyFont="1" applyFill="1" applyBorder="1" applyAlignment="1">
      <alignment vertical="center"/>
    </xf>
    <xf numFmtId="170" fontId="62" fillId="51" borderId="14" xfId="2" applyNumberFormat="1" applyFont="1" applyFill="1" applyBorder="1" applyAlignment="1">
      <alignment horizontal="left"/>
    </xf>
    <xf numFmtId="0" fontId="65" fillId="0" borderId="0" xfId="0" applyFont="1" applyAlignment="1">
      <alignment vertical="center"/>
    </xf>
    <xf numFmtId="2" fontId="65" fillId="9" borderId="19" xfId="0" applyNumberFormat="1" applyFont="1" applyFill="1" applyBorder="1" applyAlignment="1">
      <alignment horizontal="center" vertical="center" wrapText="1"/>
    </xf>
    <xf numFmtId="0" fontId="65" fillId="0" borderId="0" xfId="0" applyFont="1"/>
    <xf numFmtId="0" fontId="62" fillId="51" borderId="14" xfId="0" applyFont="1" applyFill="1" applyBorder="1"/>
    <xf numFmtId="167" fontId="61" fillId="10" borderId="39" xfId="0" applyNumberFormat="1" applyFont="1" applyFill="1" applyBorder="1" applyAlignment="1">
      <alignment horizontal="center" wrapText="1"/>
    </xf>
    <xf numFmtId="14" fontId="28" fillId="59" borderId="14" xfId="0" applyNumberFormat="1" applyFont="1" applyFill="1" applyBorder="1"/>
    <xf numFmtId="0" fontId="68" fillId="5" borderId="14" xfId="0" applyFont="1" applyFill="1" applyBorder="1" applyAlignment="1">
      <alignment horizontal="center"/>
    </xf>
    <xf numFmtId="14" fontId="62" fillId="8" borderId="14" xfId="0" applyNumberFormat="1" applyFont="1" applyFill="1" applyBorder="1" applyAlignment="1">
      <alignment horizontal="center"/>
    </xf>
    <xf numFmtId="0" fontId="68" fillId="54" borderId="14" xfId="0" applyFont="1" applyFill="1" applyBorder="1" applyAlignment="1">
      <alignment horizontal="center"/>
    </xf>
    <xf numFmtId="0" fontId="60" fillId="60" borderId="14" xfId="0" applyFont="1" applyFill="1" applyBorder="1"/>
    <xf numFmtId="14" fontId="64" fillId="60" borderId="14" xfId="0" applyNumberFormat="1" applyFont="1" applyFill="1" applyBorder="1" applyAlignment="1">
      <alignment horizontal="center"/>
    </xf>
    <xf numFmtId="174" fontId="62" fillId="60" borderId="14" xfId="0" applyNumberFormat="1" applyFont="1" applyFill="1" applyBorder="1" applyAlignment="1">
      <alignment horizontal="center"/>
    </xf>
    <xf numFmtId="14" fontId="0" fillId="0" borderId="0" xfId="0" applyNumberFormat="1"/>
    <xf numFmtId="12" fontId="0" fillId="0" borderId="0" xfId="0" applyNumberFormat="1"/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0" fontId="13" fillId="0" borderId="40" xfId="0" applyFont="1" applyBorder="1" applyAlignment="1">
      <alignment horizontal="center"/>
    </xf>
    <xf numFmtId="0" fontId="13" fillId="0" borderId="10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69" fillId="0" borderId="10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69" fillId="0" borderId="6" xfId="0" applyFont="1" applyBorder="1" applyAlignment="1">
      <alignment horizontal="center" vertical="center"/>
    </xf>
    <xf numFmtId="0" fontId="69" fillId="0" borderId="49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/>
    </xf>
    <xf numFmtId="0" fontId="13" fillId="0" borderId="50" xfId="0" applyFont="1" applyBorder="1" applyAlignment="1">
      <alignment horizontal="center"/>
    </xf>
    <xf numFmtId="0" fontId="13" fillId="0" borderId="51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14" fontId="13" fillId="0" borderId="52" xfId="0" applyNumberFormat="1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176" fontId="62" fillId="10" borderId="14" xfId="2" applyNumberFormat="1" applyFont="1" applyFill="1" applyBorder="1" applyAlignment="1">
      <alignment horizontal="left"/>
    </xf>
    <xf numFmtId="175" fontId="66" fillId="51" borderId="14" xfId="1" applyNumberFormat="1" applyFont="1" applyFill="1" applyBorder="1" applyAlignment="1">
      <alignment horizontal="center" vertical="center" wrapText="1"/>
    </xf>
    <xf numFmtId="0" fontId="70" fillId="10" borderId="14" xfId="0" applyFont="1" applyFill="1" applyBorder="1" applyAlignment="1">
      <alignment horizontal="center"/>
    </xf>
    <xf numFmtId="43" fontId="47" fillId="2" borderId="14" xfId="1" applyFont="1" applyFill="1" applyBorder="1" applyAlignment="1">
      <alignment horizontal="right"/>
    </xf>
    <xf numFmtId="174" fontId="62" fillId="50" borderId="14" xfId="0" applyNumberFormat="1" applyFont="1" applyFill="1" applyBorder="1" applyAlignment="1">
      <alignment horizontal="center"/>
    </xf>
    <xf numFmtId="2" fontId="62" fillId="0" borderId="0" xfId="0" applyNumberFormat="1" applyFont="1"/>
    <xf numFmtId="0" fontId="72" fillId="10" borderId="14" xfId="3" applyFont="1" applyFill="1" applyBorder="1" applyAlignment="1">
      <alignment horizontal="center"/>
    </xf>
    <xf numFmtId="0" fontId="73" fillId="10" borderId="14" xfId="3" applyFont="1" applyFill="1" applyBorder="1" applyAlignment="1">
      <alignment horizontal="center"/>
    </xf>
    <xf numFmtId="0" fontId="74" fillId="10" borderId="14" xfId="3" applyFont="1" applyFill="1" applyBorder="1" applyAlignment="1">
      <alignment horizontal="center"/>
    </xf>
    <xf numFmtId="167" fontId="61" fillId="10" borderId="39" xfId="0" applyNumberFormat="1" applyFont="1" applyFill="1" applyBorder="1" applyAlignment="1">
      <alignment horizontal="center" vertical="center"/>
    </xf>
    <xf numFmtId="0" fontId="61" fillId="10" borderId="39" xfId="0" applyFont="1" applyFill="1" applyBorder="1" applyAlignment="1">
      <alignment horizontal="center" vertical="center"/>
    </xf>
    <xf numFmtId="174" fontId="62" fillId="0" borderId="0" xfId="0" applyNumberFormat="1" applyFont="1"/>
    <xf numFmtId="0" fontId="0" fillId="12" borderId="14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13" borderId="14" xfId="0" applyFill="1" applyBorder="1" applyAlignment="1">
      <alignment horizontal="center"/>
    </xf>
    <xf numFmtId="0" fontId="0" fillId="19" borderId="14" xfId="0" applyFill="1" applyBorder="1" applyAlignment="1">
      <alignment horizontal="center"/>
    </xf>
    <xf numFmtId="0" fontId="62" fillId="5" borderId="14" xfId="0" applyFont="1" applyFill="1" applyBorder="1" applyAlignment="1">
      <alignment horizontal="center"/>
    </xf>
    <xf numFmtId="0" fontId="0" fillId="12" borderId="19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14" fontId="62" fillId="5" borderId="14" xfId="0" applyNumberFormat="1" applyFont="1" applyFill="1" applyBorder="1" applyAlignment="1">
      <alignment horizontal="center"/>
    </xf>
    <xf numFmtId="14" fontId="60" fillId="51" borderId="14" xfId="0" applyNumberFormat="1" applyFont="1" applyFill="1" applyBorder="1" applyAlignment="1">
      <alignment horizontal="center"/>
    </xf>
    <xf numFmtId="14" fontId="66" fillId="10" borderId="14" xfId="1" applyNumberFormat="1" applyFont="1" applyFill="1" applyBorder="1" applyAlignment="1">
      <alignment horizontal="center" vertical="center" wrapText="1"/>
    </xf>
    <xf numFmtId="0" fontId="60" fillId="4" borderId="2" xfId="0" applyFont="1" applyFill="1" applyBorder="1" applyAlignment="1">
      <alignment horizontal="center" vertical="center"/>
    </xf>
    <xf numFmtId="0" fontId="63" fillId="4" borderId="13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5" fillId="4" borderId="13" xfId="0" applyFont="1" applyFill="1" applyBorder="1" applyAlignment="1">
      <alignment horizontal="center" vertical="center"/>
    </xf>
    <xf numFmtId="174" fontId="60" fillId="4" borderId="13" xfId="0" applyNumberFormat="1" applyFont="1" applyFill="1" applyBorder="1" applyAlignment="1">
      <alignment horizontal="center" vertical="center"/>
    </xf>
    <xf numFmtId="0" fontId="60" fillId="4" borderId="3" xfId="0" applyFont="1" applyFill="1" applyBorder="1" applyAlignment="1">
      <alignment horizontal="center" vertical="center"/>
    </xf>
    <xf numFmtId="0" fontId="60" fillId="53" borderId="2" xfId="0" applyFont="1" applyFill="1" applyBorder="1" applyAlignment="1">
      <alignment horizontal="center" vertical="center"/>
    </xf>
    <xf numFmtId="0" fontId="63" fillId="53" borderId="13" xfId="0" applyFont="1" applyFill="1" applyBorder="1" applyAlignment="1">
      <alignment horizontal="center" vertical="center"/>
    </xf>
    <xf numFmtId="0" fontId="60" fillId="53" borderId="13" xfId="0" applyFont="1" applyFill="1" applyBorder="1" applyAlignment="1">
      <alignment horizontal="center" vertical="center"/>
    </xf>
    <xf numFmtId="0" fontId="65" fillId="53" borderId="13" xfId="0" applyFont="1" applyFill="1" applyBorder="1" applyAlignment="1">
      <alignment horizontal="center" vertical="center"/>
    </xf>
    <xf numFmtId="174" fontId="60" fillId="53" borderId="13" xfId="0" applyNumberFormat="1" applyFont="1" applyFill="1" applyBorder="1" applyAlignment="1">
      <alignment horizontal="center" vertical="center"/>
    </xf>
    <xf numFmtId="0" fontId="60" fillId="53" borderId="3" xfId="0" applyFont="1" applyFill="1" applyBorder="1" applyAlignment="1">
      <alignment horizontal="center" vertical="center"/>
    </xf>
    <xf numFmtId="0" fontId="60" fillId="0" borderId="42" xfId="0" applyFont="1" applyBorder="1" applyAlignment="1">
      <alignment horizontal="center" vertical="center" wrapText="1"/>
    </xf>
    <xf numFmtId="0" fontId="60" fillId="5" borderId="2" xfId="0" applyFont="1" applyFill="1" applyBorder="1" applyAlignment="1">
      <alignment horizontal="center" vertical="center"/>
    </xf>
    <xf numFmtId="0" fontId="63" fillId="5" borderId="13" xfId="0" applyFont="1" applyFill="1" applyBorder="1" applyAlignment="1">
      <alignment horizontal="center" vertical="center"/>
    </xf>
    <xf numFmtId="0" fontId="60" fillId="5" borderId="13" xfId="0" applyFont="1" applyFill="1" applyBorder="1" applyAlignment="1">
      <alignment horizontal="center" vertical="center"/>
    </xf>
    <xf numFmtId="0" fontId="65" fillId="5" borderId="13" xfId="0" applyFont="1" applyFill="1" applyBorder="1" applyAlignment="1">
      <alignment horizontal="center" vertical="center"/>
    </xf>
    <xf numFmtId="174" fontId="60" fillId="5" borderId="13" xfId="0" applyNumberFormat="1" applyFont="1" applyFill="1" applyBorder="1" applyAlignment="1">
      <alignment horizontal="center" vertical="center"/>
    </xf>
    <xf numFmtId="0" fontId="60" fillId="5" borderId="3" xfId="0" applyFont="1" applyFill="1" applyBorder="1" applyAlignment="1">
      <alignment horizontal="center" vertical="center"/>
    </xf>
    <xf numFmtId="0" fontId="28" fillId="11" borderId="0" xfId="0" applyFont="1" applyFill="1" applyAlignment="1">
      <alignment horizontal="left"/>
    </xf>
    <xf numFmtId="0" fontId="13" fillId="18" borderId="39" xfId="0" applyFont="1" applyFill="1" applyBorder="1" applyAlignment="1">
      <alignment horizontal="center"/>
    </xf>
    <xf numFmtId="0" fontId="13" fillId="18" borderId="33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4" fillId="9" borderId="34" xfId="0" applyFont="1" applyFill="1" applyBorder="1" applyAlignment="1">
      <alignment horizontal="center" vertical="center"/>
    </xf>
    <xf numFmtId="0" fontId="14" fillId="9" borderId="35" xfId="0" applyFont="1" applyFill="1" applyBorder="1" applyAlignment="1">
      <alignment horizontal="center" vertical="center"/>
    </xf>
    <xf numFmtId="0" fontId="13" fillId="11" borderId="39" xfId="0" applyFont="1" applyFill="1" applyBorder="1" applyAlignment="1">
      <alignment horizontal="center"/>
    </xf>
    <xf numFmtId="0" fontId="13" fillId="11" borderId="33" xfId="0" applyFont="1" applyFill="1" applyBorder="1" applyAlignment="1">
      <alignment horizontal="center"/>
    </xf>
    <xf numFmtId="0" fontId="13" fillId="13" borderId="39" xfId="0" applyFont="1" applyFill="1" applyBorder="1" applyAlignment="1">
      <alignment horizontal="center"/>
    </xf>
    <xf numFmtId="0" fontId="13" fillId="13" borderId="33" xfId="0" applyFont="1" applyFill="1" applyBorder="1" applyAlignment="1">
      <alignment horizontal="center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14" fontId="23" fillId="20" borderId="14" xfId="0" applyNumberFormat="1" applyFont="1" applyFill="1" applyBorder="1" applyAlignment="1">
      <alignment horizontal="center"/>
    </xf>
    <xf numFmtId="14" fontId="44" fillId="27" borderId="39" xfId="0" applyNumberFormat="1" applyFont="1" applyFill="1" applyBorder="1" applyAlignment="1">
      <alignment horizontal="center"/>
    </xf>
    <xf numFmtId="14" fontId="44" fillId="27" borderId="43" xfId="0" applyNumberFormat="1" applyFont="1" applyFill="1" applyBorder="1" applyAlignment="1">
      <alignment horizontal="center"/>
    </xf>
    <xf numFmtId="14" fontId="44" fillId="27" borderId="33" xfId="0" applyNumberFormat="1" applyFont="1" applyFill="1" applyBorder="1" applyAlignment="1">
      <alignment horizontal="center"/>
    </xf>
    <xf numFmtId="0" fontId="24" fillId="12" borderId="14" xfId="0" applyFont="1" applyFill="1" applyBorder="1" applyAlignment="1">
      <alignment horizontal="right"/>
    </xf>
    <xf numFmtId="0" fontId="20" fillId="0" borderId="0" xfId="0" applyFont="1" applyAlignment="1">
      <alignment horizontal="center" vertical="center"/>
    </xf>
    <xf numFmtId="14" fontId="50" fillId="20" borderId="14" xfId="0" applyNumberFormat="1" applyFont="1" applyFill="1" applyBorder="1" applyAlignment="1">
      <alignment horizontal="center" vertical="center"/>
    </xf>
    <xf numFmtId="0" fontId="24" fillId="12" borderId="1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75" fillId="10" borderId="14" xfId="3" applyFont="1" applyFill="1" applyBorder="1" applyAlignment="1">
      <alignment horizontal="center"/>
    </xf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00"/>
      <color rgb="FFFFCCFF"/>
      <color rgb="FF88FC88"/>
      <color rgb="FFCBFDDE"/>
      <color rgb="FFE2FEED"/>
      <color rgb="FFFF7C5D"/>
      <color rgb="FFFF33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28575</xdr:rowOff>
    </xdr:from>
    <xdr:to>
      <xdr:col>1</xdr:col>
      <xdr:colOff>219076</xdr:colOff>
      <xdr:row>2</xdr:row>
      <xdr:rowOff>162139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CA8F53-2383-4666-B11E-BA07B5544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6" y="28575"/>
          <a:ext cx="647700" cy="5812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123825</xdr:rowOff>
    </xdr:from>
    <xdr:to>
      <xdr:col>2</xdr:col>
      <xdr:colOff>38100</xdr:colOff>
      <xdr:row>3</xdr:row>
      <xdr:rowOff>152614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72D182-0E4B-44F8-BB7E-396B50EDC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123825"/>
          <a:ext cx="647700" cy="6669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38100</xdr:rowOff>
    </xdr:from>
    <xdr:to>
      <xdr:col>2</xdr:col>
      <xdr:colOff>19050</xdr:colOff>
      <xdr:row>3</xdr:row>
      <xdr:rowOff>152614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DD61FC6-95AE-4CE1-84CE-B5BFEBECB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350" y="38100"/>
          <a:ext cx="647700" cy="7526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1</xdr:row>
      <xdr:rowOff>28575</xdr:rowOff>
    </xdr:from>
    <xdr:to>
      <xdr:col>3</xdr:col>
      <xdr:colOff>323850</xdr:colOff>
      <xdr:row>4</xdr:row>
      <xdr:rowOff>143089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B7B8AC-44DA-43AF-A124-DEAE9818B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150" y="219075"/>
          <a:ext cx="647700" cy="75268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rafico" id="{FB55D6B3-3FB7-4057-A2D6-99214099B2AB}" userId="trafico" providerId="None"/>
  <person displayName="Trafico | OXDA" id="{CA666BAB-B53F-4A97-94AB-4AF101A98FDB}" userId="d99bdd04190225f8" providerId="Windows Live"/>
  <person displayName="Angeles Samano | OXDA" id="{81D21C71-34C0-488A-9A2B-6FB4563D8796}" userId="e1afb80cb6346096" providerId="Windows Live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95" dT="2024-11-05T15:40:47.16" personId="{CA666BAB-B53F-4A97-94AB-4AF101A98FDB}" id="{250A5E60-D2B7-49E4-B9C0-1B826D962491}">
    <text>AVIKO PUSO 583</text>
  </threadedComment>
  <threadedComment ref="D285" dT="2026-04-16T22:40:00.15" personId="{81D21C71-34C0-488A-9A2B-6FB4563D8796}" id="{C63C0F35-3F2D-4449-B5DA-44F853A33992}">
    <text>MUESTRAS ANTAD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45" dT="2020-03-10T20:09:30.70" personId="{FB55D6B3-3FB7-4057-A2D6-99214099B2AB}" id="{E2F1BA7A-4F9D-4194-BB59-8E7AEC41D476}">
    <text>APLICACIÓN DE N.C. 92518134 $675.92 EUR</text>
  </threadedComment>
  <threadedComment ref="F48" dT="2019-12-27T17:41:47.43" personId="{FB55D6B3-3FB7-4057-A2D6-99214099B2AB}" id="{42A411A9-42D4-4524-8DF2-D39DE43688DA}">
    <text>AUN NO CONFIRMADA, PERO P.O. ENVIADA</text>
  </threadedComment>
  <threadedComment ref="F48" dT="2020-01-21T18:45:47.60" personId="{FB55D6B3-3FB7-4057-A2D6-99214099B2AB}" id="{91CCF098-64FC-4D17-8791-59C974FD8B56}" parentId="{42A411A9-42D4-4524-8DF2-D39DE43688DA}">
    <text>ESTA EN HOLD!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FACTURAS%20IMPORTACION\KAIDA\K14.pdf" TargetMode="External"/><Relationship Id="rId18" Type="http://schemas.openxmlformats.org/officeDocument/2006/relationships/hyperlink" Target="FACTURAS%20IMPORTACION\AVIKO\C420.pdf" TargetMode="External"/><Relationship Id="rId26" Type="http://schemas.openxmlformats.org/officeDocument/2006/relationships/hyperlink" Target="FACTURAS%20IMPORTACION\AVIKO\C-425.pdf" TargetMode="External"/><Relationship Id="rId39" Type="http://schemas.openxmlformats.org/officeDocument/2006/relationships/printerSettings" Target="../printerSettings/printerSettings3.bin"/><Relationship Id="rId21" Type="http://schemas.openxmlformats.org/officeDocument/2006/relationships/hyperlink" Target="FACTURAS%20IMPORTACION\AVIKO\C418.pdf" TargetMode="External"/><Relationship Id="rId34" Type="http://schemas.openxmlformats.org/officeDocument/2006/relationships/hyperlink" Target="FACTURAS%20IMPORTACION\AVIKO\C428.pdf" TargetMode="External"/><Relationship Id="rId42" Type="http://schemas.microsoft.com/office/2017/10/relationships/threadedComment" Target="../threadedComments/threadedComment1.xml"/><Relationship Id="rId7" Type="http://schemas.openxmlformats.org/officeDocument/2006/relationships/hyperlink" Target="FACTURAS%20IMPORTACION\KAIDA\K8.pdf" TargetMode="External"/><Relationship Id="rId2" Type="http://schemas.openxmlformats.org/officeDocument/2006/relationships/hyperlink" Target="FACTURAS%20IMPORTACION\AVIKO\C422.pdf" TargetMode="External"/><Relationship Id="rId16" Type="http://schemas.openxmlformats.org/officeDocument/2006/relationships/hyperlink" Target="FACTURAS%20IMPORTACION\KAIDA\K16.pdf" TargetMode="External"/><Relationship Id="rId20" Type="http://schemas.openxmlformats.org/officeDocument/2006/relationships/hyperlink" Target="FACTURAS%20IMPORTACION\AVIKO\C424.pdf" TargetMode="External"/><Relationship Id="rId29" Type="http://schemas.openxmlformats.org/officeDocument/2006/relationships/hyperlink" Target="FACTURAS%20IMPORTACION\WERNSING\C115.pdf" TargetMode="External"/><Relationship Id="rId41" Type="http://schemas.openxmlformats.org/officeDocument/2006/relationships/comments" Target="../comments1.xml"/><Relationship Id="rId1" Type="http://schemas.openxmlformats.org/officeDocument/2006/relationships/hyperlink" Target="FACTURAS%20IMPORTACION\AVIKO\C421.pdf" TargetMode="External"/><Relationship Id="rId6" Type="http://schemas.openxmlformats.org/officeDocument/2006/relationships/hyperlink" Target="FACTURAS%20IMPORTACION\KAIDA\K7.pdf" TargetMode="External"/><Relationship Id="rId11" Type="http://schemas.openxmlformats.org/officeDocument/2006/relationships/hyperlink" Target="FACTURAS%20IMPORTACION\KAIDA\K12.pdf" TargetMode="External"/><Relationship Id="rId24" Type="http://schemas.openxmlformats.org/officeDocument/2006/relationships/hyperlink" Target="FACTURAS%20IMPORTACION\WERNSING\C110.pdf" TargetMode="External"/><Relationship Id="rId32" Type="http://schemas.openxmlformats.org/officeDocument/2006/relationships/hyperlink" Target="FACTURAS%20IMPORTACION\WERNSING\C-116.pdf" TargetMode="External"/><Relationship Id="rId37" Type="http://schemas.openxmlformats.org/officeDocument/2006/relationships/hyperlink" Target="FACTURAS%20IMPORTACION\WERNSING\C-117.pdf" TargetMode="External"/><Relationship Id="rId40" Type="http://schemas.openxmlformats.org/officeDocument/2006/relationships/vmlDrawing" Target="../drawings/vmlDrawing1.vml"/><Relationship Id="rId5" Type="http://schemas.openxmlformats.org/officeDocument/2006/relationships/hyperlink" Target="FACTURAS%20IMPORTACION\WERNSING\C106.pdf" TargetMode="External"/><Relationship Id="rId15" Type="http://schemas.openxmlformats.org/officeDocument/2006/relationships/hyperlink" Target="FACTURAS%20IMPORTACION\AVIKO\C423.pdf" TargetMode="External"/><Relationship Id="rId23" Type="http://schemas.openxmlformats.org/officeDocument/2006/relationships/hyperlink" Target="FACTURAS%20IMPORTACION\KAIDA\K17.pdf" TargetMode="External"/><Relationship Id="rId28" Type="http://schemas.openxmlformats.org/officeDocument/2006/relationships/hyperlink" Target="FACTURAS%20IMPORTACION\WERNSING\C113.pdf" TargetMode="External"/><Relationship Id="rId36" Type="http://schemas.openxmlformats.org/officeDocument/2006/relationships/hyperlink" Target="FACTURAS%20IMPORTACION\AVIKO\C429.pdf" TargetMode="External"/><Relationship Id="rId10" Type="http://schemas.openxmlformats.org/officeDocument/2006/relationships/hyperlink" Target="FACTURAS%20IMPORTACION\KAIDA\K11.pdf" TargetMode="External"/><Relationship Id="rId19" Type="http://schemas.openxmlformats.org/officeDocument/2006/relationships/hyperlink" Target="FACTURAS%20IMPORTACION\WERNSING\C108.pdf" TargetMode="External"/><Relationship Id="rId31" Type="http://schemas.openxmlformats.org/officeDocument/2006/relationships/hyperlink" Target="FACTURAS%20IMPORTACION\WERNSING\C114.pdf" TargetMode="External"/><Relationship Id="rId4" Type="http://schemas.openxmlformats.org/officeDocument/2006/relationships/hyperlink" Target="FACTURAS%20IMPORTACION\WERNSING\C107.pdf" TargetMode="External"/><Relationship Id="rId9" Type="http://schemas.openxmlformats.org/officeDocument/2006/relationships/hyperlink" Target="FACTURAS%20IMPORTACION\KAIDA\K10.pdf" TargetMode="External"/><Relationship Id="rId14" Type="http://schemas.openxmlformats.org/officeDocument/2006/relationships/hyperlink" Target="FACTURAS%20IMPORTACION\KAIDA\K15.pdf" TargetMode="External"/><Relationship Id="rId22" Type="http://schemas.openxmlformats.org/officeDocument/2006/relationships/hyperlink" Target="FACTURAS%20IMPORTACION\WERNSING\C109.pdf" TargetMode="External"/><Relationship Id="rId27" Type="http://schemas.openxmlformats.org/officeDocument/2006/relationships/hyperlink" Target="FACTURAS%20IMPORTACION\WERNSING\C112.pdf" TargetMode="External"/><Relationship Id="rId30" Type="http://schemas.openxmlformats.org/officeDocument/2006/relationships/hyperlink" Target="FACTURAS%20IMPORTACION\AVIKO\C426.pdf" TargetMode="External"/><Relationship Id="rId35" Type="http://schemas.openxmlformats.org/officeDocument/2006/relationships/hyperlink" Target="ORDENES%20DE%20COMPRA\WERSING\C-119.pdf" TargetMode="External"/><Relationship Id="rId8" Type="http://schemas.openxmlformats.org/officeDocument/2006/relationships/hyperlink" Target="FACTURAS%20IMPORTACION\KAIDA\K9.pdf" TargetMode="External"/><Relationship Id="rId3" Type="http://schemas.openxmlformats.org/officeDocument/2006/relationships/hyperlink" Target="FACTURAS%20IMPORTACION\AVIKO\C419.pdf" TargetMode="External"/><Relationship Id="rId12" Type="http://schemas.openxmlformats.org/officeDocument/2006/relationships/hyperlink" Target="FACTURAS%20IMPORTACION\KAIDA\K13.pdf" TargetMode="External"/><Relationship Id="rId17" Type="http://schemas.openxmlformats.org/officeDocument/2006/relationships/hyperlink" Target="FACTURAS%20IMPORTACION\KAIDA\K17.pdf" TargetMode="External"/><Relationship Id="rId25" Type="http://schemas.openxmlformats.org/officeDocument/2006/relationships/hyperlink" Target="FACTURAS%20IMPORTACION\WERNSING\C111.pdf" TargetMode="External"/><Relationship Id="rId33" Type="http://schemas.openxmlformats.org/officeDocument/2006/relationships/hyperlink" Target="FACTURAS%20IMPORTACION\AVIKO\C-427.pdf" TargetMode="External"/><Relationship Id="rId38" Type="http://schemas.openxmlformats.org/officeDocument/2006/relationships/hyperlink" Target="FACTURAS%20IMPORTACION\WERNSING\C-118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15C9F-21DA-D548-9EE1-8143BFC45552}">
  <sheetPr codeName="Hoja1"/>
  <dimension ref="A1:V6"/>
  <sheetViews>
    <sheetView zoomScaleNormal="150" zoomScaleSheetLayoutView="100" workbookViewId="0">
      <selection activeCell="C7" sqref="C7"/>
    </sheetView>
  </sheetViews>
  <sheetFormatPr baseColWidth="10" defaultColWidth="9.140625" defaultRowHeight="15" x14ac:dyDescent="0.25"/>
  <cols>
    <col min="1" max="1" width="14.5703125" customWidth="1"/>
    <col min="2" max="2" width="11.5703125" bestFit="1" customWidth="1"/>
    <col min="3" max="3" width="16.5703125" customWidth="1"/>
    <col min="4" max="4" width="15.7109375" customWidth="1"/>
    <col min="5" max="5" width="13.140625" customWidth="1"/>
    <col min="6" max="6" width="11.5703125" bestFit="1" customWidth="1"/>
    <col min="7" max="7" width="11.7109375" bestFit="1" customWidth="1"/>
    <col min="9" max="10" width="12.140625" bestFit="1" customWidth="1"/>
    <col min="17" max="17" width="11.5703125" bestFit="1" customWidth="1"/>
  </cols>
  <sheetData>
    <row r="1" spans="1:22" ht="67.5" x14ac:dyDescent="0.25">
      <c r="A1" s="439" t="s">
        <v>0</v>
      </c>
      <c r="B1" s="456" t="s">
        <v>1</v>
      </c>
      <c r="C1" s="456" t="s">
        <v>2</v>
      </c>
      <c r="D1" s="456" t="s">
        <v>3</v>
      </c>
      <c r="E1" s="456"/>
      <c r="F1" s="440" t="s">
        <v>4</v>
      </c>
      <c r="G1" s="440" t="s">
        <v>5</v>
      </c>
      <c r="H1" s="481" t="s">
        <v>6</v>
      </c>
      <c r="I1" s="462" t="s">
        <v>7</v>
      </c>
      <c r="J1" s="462" t="s">
        <v>8</v>
      </c>
      <c r="K1" s="439" t="s">
        <v>9</v>
      </c>
      <c r="L1" s="439" t="s">
        <v>10</v>
      </c>
      <c r="M1" s="419" t="s">
        <v>11</v>
      </c>
      <c r="N1" s="419" t="s">
        <v>12</v>
      </c>
      <c r="O1" s="419" t="s">
        <v>13</v>
      </c>
      <c r="P1" s="420" t="s">
        <v>14</v>
      </c>
      <c r="Q1" s="420" t="s">
        <v>15</v>
      </c>
      <c r="R1" s="420" t="s">
        <v>16</v>
      </c>
      <c r="S1" s="473" t="s">
        <v>17</v>
      </c>
      <c r="T1" s="422" t="s">
        <v>18</v>
      </c>
      <c r="U1" s="452" t="s">
        <v>19</v>
      </c>
      <c r="V1" s="467" t="s">
        <v>20</v>
      </c>
    </row>
    <row r="2" spans="1:22" ht="18.75" x14ac:dyDescent="0.3">
      <c r="A2" s="425" t="s">
        <v>21</v>
      </c>
      <c r="B2" s="490">
        <v>45792</v>
      </c>
      <c r="C2" s="490" t="s">
        <v>22</v>
      </c>
      <c r="D2" s="490"/>
      <c r="E2" s="490"/>
      <c r="F2" s="435">
        <v>45811</v>
      </c>
      <c r="G2" s="479">
        <v>24840</v>
      </c>
      <c r="H2" s="443"/>
      <c r="I2" s="465">
        <v>45819</v>
      </c>
      <c r="J2" s="491">
        <v>45841</v>
      </c>
      <c r="K2" s="444" t="s">
        <v>23</v>
      </c>
      <c r="L2" s="444" t="s">
        <v>24</v>
      </c>
      <c r="M2" s="489" t="s">
        <v>25</v>
      </c>
      <c r="N2" s="483" t="s">
        <v>26</v>
      </c>
      <c r="O2" s="483" t="s">
        <v>26</v>
      </c>
      <c r="P2" s="428"/>
      <c r="Q2" s="435">
        <f>+F2+60</f>
        <v>45871</v>
      </c>
      <c r="R2" s="466"/>
      <c r="S2" s="476"/>
      <c r="T2" s="433"/>
      <c r="U2" s="454" t="s">
        <v>27</v>
      </c>
      <c r="V2" s="432"/>
    </row>
    <row r="3" spans="1:22" ht="18.75" x14ac:dyDescent="0.3">
      <c r="A3" s="488" t="s">
        <v>28</v>
      </c>
      <c r="B3" s="490">
        <v>45792</v>
      </c>
      <c r="C3" s="490" t="s">
        <v>22</v>
      </c>
      <c r="D3" s="490" t="s">
        <v>29</v>
      </c>
      <c r="E3" s="490"/>
      <c r="F3" s="435">
        <v>45804</v>
      </c>
      <c r="G3" s="479">
        <v>24840</v>
      </c>
      <c r="H3" s="443"/>
      <c r="I3" s="465">
        <v>45812</v>
      </c>
      <c r="J3" s="491">
        <v>45831</v>
      </c>
      <c r="K3" s="444" t="s">
        <v>30</v>
      </c>
      <c r="L3" s="444" t="s">
        <v>31</v>
      </c>
      <c r="M3" s="489" t="s">
        <v>32</v>
      </c>
      <c r="N3" s="483" t="s">
        <v>26</v>
      </c>
      <c r="O3" s="483" t="s">
        <v>26</v>
      </c>
      <c r="P3" s="428"/>
      <c r="Q3" s="435">
        <f t="shared" ref="Q3" si="0">+F3+60</f>
        <v>45864</v>
      </c>
      <c r="R3" s="466"/>
      <c r="S3" s="476"/>
      <c r="T3" s="433"/>
      <c r="U3" s="454" t="s">
        <v>27</v>
      </c>
      <c r="V3" s="432"/>
    </row>
    <row r="4" spans="1:22" ht="15.75" x14ac:dyDescent="0.25">
      <c r="A4" s="425" t="s">
        <v>21</v>
      </c>
      <c r="B4" s="492">
        <v>45803</v>
      </c>
      <c r="C4" s="493">
        <v>102013</v>
      </c>
      <c r="D4" s="492" t="s">
        <v>33</v>
      </c>
      <c r="E4" s="236">
        <v>305</v>
      </c>
    </row>
    <row r="5" spans="1:22" ht="15.75" x14ac:dyDescent="0.25">
      <c r="A5" s="425" t="s">
        <v>21</v>
      </c>
      <c r="B5" s="492">
        <v>45802</v>
      </c>
      <c r="C5" s="492" t="s">
        <v>34</v>
      </c>
      <c r="D5" s="492"/>
      <c r="E5" s="492"/>
    </row>
    <row r="6" spans="1:22" x14ac:dyDescent="0.25">
      <c r="B6" t="s">
        <v>35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137AB-6EF5-4663-B9C5-F752A466C9ED}">
  <dimension ref="A2:I5"/>
  <sheetViews>
    <sheetView workbookViewId="0">
      <selection activeCell="J22" sqref="J22"/>
    </sheetView>
  </sheetViews>
  <sheetFormatPr baseColWidth="10" defaultColWidth="10.7109375" defaultRowHeight="15" x14ac:dyDescent="0.25"/>
  <cols>
    <col min="6" max="6" width="13.7109375" customWidth="1"/>
    <col min="7" max="7" width="13.140625" customWidth="1"/>
    <col min="10" max="10" width="43.85546875" customWidth="1"/>
  </cols>
  <sheetData>
    <row r="2" spans="1:9" ht="40.5" x14ac:dyDescent="0.25">
      <c r="A2" s="439" t="s">
        <v>0</v>
      </c>
      <c r="B2" s="456" t="s">
        <v>1</v>
      </c>
      <c r="C2" s="440" t="s">
        <v>4</v>
      </c>
      <c r="D2" s="440" t="s">
        <v>5</v>
      </c>
      <c r="E2" s="481" t="s">
        <v>6</v>
      </c>
      <c r="F2" s="462" t="s">
        <v>7</v>
      </c>
      <c r="H2" s="439" t="s">
        <v>9</v>
      </c>
      <c r="I2" s="439" t="s">
        <v>10</v>
      </c>
    </row>
    <row r="3" spans="1:9" ht="18.75" x14ac:dyDescent="0.3">
      <c r="A3" s="425" t="s">
        <v>21</v>
      </c>
      <c r="B3" s="490">
        <v>45792</v>
      </c>
      <c r="C3" s="435">
        <v>45811</v>
      </c>
      <c r="D3" s="479">
        <v>24840</v>
      </c>
      <c r="E3" s="443"/>
      <c r="F3" s="465">
        <v>45819</v>
      </c>
      <c r="H3" s="444" t="s">
        <v>23</v>
      </c>
      <c r="I3" s="444" t="s">
        <v>24</v>
      </c>
    </row>
    <row r="4" spans="1:9" ht="18.75" x14ac:dyDescent="0.3">
      <c r="A4" s="488" t="s">
        <v>28</v>
      </c>
      <c r="B4" s="490">
        <v>45792</v>
      </c>
      <c r="C4" s="428">
        <v>45804</v>
      </c>
      <c r="D4" s="424">
        <v>24840</v>
      </c>
      <c r="E4" s="443"/>
      <c r="F4" s="465">
        <v>45812</v>
      </c>
      <c r="H4" s="444" t="s">
        <v>30</v>
      </c>
      <c r="I4" s="444" t="s">
        <v>31</v>
      </c>
    </row>
    <row r="5" spans="1:9" ht="18.75" x14ac:dyDescent="0.3">
      <c r="A5" s="425" t="s">
        <v>21</v>
      </c>
      <c r="B5" s="490">
        <v>45819</v>
      </c>
      <c r="C5" s="435">
        <v>45831</v>
      </c>
      <c r="D5" s="479">
        <v>24840</v>
      </c>
      <c r="E5" s="443"/>
      <c r="F5" s="465">
        <v>45840</v>
      </c>
      <c r="H5" s="444" t="s">
        <v>36</v>
      </c>
      <c r="I5" s="444" t="s">
        <v>37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FA79-2952-1F41-9C84-57448402A653}">
  <sheetPr codeName="Hoja3">
    <pageSetUpPr fitToPage="1"/>
  </sheetPr>
  <dimension ref="A1:V293"/>
  <sheetViews>
    <sheetView showGridLines="0" tabSelected="1" zoomScale="85" zoomScaleNormal="85" zoomScaleSheetLayoutView="100" workbookViewId="0">
      <pane ySplit="7" topLeftCell="A136" activePane="bottomLeft" state="frozen"/>
      <selection pane="bottomLeft" activeCell="N138" sqref="N138"/>
    </sheetView>
  </sheetViews>
  <sheetFormatPr baseColWidth="10" defaultColWidth="9.140625" defaultRowHeight="15.75" x14ac:dyDescent="0.25"/>
  <cols>
    <col min="1" max="1" width="12" style="441" customWidth="1"/>
    <col min="2" max="2" width="11.85546875" style="458" customWidth="1"/>
    <col min="3" max="3" width="14.42578125" style="441" customWidth="1"/>
    <col min="4" max="4" width="14.28515625" style="421" bestFit="1" customWidth="1"/>
    <col min="5" max="5" width="9.5703125" style="482" customWidth="1"/>
    <col min="6" max="7" width="14.140625" style="464" customWidth="1"/>
    <col min="8" max="8" width="12" style="423" bestFit="1" customWidth="1"/>
    <col min="9" max="9" width="11.5703125" style="423" bestFit="1" customWidth="1"/>
    <col min="10" max="10" width="57.140625" style="423" bestFit="1" customWidth="1"/>
    <col min="11" max="11" width="12.42578125" style="421" bestFit="1" customWidth="1"/>
    <col min="12" max="12" width="18.85546875" style="441" bestFit="1" customWidth="1"/>
    <col min="13" max="13" width="12.5703125" style="421" bestFit="1" customWidth="1"/>
    <col min="14" max="14" width="12.7109375" style="421" bestFit="1" customWidth="1"/>
    <col min="15" max="15" width="11.85546875" style="423" bestFit="1" customWidth="1"/>
    <col min="16" max="16" width="12" style="475" bestFit="1" customWidth="1"/>
    <col min="17" max="17" width="16.140625" style="421" customWidth="1"/>
    <col min="18" max="18" width="27" style="421" customWidth="1"/>
    <col min="19" max="19" width="13.140625" style="421" customWidth="1"/>
    <col min="20" max="20" width="13.140625" style="421" bestFit="1" customWidth="1"/>
    <col min="21" max="21" width="11.42578125" style="421" bestFit="1" customWidth="1"/>
    <col min="22" max="22" width="10.5703125" style="421" bestFit="1" customWidth="1"/>
    <col min="23" max="16384" width="9.140625" style="421"/>
  </cols>
  <sheetData>
    <row r="1" spans="1:19" ht="7.5" customHeight="1" thickBot="1" x14ac:dyDescent="0.3"/>
    <row r="2" spans="1:19" ht="20.25" customHeight="1" x14ac:dyDescent="0.25">
      <c r="B2" s="455"/>
      <c r="C2" s="437"/>
      <c r="D2" s="438"/>
      <c r="E2" s="480"/>
      <c r="F2" s="461"/>
      <c r="G2" s="461"/>
      <c r="H2" s="546" t="s">
        <v>38</v>
      </c>
      <c r="I2" s="502" t="s">
        <v>39</v>
      </c>
      <c r="J2" s="505" t="s">
        <v>11</v>
      </c>
      <c r="K2" s="497" t="s">
        <v>12</v>
      </c>
      <c r="L2" s="497" t="s">
        <v>13</v>
      </c>
      <c r="M2" s="497" t="s">
        <v>14</v>
      </c>
      <c r="N2" s="497" t="s">
        <v>15</v>
      </c>
      <c r="O2" s="497" t="s">
        <v>40</v>
      </c>
      <c r="P2" s="506" t="s">
        <v>17</v>
      </c>
    </row>
    <row r="3" spans="1:19" ht="15.75" customHeight="1" x14ac:dyDescent="0.25">
      <c r="A3" s="436"/>
      <c r="B3" s="455"/>
      <c r="C3" s="437"/>
      <c r="D3" s="438"/>
      <c r="E3" s="480"/>
      <c r="F3" s="461"/>
      <c r="G3" s="461"/>
      <c r="H3" s="546"/>
      <c r="I3" s="504" t="s">
        <v>583</v>
      </c>
      <c r="J3" s="507" t="str">
        <f>VLOOKUP($I$3,Contenedores!$I$7:$P$323,2,0)</f>
        <v>ABASTOS LOGICOS</v>
      </c>
      <c r="K3" s="508" t="str">
        <f>VLOOKUP($I$3,Contenedores!$I$7:$P$323,3,0)</f>
        <v>Confirmado</v>
      </c>
      <c r="L3" s="508">
        <f>VLOOKUP($I$3,Contenedores!$I$7:$P$323,4,0)</f>
        <v>25163880</v>
      </c>
      <c r="M3" s="509">
        <f>VLOOKUP($I$3,Contenedores!$I$7:$P$323,5,0)</f>
        <v>46024</v>
      </c>
      <c r="N3" s="509">
        <f>VLOOKUP($I$3,Contenedores!$I$7:$P$323,6,0)</f>
        <v>46005</v>
      </c>
      <c r="O3" s="509">
        <f>VLOOKUP($I$3,Contenedores!$I$7:$P$323,7,0)</f>
        <v>46005</v>
      </c>
      <c r="P3" s="510">
        <f>VLOOKUP($I$3,Contenedores!$I$7:$P$323,8,0)</f>
        <v>21.21</v>
      </c>
    </row>
    <row r="4" spans="1:19" ht="15.75" customHeight="1" thickBot="1" x14ac:dyDescent="0.3">
      <c r="A4" s="436"/>
      <c r="B4" s="455"/>
      <c r="C4" s="437"/>
      <c r="D4" s="438"/>
      <c r="E4" s="480"/>
      <c r="F4" s="461"/>
      <c r="G4" s="461"/>
      <c r="H4" s="546"/>
      <c r="I4" s="503"/>
      <c r="J4" s="498"/>
      <c r="K4" s="498"/>
      <c r="L4" s="498"/>
      <c r="M4" s="499"/>
      <c r="N4" s="499"/>
      <c r="O4" s="499"/>
      <c r="P4" s="500"/>
    </row>
    <row r="5" spans="1:19" ht="15.75" customHeight="1" thickBot="1" x14ac:dyDescent="0.3">
      <c r="A5" s="436"/>
      <c r="B5" s="455"/>
      <c r="C5" s="437"/>
      <c r="D5" s="438"/>
      <c r="E5" s="480"/>
      <c r="F5" s="461"/>
      <c r="G5" s="461"/>
      <c r="H5" s="438"/>
      <c r="I5" s="501"/>
      <c r="J5" s="495"/>
      <c r="K5" s="495"/>
      <c r="L5" s="495"/>
      <c r="M5" s="496"/>
      <c r="N5" s="496"/>
      <c r="O5" s="496"/>
      <c r="P5" s="495"/>
    </row>
    <row r="6" spans="1:19" ht="30.75" customHeight="1" thickBot="1" x14ac:dyDescent="0.3">
      <c r="A6" s="534" t="s">
        <v>42</v>
      </c>
      <c r="B6" s="535"/>
      <c r="C6" s="536"/>
      <c r="D6" s="536"/>
      <c r="E6" s="537"/>
      <c r="F6" s="538"/>
      <c r="G6" s="538"/>
      <c r="H6" s="536"/>
      <c r="I6" s="539"/>
      <c r="P6" s="478" t="s">
        <v>43</v>
      </c>
    </row>
    <row r="7" spans="1:19" s="423" customFormat="1" ht="44.25" customHeight="1" x14ac:dyDescent="0.25">
      <c r="A7" s="439" t="s">
        <v>0</v>
      </c>
      <c r="B7" s="456" t="s">
        <v>1</v>
      </c>
      <c r="C7" s="440" t="s">
        <v>4</v>
      </c>
      <c r="D7" s="440" t="s">
        <v>5</v>
      </c>
      <c r="E7" s="481" t="s">
        <v>6</v>
      </c>
      <c r="F7" s="462" t="s">
        <v>7</v>
      </c>
      <c r="G7" s="462" t="s">
        <v>8</v>
      </c>
      <c r="H7" s="439" t="s">
        <v>9</v>
      </c>
      <c r="I7" s="439" t="s">
        <v>10</v>
      </c>
      <c r="J7" s="419" t="s">
        <v>11</v>
      </c>
      <c r="K7" s="419" t="s">
        <v>12</v>
      </c>
      <c r="L7" s="419" t="s">
        <v>13</v>
      </c>
      <c r="M7" s="420" t="s">
        <v>14</v>
      </c>
      <c r="N7" s="420" t="s">
        <v>15</v>
      </c>
      <c r="O7" s="420" t="s">
        <v>16</v>
      </c>
      <c r="P7" s="473" t="s">
        <v>17</v>
      </c>
      <c r="Q7" s="422" t="s">
        <v>18</v>
      </c>
      <c r="R7" s="452" t="s">
        <v>19</v>
      </c>
      <c r="S7" s="467" t="s">
        <v>20</v>
      </c>
    </row>
    <row r="8" spans="1:19" customFormat="1" ht="18.75" hidden="1" x14ac:dyDescent="0.3">
      <c r="A8" s="350" t="s">
        <v>28</v>
      </c>
      <c r="B8" s="36">
        <v>44434</v>
      </c>
      <c r="C8" s="36"/>
      <c r="D8" s="36"/>
      <c r="E8" s="36"/>
      <c r="F8" s="36">
        <v>44475</v>
      </c>
      <c r="G8" s="356">
        <v>44494</v>
      </c>
      <c r="H8" s="37" t="s">
        <v>44</v>
      </c>
      <c r="I8" s="37" t="s">
        <v>45</v>
      </c>
      <c r="J8" s="60" t="s">
        <v>46</v>
      </c>
      <c r="K8" s="57" t="s">
        <v>47</v>
      </c>
      <c r="L8" s="523">
        <v>92752190</v>
      </c>
      <c r="M8" s="64">
        <v>44499</v>
      </c>
      <c r="N8" s="64">
        <v>44529</v>
      </c>
      <c r="O8" s="64">
        <v>44529</v>
      </c>
      <c r="P8" s="64"/>
      <c r="Q8" s="64"/>
      <c r="R8" s="445"/>
    </row>
    <row r="9" spans="1:19" customFormat="1" ht="18.75" hidden="1" x14ac:dyDescent="0.3">
      <c r="A9" s="368" t="s">
        <v>48</v>
      </c>
      <c r="B9" s="43">
        <v>44434</v>
      </c>
      <c r="C9" s="43"/>
      <c r="D9" s="43"/>
      <c r="E9" s="43"/>
      <c r="F9" s="43">
        <v>44464</v>
      </c>
      <c r="G9" s="355">
        <v>44486</v>
      </c>
      <c r="H9" s="44" t="s">
        <v>49</v>
      </c>
      <c r="I9" s="44" t="s">
        <v>50</v>
      </c>
      <c r="J9" s="61" t="s">
        <v>51</v>
      </c>
      <c r="K9" s="57" t="s">
        <v>47</v>
      </c>
      <c r="L9" s="523">
        <v>92748302</v>
      </c>
      <c r="M9" s="63">
        <v>44491</v>
      </c>
      <c r="N9" s="63">
        <v>44521</v>
      </c>
      <c r="O9" s="63">
        <v>44522</v>
      </c>
      <c r="P9" s="63"/>
      <c r="Q9" s="63"/>
      <c r="R9" s="446"/>
    </row>
    <row r="10" spans="1:19" customFormat="1" ht="18.75" hidden="1" x14ac:dyDescent="0.3">
      <c r="A10" s="350" t="s">
        <v>28</v>
      </c>
      <c r="B10" s="36">
        <v>44425</v>
      </c>
      <c r="C10" s="36"/>
      <c r="D10" s="36"/>
      <c r="E10" s="36"/>
      <c r="F10" s="36">
        <v>44475</v>
      </c>
      <c r="G10" s="356">
        <v>44492</v>
      </c>
      <c r="H10" s="37" t="s">
        <v>52</v>
      </c>
      <c r="I10" s="37" t="s">
        <v>53</v>
      </c>
      <c r="J10" s="60" t="s">
        <v>54</v>
      </c>
      <c r="K10" s="57" t="s">
        <v>55</v>
      </c>
      <c r="L10" s="523">
        <v>92744649</v>
      </c>
      <c r="M10" s="64">
        <v>44492</v>
      </c>
      <c r="N10" s="64">
        <v>44533</v>
      </c>
      <c r="O10" s="64">
        <v>44516</v>
      </c>
      <c r="P10" s="64"/>
      <c r="Q10" s="64"/>
      <c r="R10" s="445"/>
    </row>
    <row r="11" spans="1:19" customFormat="1" ht="18.75" hidden="1" x14ac:dyDescent="0.3">
      <c r="A11" s="350" t="s">
        <v>28</v>
      </c>
      <c r="B11" s="36">
        <v>44425</v>
      </c>
      <c r="C11" s="36"/>
      <c r="D11" s="36"/>
      <c r="E11" s="36"/>
      <c r="F11" s="36">
        <v>44475</v>
      </c>
      <c r="G11" s="356">
        <v>44508</v>
      </c>
      <c r="H11" s="37" t="s">
        <v>52</v>
      </c>
      <c r="I11" s="37" t="s">
        <v>56</v>
      </c>
      <c r="J11" s="60" t="s">
        <v>54</v>
      </c>
      <c r="K11" s="57" t="s">
        <v>55</v>
      </c>
      <c r="L11" s="523">
        <v>92753335</v>
      </c>
      <c r="M11" s="64">
        <v>44513</v>
      </c>
      <c r="N11" s="64">
        <v>44533</v>
      </c>
      <c r="O11" s="64">
        <v>44564</v>
      </c>
      <c r="P11" s="64"/>
      <c r="Q11" s="64"/>
      <c r="R11" s="445"/>
    </row>
    <row r="12" spans="1:19" customFormat="1" ht="18.75" hidden="1" x14ac:dyDescent="0.3">
      <c r="A12" s="350" t="s">
        <v>28</v>
      </c>
      <c r="B12" s="36">
        <v>44434</v>
      </c>
      <c r="C12" s="36"/>
      <c r="D12" s="36"/>
      <c r="E12" s="36"/>
      <c r="F12" s="36">
        <f>G12-20</f>
        <v>44494</v>
      </c>
      <c r="G12" s="356">
        <v>44514</v>
      </c>
      <c r="H12" s="37" t="s">
        <v>57</v>
      </c>
      <c r="I12" s="37" t="s">
        <v>58</v>
      </c>
      <c r="J12" s="60" t="s">
        <v>54</v>
      </c>
      <c r="K12" s="57" t="s">
        <v>55</v>
      </c>
      <c r="L12" s="523">
        <v>92763242</v>
      </c>
      <c r="M12" s="64">
        <v>44525</v>
      </c>
      <c r="N12" s="64">
        <v>44554</v>
      </c>
      <c r="O12" s="64">
        <v>44554</v>
      </c>
      <c r="P12" s="64"/>
      <c r="Q12" s="64"/>
      <c r="R12" s="445"/>
    </row>
    <row r="13" spans="1:19" customFormat="1" ht="18.75" hidden="1" x14ac:dyDescent="0.3">
      <c r="A13" s="368" t="s">
        <v>48</v>
      </c>
      <c r="B13" s="43">
        <v>44434</v>
      </c>
      <c r="C13" s="43"/>
      <c r="D13" s="43"/>
      <c r="E13" s="43"/>
      <c r="F13" s="43">
        <f>G13-21</f>
        <v>44486</v>
      </c>
      <c r="G13" s="355">
        <v>44507</v>
      </c>
      <c r="H13" s="44" t="s">
        <v>59</v>
      </c>
      <c r="I13" s="44" t="s">
        <v>60</v>
      </c>
      <c r="J13" s="61" t="s">
        <v>51</v>
      </c>
      <c r="K13" s="57" t="s">
        <v>55</v>
      </c>
      <c r="L13" s="523">
        <v>92758835</v>
      </c>
      <c r="M13" s="63">
        <v>44513</v>
      </c>
      <c r="N13" s="63">
        <v>44543</v>
      </c>
      <c r="O13" s="63">
        <v>44510</v>
      </c>
      <c r="P13" s="63"/>
      <c r="Q13" s="63"/>
      <c r="R13" s="446"/>
    </row>
    <row r="14" spans="1:19" customFormat="1" ht="18.75" hidden="1" x14ac:dyDescent="0.3">
      <c r="A14" s="350" t="s">
        <v>28</v>
      </c>
      <c r="B14" s="36">
        <v>44434</v>
      </c>
      <c r="C14" s="36"/>
      <c r="D14" s="36"/>
      <c r="E14" s="36"/>
      <c r="F14" s="36">
        <f>G14-20</f>
        <v>44498</v>
      </c>
      <c r="G14" s="69">
        <v>44518</v>
      </c>
      <c r="H14" s="37" t="s">
        <v>61</v>
      </c>
      <c r="I14" s="37" t="s">
        <v>62</v>
      </c>
      <c r="J14" s="60" t="s">
        <v>46</v>
      </c>
      <c r="K14" s="57" t="s">
        <v>55</v>
      </c>
      <c r="L14" s="523">
        <v>92761538</v>
      </c>
      <c r="M14" s="64">
        <v>44525</v>
      </c>
      <c r="N14" s="64">
        <v>44549</v>
      </c>
      <c r="O14" s="64"/>
      <c r="P14" s="64"/>
      <c r="Q14" s="64"/>
      <c r="R14" s="445"/>
    </row>
    <row r="15" spans="1:19" customFormat="1" ht="18.75" hidden="1" x14ac:dyDescent="0.3">
      <c r="A15" s="369" t="s">
        <v>28</v>
      </c>
      <c r="B15" s="351">
        <v>44434</v>
      </c>
      <c r="C15" s="351">
        <v>44533</v>
      </c>
      <c r="D15" s="351"/>
      <c r="E15" s="351"/>
      <c r="F15" s="69">
        <v>44540</v>
      </c>
      <c r="G15" s="69">
        <v>44572</v>
      </c>
      <c r="H15" s="37" t="s">
        <v>63</v>
      </c>
      <c r="I15" s="37" t="s">
        <v>64</v>
      </c>
      <c r="J15" s="60" t="s">
        <v>54</v>
      </c>
      <c r="K15" s="57" t="s">
        <v>55</v>
      </c>
      <c r="L15" s="523">
        <v>92781508</v>
      </c>
      <c r="M15" s="64">
        <v>44580</v>
      </c>
      <c r="N15" s="71">
        <f t="shared" ref="N15:N36" si="0">+C15+60</f>
        <v>44593</v>
      </c>
      <c r="O15" s="64">
        <v>44594</v>
      </c>
      <c r="P15" s="64"/>
      <c r="Q15" s="64"/>
      <c r="R15" s="445"/>
    </row>
    <row r="16" spans="1:19" customFormat="1" ht="18.75" hidden="1" x14ac:dyDescent="0.3">
      <c r="A16" s="370" t="s">
        <v>48</v>
      </c>
      <c r="B16" s="371">
        <v>44532</v>
      </c>
      <c r="C16" s="371">
        <v>44532</v>
      </c>
      <c r="D16" s="371"/>
      <c r="E16" s="371"/>
      <c r="F16" s="70">
        <v>44538</v>
      </c>
      <c r="G16" s="70">
        <v>44572</v>
      </c>
      <c r="H16" s="44" t="s">
        <v>65</v>
      </c>
      <c r="I16" s="44" t="s">
        <v>66</v>
      </c>
      <c r="J16" s="61" t="s">
        <v>51</v>
      </c>
      <c r="K16" s="57" t="s">
        <v>55</v>
      </c>
      <c r="L16" s="523">
        <v>92781106</v>
      </c>
      <c r="M16" s="63">
        <v>44575</v>
      </c>
      <c r="N16" s="71">
        <f t="shared" si="0"/>
        <v>44592</v>
      </c>
      <c r="O16" s="63">
        <v>44592</v>
      </c>
      <c r="P16" s="63"/>
      <c r="Q16" s="63"/>
      <c r="R16" s="446"/>
    </row>
    <row r="17" spans="1:18" customFormat="1" ht="18.75" hidden="1" x14ac:dyDescent="0.3">
      <c r="A17" s="369" t="s">
        <v>28</v>
      </c>
      <c r="B17" s="351">
        <v>44434</v>
      </c>
      <c r="C17" s="351">
        <v>44533</v>
      </c>
      <c r="D17" s="351"/>
      <c r="E17" s="351"/>
      <c r="F17" s="69">
        <v>44540</v>
      </c>
      <c r="G17" s="69">
        <v>44572</v>
      </c>
      <c r="H17" s="37" t="s">
        <v>67</v>
      </c>
      <c r="I17" s="37" t="s">
        <v>68</v>
      </c>
      <c r="J17" s="60" t="s">
        <v>46</v>
      </c>
      <c r="K17" s="57" t="s">
        <v>55</v>
      </c>
      <c r="L17" s="523">
        <v>92781453</v>
      </c>
      <c r="M17" s="64">
        <v>44582</v>
      </c>
      <c r="N17" s="71">
        <f t="shared" si="0"/>
        <v>44593</v>
      </c>
      <c r="O17" s="64">
        <v>44595</v>
      </c>
      <c r="P17" s="64"/>
      <c r="Q17" s="64"/>
      <c r="R17" s="445"/>
    </row>
    <row r="18" spans="1:18" customFormat="1" ht="18.75" hidden="1" x14ac:dyDescent="0.3">
      <c r="A18" s="370" t="s">
        <v>48</v>
      </c>
      <c r="B18" s="371">
        <v>44434</v>
      </c>
      <c r="C18" s="371">
        <v>44539</v>
      </c>
      <c r="D18" s="371"/>
      <c r="E18" s="371"/>
      <c r="F18" s="70">
        <v>44545</v>
      </c>
      <c r="G18" s="70">
        <v>44590</v>
      </c>
      <c r="H18" s="44" t="s">
        <v>69</v>
      </c>
      <c r="I18" s="44" t="s">
        <v>70</v>
      </c>
      <c r="J18" s="61" t="s">
        <v>51</v>
      </c>
      <c r="K18" s="59" t="s">
        <v>47</v>
      </c>
      <c r="L18" s="524">
        <v>92784317</v>
      </c>
      <c r="M18" s="63">
        <v>44595</v>
      </c>
      <c r="N18" s="71">
        <f t="shared" si="0"/>
        <v>44599</v>
      </c>
      <c r="O18" s="63">
        <v>44601</v>
      </c>
      <c r="P18" s="63"/>
      <c r="Q18" s="63"/>
      <c r="R18" s="446"/>
    </row>
    <row r="19" spans="1:18" customFormat="1" ht="18.75" hidden="1" x14ac:dyDescent="0.3">
      <c r="A19" s="372" t="s">
        <v>28</v>
      </c>
      <c r="B19" s="373">
        <v>44434</v>
      </c>
      <c r="C19" s="373">
        <v>44565</v>
      </c>
      <c r="D19" s="373"/>
      <c r="E19" s="373"/>
      <c r="F19" s="75">
        <v>44573</v>
      </c>
      <c r="G19" s="75">
        <v>44594</v>
      </c>
      <c r="H19" s="76" t="s">
        <v>71</v>
      </c>
      <c r="I19" s="76" t="s">
        <v>72</v>
      </c>
      <c r="J19" s="77" t="s">
        <v>54</v>
      </c>
      <c r="K19" s="66" t="s">
        <v>47</v>
      </c>
      <c r="L19" s="525">
        <v>92793939</v>
      </c>
      <c r="M19" s="78">
        <v>44603</v>
      </c>
      <c r="N19" s="79">
        <f t="shared" si="0"/>
        <v>44625</v>
      </c>
      <c r="O19" s="79">
        <v>44627</v>
      </c>
      <c r="P19" s="79"/>
      <c r="Q19" s="79"/>
      <c r="R19" s="447"/>
    </row>
    <row r="20" spans="1:18" customFormat="1" ht="18.75" hidden="1" x14ac:dyDescent="0.3">
      <c r="A20" s="369" t="s">
        <v>28</v>
      </c>
      <c r="B20" s="351">
        <v>44449</v>
      </c>
      <c r="C20" s="351"/>
      <c r="D20" s="351"/>
      <c r="E20" s="351"/>
      <c r="F20" s="69">
        <v>44482</v>
      </c>
      <c r="G20" s="69">
        <v>44508</v>
      </c>
      <c r="H20" s="37" t="s">
        <v>73</v>
      </c>
      <c r="I20" s="37" t="s">
        <v>74</v>
      </c>
      <c r="J20" s="60" t="s">
        <v>46</v>
      </c>
      <c r="K20" s="57" t="s">
        <v>55</v>
      </c>
      <c r="L20" s="523">
        <v>92753341</v>
      </c>
      <c r="M20" s="64">
        <v>44513</v>
      </c>
      <c r="N20" s="71">
        <f t="shared" si="0"/>
        <v>60</v>
      </c>
      <c r="O20" s="64">
        <v>44536</v>
      </c>
      <c r="P20" s="64"/>
      <c r="Q20" s="64"/>
      <c r="R20" s="445"/>
    </row>
    <row r="21" spans="1:18" customFormat="1" ht="18.75" hidden="1" x14ac:dyDescent="0.3">
      <c r="A21" s="372" t="s">
        <v>28</v>
      </c>
      <c r="B21" s="373">
        <v>44512</v>
      </c>
      <c r="C21" s="373">
        <v>44571</v>
      </c>
      <c r="D21" s="373"/>
      <c r="E21" s="373"/>
      <c r="F21" s="75">
        <v>44587</v>
      </c>
      <c r="G21" s="75">
        <v>44622</v>
      </c>
      <c r="H21" s="76" t="s">
        <v>75</v>
      </c>
      <c r="I21" s="76" t="s">
        <v>76</v>
      </c>
      <c r="J21" s="77" t="s">
        <v>54</v>
      </c>
      <c r="K21" s="66" t="s">
        <v>47</v>
      </c>
      <c r="L21" s="525">
        <v>92796168</v>
      </c>
      <c r="M21" s="78">
        <v>44630</v>
      </c>
      <c r="N21" s="79">
        <f t="shared" si="0"/>
        <v>44631</v>
      </c>
      <c r="O21" s="79">
        <v>44634</v>
      </c>
      <c r="P21" s="79"/>
      <c r="Q21" s="79"/>
      <c r="R21" s="447"/>
    </row>
    <row r="22" spans="1:18" customFormat="1" ht="18.75" hidden="1" x14ac:dyDescent="0.3">
      <c r="A22" s="369" t="s">
        <v>28</v>
      </c>
      <c r="B22" s="351">
        <v>44512</v>
      </c>
      <c r="C22" s="351">
        <v>44537</v>
      </c>
      <c r="D22" s="351"/>
      <c r="E22" s="351"/>
      <c r="F22" s="69">
        <v>44544</v>
      </c>
      <c r="G22" s="69">
        <v>44571</v>
      </c>
      <c r="H22" s="37" t="s">
        <v>77</v>
      </c>
      <c r="I22" s="37" t="s">
        <v>78</v>
      </c>
      <c r="J22" s="60" t="s">
        <v>46</v>
      </c>
      <c r="K22" s="57" t="s">
        <v>55</v>
      </c>
      <c r="L22" s="523">
        <v>92782952</v>
      </c>
      <c r="M22" s="64">
        <v>44579</v>
      </c>
      <c r="N22" s="71">
        <f t="shared" si="0"/>
        <v>44597</v>
      </c>
      <c r="O22" s="64">
        <v>44600</v>
      </c>
      <c r="P22" s="64"/>
      <c r="Q22" s="64"/>
      <c r="R22" s="445"/>
    </row>
    <row r="23" spans="1:18" customFormat="1" ht="18.75" hidden="1" x14ac:dyDescent="0.3">
      <c r="A23" s="372" t="s">
        <v>28</v>
      </c>
      <c r="B23" s="373">
        <v>44532</v>
      </c>
      <c r="C23" s="373">
        <v>44574</v>
      </c>
      <c r="D23" s="373"/>
      <c r="E23" s="373"/>
      <c r="F23" s="75">
        <v>44580</v>
      </c>
      <c r="G23" s="75">
        <v>44622</v>
      </c>
      <c r="H23" s="76" t="s">
        <v>79</v>
      </c>
      <c r="I23" s="76" t="s">
        <v>80</v>
      </c>
      <c r="J23" s="77" t="s">
        <v>54</v>
      </c>
      <c r="K23" s="66" t="s">
        <v>47</v>
      </c>
      <c r="L23" s="525">
        <v>92798101</v>
      </c>
      <c r="M23" s="78">
        <v>44632</v>
      </c>
      <c r="N23" s="79">
        <f t="shared" si="0"/>
        <v>44634</v>
      </c>
      <c r="O23" s="78">
        <v>44638</v>
      </c>
      <c r="P23" s="78"/>
      <c r="Q23" s="78"/>
      <c r="R23" s="448"/>
    </row>
    <row r="24" spans="1:18" customFormat="1" ht="18.75" hidden="1" x14ac:dyDescent="0.3">
      <c r="A24" s="369" t="s">
        <v>28</v>
      </c>
      <c r="B24" s="351">
        <v>44532</v>
      </c>
      <c r="C24" s="351">
        <v>44592</v>
      </c>
      <c r="D24" s="351"/>
      <c r="E24" s="351"/>
      <c r="F24" s="69">
        <v>44618</v>
      </c>
      <c r="G24" s="69">
        <v>44654</v>
      </c>
      <c r="H24" s="37" t="s">
        <v>81</v>
      </c>
      <c r="I24" s="37" t="s">
        <v>82</v>
      </c>
      <c r="J24" s="60" t="s">
        <v>54</v>
      </c>
      <c r="K24" s="59" t="s">
        <v>83</v>
      </c>
      <c r="L24" s="524">
        <v>92805982</v>
      </c>
      <c r="M24" s="64">
        <v>44664</v>
      </c>
      <c r="N24" s="71">
        <f t="shared" si="0"/>
        <v>44652</v>
      </c>
      <c r="O24" s="64">
        <v>44670</v>
      </c>
      <c r="P24" s="64"/>
      <c r="Q24" s="64"/>
      <c r="R24" s="445"/>
    </row>
    <row r="25" spans="1:18" customFormat="1" ht="18.75" hidden="1" x14ac:dyDescent="0.3">
      <c r="A25" s="372" t="s">
        <v>28</v>
      </c>
      <c r="B25" s="373">
        <v>44538</v>
      </c>
      <c r="C25" s="373">
        <v>44573</v>
      </c>
      <c r="D25" s="373"/>
      <c r="E25" s="373"/>
      <c r="F25" s="75">
        <v>44587</v>
      </c>
      <c r="G25" s="75">
        <v>44622</v>
      </c>
      <c r="H25" s="76" t="s">
        <v>84</v>
      </c>
      <c r="I25" s="76" t="s">
        <v>85</v>
      </c>
      <c r="J25" s="77" t="s">
        <v>86</v>
      </c>
      <c r="K25" s="66" t="s">
        <v>47</v>
      </c>
      <c r="L25" s="525">
        <v>92797446</v>
      </c>
      <c r="M25" s="78">
        <v>44632</v>
      </c>
      <c r="N25" s="71">
        <f t="shared" si="0"/>
        <v>44633</v>
      </c>
      <c r="O25" s="79">
        <v>44635</v>
      </c>
      <c r="P25" s="79"/>
      <c r="Q25" s="79"/>
      <c r="R25" s="447"/>
    </row>
    <row r="26" spans="1:18" customFormat="1" ht="18.75" hidden="1" x14ac:dyDescent="0.3">
      <c r="A26" s="369" t="s">
        <v>28</v>
      </c>
      <c r="B26" s="351">
        <v>44581</v>
      </c>
      <c r="C26" s="351">
        <v>44643</v>
      </c>
      <c r="D26" s="351"/>
      <c r="E26" s="351"/>
      <c r="F26" s="69">
        <v>44667</v>
      </c>
      <c r="G26" s="69">
        <v>44692</v>
      </c>
      <c r="H26" s="37" t="s">
        <v>87</v>
      </c>
      <c r="I26" s="37" t="s">
        <v>88</v>
      </c>
      <c r="J26" s="60" t="s">
        <v>89</v>
      </c>
      <c r="K26" s="59" t="s">
        <v>83</v>
      </c>
      <c r="L26" s="524">
        <v>92831908</v>
      </c>
      <c r="M26" s="279">
        <v>44698</v>
      </c>
      <c r="N26" s="279">
        <f t="shared" si="0"/>
        <v>44703</v>
      </c>
      <c r="O26" s="64">
        <v>44715</v>
      </c>
      <c r="P26" s="363"/>
      <c r="Q26" s="363"/>
      <c r="R26" s="449"/>
    </row>
    <row r="27" spans="1:18" customFormat="1" ht="18.75" hidden="1" x14ac:dyDescent="0.3">
      <c r="A27" s="369" t="s">
        <v>28</v>
      </c>
      <c r="B27" s="351">
        <v>44602</v>
      </c>
      <c r="C27" s="351">
        <v>44623</v>
      </c>
      <c r="D27" s="351"/>
      <c r="E27" s="351"/>
      <c r="F27" s="69">
        <v>44622</v>
      </c>
      <c r="G27" s="69">
        <v>44648</v>
      </c>
      <c r="H27" s="37" t="s">
        <v>90</v>
      </c>
      <c r="I27" s="37" t="s">
        <v>91</v>
      </c>
      <c r="J27" s="60" t="s">
        <v>54</v>
      </c>
      <c r="K27" s="59" t="s">
        <v>83</v>
      </c>
      <c r="L27" s="524">
        <v>92821407</v>
      </c>
      <c r="M27" s="279">
        <v>44656</v>
      </c>
      <c r="N27" s="279">
        <f t="shared" si="0"/>
        <v>44683</v>
      </c>
      <c r="O27" s="64">
        <v>44685</v>
      </c>
      <c r="P27" s="64"/>
      <c r="Q27" s="64"/>
      <c r="R27" s="445"/>
    </row>
    <row r="28" spans="1:18" customFormat="1" ht="35.25" hidden="1" x14ac:dyDescent="0.3">
      <c r="A28" s="369" t="s">
        <v>28</v>
      </c>
      <c r="B28" s="351">
        <v>44602</v>
      </c>
      <c r="C28" s="351">
        <v>44670</v>
      </c>
      <c r="D28" s="351"/>
      <c r="E28" s="351"/>
      <c r="F28" s="69">
        <v>44697</v>
      </c>
      <c r="G28" s="69">
        <v>44739</v>
      </c>
      <c r="H28" s="37" t="s">
        <v>92</v>
      </c>
      <c r="I28" s="37" t="s">
        <v>93</v>
      </c>
      <c r="J28" s="60" t="s">
        <v>54</v>
      </c>
      <c r="K28" s="59" t="s">
        <v>83</v>
      </c>
      <c r="L28" s="524">
        <v>92864149</v>
      </c>
      <c r="M28" s="279">
        <v>44747</v>
      </c>
      <c r="N28" s="279">
        <f t="shared" si="0"/>
        <v>44730</v>
      </c>
      <c r="O28" s="64">
        <v>44750</v>
      </c>
      <c r="P28" s="363" t="s">
        <v>94</v>
      </c>
      <c r="Q28" s="363"/>
      <c r="R28" s="449"/>
    </row>
    <row r="29" spans="1:18" customFormat="1" ht="35.25" hidden="1" x14ac:dyDescent="0.3">
      <c r="A29" s="369" t="s">
        <v>28</v>
      </c>
      <c r="B29" s="351">
        <v>44608</v>
      </c>
      <c r="C29" s="351">
        <v>44642</v>
      </c>
      <c r="D29" s="351"/>
      <c r="E29" s="351"/>
      <c r="F29" s="69">
        <v>44655</v>
      </c>
      <c r="G29" s="69">
        <v>44705</v>
      </c>
      <c r="H29" s="37" t="s">
        <v>95</v>
      </c>
      <c r="I29" s="37" t="s">
        <v>96</v>
      </c>
      <c r="J29" s="60" t="s">
        <v>89</v>
      </c>
      <c r="K29" s="59" t="s">
        <v>83</v>
      </c>
      <c r="L29" s="524">
        <v>92831295</v>
      </c>
      <c r="M29" s="279">
        <v>44712</v>
      </c>
      <c r="N29" s="279">
        <f t="shared" si="0"/>
        <v>44702</v>
      </c>
      <c r="O29" s="64"/>
      <c r="P29" s="363" t="s">
        <v>97</v>
      </c>
      <c r="Q29" s="363"/>
      <c r="R29" s="449"/>
    </row>
    <row r="30" spans="1:18" customFormat="1" ht="35.25" hidden="1" x14ac:dyDescent="0.3">
      <c r="A30" s="369" t="s">
        <v>28</v>
      </c>
      <c r="B30" s="351">
        <v>44616</v>
      </c>
      <c r="C30" s="351">
        <v>44671</v>
      </c>
      <c r="D30" s="351"/>
      <c r="E30" s="351"/>
      <c r="F30" s="69">
        <v>44697</v>
      </c>
      <c r="G30" s="69">
        <v>44739</v>
      </c>
      <c r="H30" s="37" t="s">
        <v>98</v>
      </c>
      <c r="I30" s="37" t="s">
        <v>99</v>
      </c>
      <c r="J30" s="60" t="s">
        <v>54</v>
      </c>
      <c r="K30" s="57" t="s">
        <v>47</v>
      </c>
      <c r="L30" s="524">
        <v>92845157</v>
      </c>
      <c r="M30" s="279">
        <v>44748</v>
      </c>
      <c r="N30" s="279">
        <f t="shared" si="0"/>
        <v>44731</v>
      </c>
      <c r="O30" s="64">
        <v>44761</v>
      </c>
      <c r="P30" s="363" t="s">
        <v>100</v>
      </c>
      <c r="Q30" s="363"/>
      <c r="R30" s="449"/>
    </row>
    <row r="31" spans="1:18" s="113" customFormat="1" ht="35.25" hidden="1" x14ac:dyDescent="0.3">
      <c r="A31" s="374"/>
      <c r="B31" s="375">
        <v>44624</v>
      </c>
      <c r="C31" s="375"/>
      <c r="D31" s="375"/>
      <c r="E31" s="375"/>
      <c r="F31" s="376">
        <v>44741</v>
      </c>
      <c r="G31" s="376">
        <v>44764</v>
      </c>
      <c r="H31" s="377" t="s">
        <v>101</v>
      </c>
      <c r="I31" s="377" t="s">
        <v>102</v>
      </c>
      <c r="J31" s="378" t="s">
        <v>103</v>
      </c>
      <c r="K31" s="57" t="s">
        <v>104</v>
      </c>
      <c r="L31" s="526"/>
      <c r="M31" s="279"/>
      <c r="N31" s="279">
        <f t="shared" si="0"/>
        <v>60</v>
      </c>
      <c r="O31" s="380"/>
      <c r="P31" s="363" t="s">
        <v>105</v>
      </c>
      <c r="Q31" s="363"/>
      <c r="R31" s="449"/>
    </row>
    <row r="32" spans="1:18" s="113" customFormat="1" ht="35.25" hidden="1" x14ac:dyDescent="0.3">
      <c r="A32" s="374"/>
      <c r="B32" s="375">
        <v>44624</v>
      </c>
      <c r="C32" s="375"/>
      <c r="D32" s="375"/>
      <c r="E32" s="375"/>
      <c r="F32" s="376">
        <v>44712</v>
      </c>
      <c r="G32" s="376">
        <v>44732</v>
      </c>
      <c r="H32" s="377" t="s">
        <v>106</v>
      </c>
      <c r="I32" s="377" t="s">
        <v>107</v>
      </c>
      <c r="J32" s="378" t="s">
        <v>103</v>
      </c>
      <c r="K32" s="57" t="s">
        <v>104</v>
      </c>
      <c r="L32" s="526"/>
      <c r="M32" s="279"/>
      <c r="N32" s="279">
        <f t="shared" si="0"/>
        <v>60</v>
      </c>
      <c r="O32" s="380"/>
      <c r="P32" s="363" t="s">
        <v>105</v>
      </c>
      <c r="Q32" s="363"/>
      <c r="R32" s="449"/>
    </row>
    <row r="33" spans="1:18" customFormat="1" ht="35.25" hidden="1" x14ac:dyDescent="0.3">
      <c r="A33" s="369" t="s">
        <v>28</v>
      </c>
      <c r="B33" s="351">
        <v>44624</v>
      </c>
      <c r="C33" s="351">
        <v>44694</v>
      </c>
      <c r="D33" s="351"/>
      <c r="E33" s="351"/>
      <c r="F33" s="69">
        <v>44701</v>
      </c>
      <c r="G33" s="69">
        <v>44757</v>
      </c>
      <c r="H33" s="37" t="s">
        <v>108</v>
      </c>
      <c r="I33" s="37" t="s">
        <v>109</v>
      </c>
      <c r="J33" s="60" t="s">
        <v>110</v>
      </c>
      <c r="K33" s="57" t="s">
        <v>47</v>
      </c>
      <c r="L33" s="524">
        <v>92855909</v>
      </c>
      <c r="M33" s="279">
        <v>44761</v>
      </c>
      <c r="N33" s="279">
        <f t="shared" si="0"/>
        <v>44754</v>
      </c>
      <c r="O33" s="64">
        <v>44785</v>
      </c>
      <c r="P33" s="363" t="s">
        <v>111</v>
      </c>
      <c r="Q33" s="363"/>
      <c r="R33" s="449"/>
    </row>
    <row r="34" spans="1:18" s="113" customFormat="1" ht="35.25" hidden="1" x14ac:dyDescent="0.3">
      <c r="A34" s="374"/>
      <c r="B34" s="375">
        <v>44631</v>
      </c>
      <c r="C34" s="375"/>
      <c r="D34" s="375"/>
      <c r="E34" s="375"/>
      <c r="F34" s="376">
        <v>44700</v>
      </c>
      <c r="G34" s="376">
        <v>44720</v>
      </c>
      <c r="H34" s="377" t="s">
        <v>112</v>
      </c>
      <c r="I34" s="377" t="s">
        <v>113</v>
      </c>
      <c r="J34" s="378" t="s">
        <v>54</v>
      </c>
      <c r="K34" s="379" t="s">
        <v>104</v>
      </c>
      <c r="L34" s="526"/>
      <c r="M34" s="279"/>
      <c r="N34" s="279">
        <f t="shared" si="0"/>
        <v>60</v>
      </c>
      <c r="O34" s="380"/>
      <c r="P34" s="363" t="s">
        <v>114</v>
      </c>
      <c r="Q34" s="363"/>
      <c r="R34" s="449"/>
    </row>
    <row r="35" spans="1:18" customFormat="1" ht="35.25" hidden="1" x14ac:dyDescent="0.3">
      <c r="A35" s="369" t="s">
        <v>28</v>
      </c>
      <c r="B35" s="351">
        <v>44721</v>
      </c>
      <c r="C35" s="351">
        <v>44741</v>
      </c>
      <c r="D35" s="351"/>
      <c r="E35" s="351"/>
      <c r="F35" s="69">
        <v>44751</v>
      </c>
      <c r="G35" s="69">
        <v>44775</v>
      </c>
      <c r="H35" s="37" t="s">
        <v>115</v>
      </c>
      <c r="I35" s="37" t="s">
        <v>116</v>
      </c>
      <c r="J35" s="60" t="s">
        <v>117</v>
      </c>
      <c r="K35" s="57" t="s">
        <v>47</v>
      </c>
      <c r="L35" s="524">
        <v>92880484</v>
      </c>
      <c r="M35" s="279">
        <v>44783</v>
      </c>
      <c r="N35" s="279">
        <f t="shared" si="0"/>
        <v>44801</v>
      </c>
      <c r="O35" s="64">
        <v>44802</v>
      </c>
      <c r="P35" s="363" t="s">
        <v>118</v>
      </c>
      <c r="Q35" s="363"/>
      <c r="R35" s="449"/>
    </row>
    <row r="36" spans="1:18" customFormat="1" ht="35.25" hidden="1" x14ac:dyDescent="0.3">
      <c r="A36" s="369" t="s">
        <v>28</v>
      </c>
      <c r="B36" s="351">
        <v>44739</v>
      </c>
      <c r="C36" s="351">
        <v>44763</v>
      </c>
      <c r="D36" s="351"/>
      <c r="E36" s="351"/>
      <c r="F36" s="69">
        <v>44771</v>
      </c>
      <c r="G36" s="69">
        <v>44807</v>
      </c>
      <c r="H36" s="37" t="s">
        <v>119</v>
      </c>
      <c r="I36" s="37" t="s">
        <v>120</v>
      </c>
      <c r="J36" s="60" t="s">
        <v>89</v>
      </c>
      <c r="K36" s="66" t="s">
        <v>47</v>
      </c>
      <c r="L36" s="524">
        <v>92892125</v>
      </c>
      <c r="M36" s="279">
        <v>44813</v>
      </c>
      <c r="N36" s="279">
        <f t="shared" si="0"/>
        <v>44823</v>
      </c>
      <c r="O36" s="64">
        <v>44823</v>
      </c>
      <c r="P36" s="363" t="s">
        <v>121</v>
      </c>
      <c r="Q36" s="363"/>
      <c r="R36" s="449"/>
    </row>
    <row r="37" spans="1:18" customFormat="1" ht="35.25" hidden="1" x14ac:dyDescent="0.3">
      <c r="A37" s="369" t="s">
        <v>48</v>
      </c>
      <c r="B37" s="351">
        <v>44750</v>
      </c>
      <c r="C37" s="351"/>
      <c r="D37" s="351"/>
      <c r="E37" s="351"/>
      <c r="F37" s="69"/>
      <c r="G37" s="69"/>
      <c r="H37" s="37" t="s">
        <v>122</v>
      </c>
      <c r="I37" s="37" t="s">
        <v>123</v>
      </c>
      <c r="J37" s="60" t="s">
        <v>124</v>
      </c>
      <c r="K37" s="381" t="s">
        <v>104</v>
      </c>
      <c r="L37" s="524"/>
      <c r="M37" s="279"/>
      <c r="N37" s="279"/>
      <c r="O37" s="64"/>
      <c r="P37" s="363" t="s">
        <v>111</v>
      </c>
      <c r="Q37" s="363"/>
      <c r="R37" s="449"/>
    </row>
    <row r="38" spans="1:18" customFormat="1" ht="35.25" hidden="1" x14ac:dyDescent="0.3">
      <c r="A38" s="369" t="s">
        <v>28</v>
      </c>
      <c r="B38" s="351">
        <v>44768</v>
      </c>
      <c r="C38" s="351">
        <v>44809</v>
      </c>
      <c r="D38" s="351"/>
      <c r="E38" s="351"/>
      <c r="F38" s="69">
        <v>44818</v>
      </c>
      <c r="G38" s="69">
        <v>44835</v>
      </c>
      <c r="H38" s="37" t="s">
        <v>125</v>
      </c>
      <c r="I38" s="37" t="s">
        <v>126</v>
      </c>
      <c r="J38" s="60" t="s">
        <v>110</v>
      </c>
      <c r="K38" s="59" t="s">
        <v>83</v>
      </c>
      <c r="L38" s="524">
        <v>92914997</v>
      </c>
      <c r="M38" s="279">
        <v>44840</v>
      </c>
      <c r="N38" s="308">
        <f t="shared" ref="N38:N48" si="1">+C38+60</f>
        <v>44869</v>
      </c>
      <c r="O38" s="64">
        <v>44869</v>
      </c>
      <c r="P38" s="363" t="s">
        <v>127</v>
      </c>
      <c r="Q38" s="363"/>
      <c r="R38" s="449"/>
    </row>
    <row r="39" spans="1:18" customFormat="1" ht="35.25" hidden="1" x14ac:dyDescent="0.3">
      <c r="A39" s="369" t="s">
        <v>21</v>
      </c>
      <c r="B39" s="351">
        <v>44770</v>
      </c>
      <c r="C39" s="351">
        <v>44826</v>
      </c>
      <c r="D39" s="353">
        <v>37649.07</v>
      </c>
      <c r="E39" s="353"/>
      <c r="F39" s="75">
        <v>44830</v>
      </c>
      <c r="G39" s="69">
        <v>44857</v>
      </c>
      <c r="H39" s="37" t="s">
        <v>128</v>
      </c>
      <c r="I39" s="37" t="s">
        <v>129</v>
      </c>
      <c r="J39" s="60" t="s">
        <v>130</v>
      </c>
      <c r="K39" s="66" t="s">
        <v>47</v>
      </c>
      <c r="L39" s="524">
        <v>92923642</v>
      </c>
      <c r="M39" s="279">
        <v>44863</v>
      </c>
      <c r="N39" s="308">
        <f t="shared" si="1"/>
        <v>44886</v>
      </c>
      <c r="O39" s="64">
        <v>44887</v>
      </c>
      <c r="P39" s="363" t="s">
        <v>131</v>
      </c>
      <c r="Q39" s="363"/>
      <c r="R39" s="449"/>
    </row>
    <row r="40" spans="1:18" customFormat="1" ht="35.25" hidden="1" x14ac:dyDescent="0.3">
      <c r="A40" s="369" t="s">
        <v>28</v>
      </c>
      <c r="B40" s="351">
        <v>44778</v>
      </c>
      <c r="C40" s="351">
        <v>44829</v>
      </c>
      <c r="D40" s="353">
        <v>32065.200000000001</v>
      </c>
      <c r="E40" s="353"/>
      <c r="F40" s="75">
        <v>44830</v>
      </c>
      <c r="G40" s="69">
        <v>44857</v>
      </c>
      <c r="H40" s="37" t="s">
        <v>132</v>
      </c>
      <c r="I40" s="37" t="s">
        <v>133</v>
      </c>
      <c r="J40" s="60" t="s">
        <v>110</v>
      </c>
      <c r="K40" s="66" t="s">
        <v>47</v>
      </c>
      <c r="L40" s="524">
        <v>92925081</v>
      </c>
      <c r="M40" s="279">
        <v>44867</v>
      </c>
      <c r="N40" s="308">
        <f t="shared" si="1"/>
        <v>44889</v>
      </c>
      <c r="O40" s="64">
        <v>44890</v>
      </c>
      <c r="P40" s="363" t="s">
        <v>134</v>
      </c>
      <c r="Q40" s="363"/>
      <c r="R40" s="449"/>
    </row>
    <row r="41" spans="1:18" customFormat="1" ht="35.25" hidden="1" x14ac:dyDescent="0.3">
      <c r="A41" s="369" t="s">
        <v>28</v>
      </c>
      <c r="B41" s="351">
        <v>44805</v>
      </c>
      <c r="C41" s="351">
        <v>44848</v>
      </c>
      <c r="D41" s="353">
        <v>35675.4</v>
      </c>
      <c r="E41" s="353"/>
      <c r="F41" s="75">
        <v>44856</v>
      </c>
      <c r="G41" s="69">
        <v>44890</v>
      </c>
      <c r="H41" s="37" t="s">
        <v>135</v>
      </c>
      <c r="I41" s="37" t="s">
        <v>136</v>
      </c>
      <c r="J41" s="60" t="s">
        <v>89</v>
      </c>
      <c r="K41" s="59" t="s">
        <v>83</v>
      </c>
      <c r="L41" s="524">
        <v>92935141</v>
      </c>
      <c r="M41" s="279">
        <v>44901</v>
      </c>
      <c r="N41" s="308">
        <f t="shared" si="1"/>
        <v>44908</v>
      </c>
      <c r="O41" s="64">
        <v>44909</v>
      </c>
      <c r="P41" s="363" t="s">
        <v>134</v>
      </c>
      <c r="Q41" s="363"/>
      <c r="R41" s="449"/>
    </row>
    <row r="42" spans="1:18" customFormat="1" ht="35.25" hidden="1" x14ac:dyDescent="0.3">
      <c r="A42" s="369" t="s">
        <v>28</v>
      </c>
      <c r="B42" s="351">
        <v>44805</v>
      </c>
      <c r="C42" s="351">
        <v>44861</v>
      </c>
      <c r="D42" s="353">
        <v>36052.44</v>
      </c>
      <c r="E42" s="353"/>
      <c r="F42" s="75">
        <v>44868</v>
      </c>
      <c r="G42" s="69">
        <v>44893</v>
      </c>
      <c r="H42" s="37" t="s">
        <v>137</v>
      </c>
      <c r="I42" s="37" t="s">
        <v>138</v>
      </c>
      <c r="J42" s="60" t="s">
        <v>110</v>
      </c>
      <c r="K42" s="66" t="s">
        <v>47</v>
      </c>
      <c r="L42" s="524">
        <v>92941211</v>
      </c>
      <c r="M42" s="279">
        <v>44905</v>
      </c>
      <c r="N42" s="308">
        <f t="shared" si="1"/>
        <v>44921</v>
      </c>
      <c r="O42" s="64">
        <v>44921</v>
      </c>
      <c r="P42" s="363" t="s">
        <v>139</v>
      </c>
      <c r="Q42" s="363"/>
      <c r="R42" s="449"/>
    </row>
    <row r="43" spans="1:18" customFormat="1" ht="18.75" hidden="1" x14ac:dyDescent="0.3">
      <c r="A43" s="369" t="s">
        <v>28</v>
      </c>
      <c r="B43" s="351">
        <v>44894</v>
      </c>
      <c r="C43" s="351">
        <v>44915</v>
      </c>
      <c r="D43" s="353">
        <v>35327.85</v>
      </c>
      <c r="E43" s="353"/>
      <c r="F43" s="75">
        <v>44925</v>
      </c>
      <c r="G43" s="69">
        <v>44941</v>
      </c>
      <c r="H43" s="37" t="s">
        <v>140</v>
      </c>
      <c r="I43" s="37" t="s">
        <v>141</v>
      </c>
      <c r="J43" s="60" t="s">
        <v>142</v>
      </c>
      <c r="K43" s="66" t="s">
        <v>47</v>
      </c>
      <c r="L43" s="524">
        <v>92968049</v>
      </c>
      <c r="M43" s="279">
        <v>44946</v>
      </c>
      <c r="N43" s="308">
        <f t="shared" si="1"/>
        <v>44975</v>
      </c>
      <c r="O43" s="64">
        <v>44974</v>
      </c>
      <c r="P43" s="364" t="s">
        <v>143</v>
      </c>
      <c r="Q43" s="364"/>
      <c r="R43" s="450"/>
    </row>
    <row r="44" spans="1:18" customFormat="1" ht="18.75" hidden="1" x14ac:dyDescent="0.3">
      <c r="A44" s="369" t="s">
        <v>28</v>
      </c>
      <c r="B44" s="351">
        <v>44902</v>
      </c>
      <c r="C44" s="351">
        <v>44940</v>
      </c>
      <c r="D44" s="353">
        <v>38884.620000000003</v>
      </c>
      <c r="E44" s="353"/>
      <c r="F44" s="75">
        <v>44945</v>
      </c>
      <c r="G44" s="69">
        <v>44971</v>
      </c>
      <c r="H44" s="37" t="s">
        <v>144</v>
      </c>
      <c r="I44" s="37" t="s">
        <v>145</v>
      </c>
      <c r="J44" s="60" t="s">
        <v>146</v>
      </c>
      <c r="K44" s="66" t="s">
        <v>47</v>
      </c>
      <c r="L44" s="524">
        <v>92978106</v>
      </c>
      <c r="M44" s="279">
        <v>44978</v>
      </c>
      <c r="N44" s="308">
        <f t="shared" si="1"/>
        <v>45000</v>
      </c>
      <c r="O44" s="382" t="s">
        <v>143</v>
      </c>
      <c r="P44" s="363"/>
      <c r="Q44" s="363"/>
      <c r="R44" s="449"/>
    </row>
    <row r="45" spans="1:18" customFormat="1" ht="18.75" hidden="1" x14ac:dyDescent="0.3">
      <c r="A45" s="369" t="s">
        <v>28</v>
      </c>
      <c r="B45" s="351">
        <v>44945</v>
      </c>
      <c r="C45" s="351">
        <v>44967</v>
      </c>
      <c r="D45" s="353">
        <v>38112.239999999998</v>
      </c>
      <c r="E45" s="353"/>
      <c r="F45" s="75">
        <v>44974</v>
      </c>
      <c r="G45" s="69">
        <v>45000</v>
      </c>
      <c r="H45" s="37" t="s">
        <v>147</v>
      </c>
      <c r="I45" s="37" t="s">
        <v>148</v>
      </c>
      <c r="J45" s="60" t="s">
        <v>149</v>
      </c>
      <c r="K45" s="59" t="s">
        <v>83</v>
      </c>
      <c r="L45" s="524">
        <v>92991382</v>
      </c>
      <c r="M45" s="279">
        <v>45003</v>
      </c>
      <c r="N45" s="308">
        <f t="shared" si="1"/>
        <v>45027</v>
      </c>
      <c r="O45" s="64">
        <v>45027</v>
      </c>
      <c r="P45" s="363"/>
      <c r="Q45" s="363"/>
      <c r="R45" s="449"/>
    </row>
    <row r="46" spans="1:18" customFormat="1" ht="18.75" hidden="1" x14ac:dyDescent="0.3">
      <c r="A46" s="369" t="s">
        <v>28</v>
      </c>
      <c r="B46" s="351">
        <v>44971</v>
      </c>
      <c r="C46" s="351">
        <v>44998</v>
      </c>
      <c r="D46" s="353">
        <v>37205.760000000002</v>
      </c>
      <c r="E46" s="353"/>
      <c r="F46" s="75">
        <v>45001</v>
      </c>
      <c r="G46" s="69">
        <v>45038</v>
      </c>
      <c r="H46" s="37" t="s">
        <v>150</v>
      </c>
      <c r="I46" s="37" t="s">
        <v>151</v>
      </c>
      <c r="J46" s="60" t="s">
        <v>149</v>
      </c>
      <c r="K46" s="66" t="s">
        <v>47</v>
      </c>
      <c r="L46" s="524">
        <v>93006128</v>
      </c>
      <c r="M46" s="279">
        <v>45043</v>
      </c>
      <c r="N46" s="308">
        <f t="shared" si="1"/>
        <v>45058</v>
      </c>
      <c r="O46" s="64">
        <v>45061</v>
      </c>
      <c r="P46" s="363"/>
      <c r="Q46" s="363"/>
      <c r="R46" s="449"/>
    </row>
    <row r="47" spans="1:18" customFormat="1" ht="18.75" hidden="1" x14ac:dyDescent="0.3">
      <c r="A47" s="369" t="s">
        <v>21</v>
      </c>
      <c r="B47" s="351">
        <v>44991</v>
      </c>
      <c r="C47" s="351">
        <v>45024</v>
      </c>
      <c r="D47" s="353">
        <v>40010.160000000003</v>
      </c>
      <c r="E47" s="353"/>
      <c r="F47" s="75">
        <v>45035</v>
      </c>
      <c r="G47" s="69">
        <v>45053</v>
      </c>
      <c r="H47" s="37" t="s">
        <v>152</v>
      </c>
      <c r="I47" s="37" t="s">
        <v>153</v>
      </c>
      <c r="J47" s="60" t="s">
        <v>154</v>
      </c>
      <c r="K47" s="66" t="s">
        <v>47</v>
      </c>
      <c r="L47" s="524">
        <v>93020316</v>
      </c>
      <c r="M47" s="279">
        <v>45058</v>
      </c>
      <c r="N47" s="308">
        <f t="shared" si="1"/>
        <v>45084</v>
      </c>
      <c r="O47" s="64">
        <v>45084</v>
      </c>
      <c r="P47" s="363"/>
      <c r="Q47" s="363"/>
      <c r="R47" s="449"/>
    </row>
    <row r="48" spans="1:18" customFormat="1" ht="18.75" hidden="1" x14ac:dyDescent="0.3">
      <c r="A48" s="369" t="s">
        <v>28</v>
      </c>
      <c r="B48" s="351">
        <v>45002</v>
      </c>
      <c r="C48" s="351">
        <v>45023</v>
      </c>
      <c r="D48" s="353">
        <v>36238.32</v>
      </c>
      <c r="E48" s="353"/>
      <c r="F48" s="75">
        <v>45035</v>
      </c>
      <c r="G48" s="69">
        <v>45054</v>
      </c>
      <c r="H48" s="37" t="s">
        <v>155</v>
      </c>
      <c r="I48" s="37" t="s">
        <v>156</v>
      </c>
      <c r="J48" s="60" t="s">
        <v>149</v>
      </c>
      <c r="K48" s="66" t="s">
        <v>47</v>
      </c>
      <c r="L48" s="524">
        <v>93020314</v>
      </c>
      <c r="M48" s="279">
        <v>45059</v>
      </c>
      <c r="N48" s="308">
        <f t="shared" si="1"/>
        <v>45083</v>
      </c>
      <c r="O48" s="64">
        <v>45083</v>
      </c>
      <c r="P48" s="363"/>
      <c r="Q48" s="363"/>
      <c r="R48" s="449"/>
    </row>
    <row r="49" spans="1:18" customFormat="1" ht="18.75" hidden="1" x14ac:dyDescent="0.3">
      <c r="A49" s="369" t="s">
        <v>21</v>
      </c>
      <c r="B49" s="351">
        <v>45014</v>
      </c>
      <c r="C49" s="352"/>
      <c r="D49" s="353"/>
      <c r="E49" s="353"/>
      <c r="F49" s="75"/>
      <c r="G49" s="69"/>
      <c r="H49" s="37" t="s">
        <v>157</v>
      </c>
      <c r="I49" s="37" t="s">
        <v>158</v>
      </c>
      <c r="J49" s="60" t="s">
        <v>154</v>
      </c>
      <c r="K49" s="379" t="s">
        <v>104</v>
      </c>
      <c r="L49" s="524"/>
      <c r="M49" s="279"/>
      <c r="N49" s="313"/>
      <c r="O49" s="64"/>
      <c r="P49" s="363"/>
      <c r="Q49" s="363"/>
      <c r="R49" s="449"/>
    </row>
    <row r="50" spans="1:18" customFormat="1" ht="18.75" hidden="1" x14ac:dyDescent="0.3">
      <c r="A50" s="369" t="s">
        <v>28</v>
      </c>
      <c r="B50" s="351">
        <v>45016</v>
      </c>
      <c r="C50" s="351">
        <v>45037</v>
      </c>
      <c r="D50" s="353">
        <v>35873.279999999999</v>
      </c>
      <c r="E50" s="353"/>
      <c r="F50" s="75">
        <v>45044</v>
      </c>
      <c r="G50" s="69">
        <v>45065</v>
      </c>
      <c r="H50" s="37" t="s">
        <v>159</v>
      </c>
      <c r="I50" s="37" t="s">
        <v>160</v>
      </c>
      <c r="J50" s="60" t="s">
        <v>161</v>
      </c>
      <c r="K50" s="66" t="s">
        <v>47</v>
      </c>
      <c r="L50" s="524">
        <v>93026206</v>
      </c>
      <c r="M50" s="279">
        <v>45070</v>
      </c>
      <c r="N50" s="308">
        <f>+C50+60</f>
        <v>45097</v>
      </c>
      <c r="O50" s="64">
        <v>45097</v>
      </c>
      <c r="P50" s="363"/>
      <c r="Q50" s="363"/>
      <c r="R50" s="449"/>
    </row>
    <row r="51" spans="1:18" customFormat="1" ht="18.75" hidden="1" x14ac:dyDescent="0.3">
      <c r="A51" s="369" t="s">
        <v>48</v>
      </c>
      <c r="B51" s="351">
        <v>45037</v>
      </c>
      <c r="C51" s="352"/>
      <c r="D51" s="353"/>
      <c r="E51" s="353"/>
      <c r="F51" s="75"/>
      <c r="G51" s="69"/>
      <c r="H51" s="37" t="s">
        <v>162</v>
      </c>
      <c r="I51" s="37" t="s">
        <v>163</v>
      </c>
      <c r="J51" s="60" t="s">
        <v>164</v>
      </c>
      <c r="K51" s="379" t="s">
        <v>104</v>
      </c>
      <c r="L51" s="524"/>
      <c r="M51" s="279"/>
      <c r="N51" s="313"/>
      <c r="O51" s="64"/>
      <c r="P51" s="363"/>
      <c r="Q51" s="363"/>
      <c r="R51" s="449"/>
    </row>
    <row r="52" spans="1:18" customFormat="1" ht="18.75" hidden="1" x14ac:dyDescent="0.3">
      <c r="A52" s="369" t="s">
        <v>28</v>
      </c>
      <c r="B52" s="351">
        <v>45041</v>
      </c>
      <c r="C52" s="351">
        <v>45059</v>
      </c>
      <c r="D52" s="353">
        <v>36597</v>
      </c>
      <c r="E52" s="353"/>
      <c r="F52" s="75">
        <v>45070</v>
      </c>
      <c r="G52" s="69">
        <v>45093</v>
      </c>
      <c r="H52" s="37" t="s">
        <v>165</v>
      </c>
      <c r="I52" s="37" t="s">
        <v>166</v>
      </c>
      <c r="J52" s="60" t="s">
        <v>167</v>
      </c>
      <c r="K52" s="66" t="s">
        <v>47</v>
      </c>
      <c r="L52" s="524">
        <v>93037343</v>
      </c>
      <c r="M52" s="279">
        <v>45097</v>
      </c>
      <c r="N52" s="308">
        <f t="shared" ref="N52:N83" si="2">+C52+60</f>
        <v>45119</v>
      </c>
      <c r="O52" s="64">
        <v>45120</v>
      </c>
      <c r="P52" s="363"/>
      <c r="Q52" s="363"/>
      <c r="R52" s="449"/>
    </row>
    <row r="53" spans="1:18" customFormat="1" ht="18.75" hidden="1" x14ac:dyDescent="0.3">
      <c r="A53" s="369" t="s">
        <v>28</v>
      </c>
      <c r="B53" s="351">
        <v>45064</v>
      </c>
      <c r="C53" s="351">
        <v>45092</v>
      </c>
      <c r="D53" s="353">
        <v>36667.32</v>
      </c>
      <c r="E53" s="353"/>
      <c r="F53" s="75">
        <v>45093</v>
      </c>
      <c r="G53" s="69">
        <v>45122</v>
      </c>
      <c r="H53" s="37" t="s">
        <v>168</v>
      </c>
      <c r="I53" s="37" t="s">
        <v>169</v>
      </c>
      <c r="J53" s="60" t="s">
        <v>146</v>
      </c>
      <c r="K53" s="59" t="s">
        <v>83</v>
      </c>
      <c r="L53" s="524">
        <v>93053708</v>
      </c>
      <c r="M53" s="279">
        <v>45129</v>
      </c>
      <c r="N53" s="308">
        <f t="shared" si="2"/>
        <v>45152</v>
      </c>
      <c r="O53" s="64">
        <v>45152</v>
      </c>
      <c r="P53" s="363"/>
      <c r="Q53" s="363"/>
      <c r="R53" s="449"/>
    </row>
    <row r="54" spans="1:18" customFormat="1" ht="18.75" hidden="1" x14ac:dyDescent="0.3">
      <c r="A54" s="350" t="s">
        <v>28</v>
      </c>
      <c r="B54" s="351">
        <v>45104</v>
      </c>
      <c r="C54" s="351">
        <v>45121</v>
      </c>
      <c r="D54" s="353">
        <v>36928.080000000002</v>
      </c>
      <c r="E54" s="353"/>
      <c r="F54" s="75">
        <v>45128</v>
      </c>
      <c r="G54" s="69">
        <v>45147</v>
      </c>
      <c r="H54" s="37" t="s">
        <v>170</v>
      </c>
      <c r="I54" s="37" t="s">
        <v>171</v>
      </c>
      <c r="J54" s="60" t="s">
        <v>146</v>
      </c>
      <c r="K54" s="66" t="s">
        <v>47</v>
      </c>
      <c r="L54" s="524">
        <v>93069006</v>
      </c>
      <c r="M54" s="279">
        <v>45156</v>
      </c>
      <c r="N54" s="308">
        <f t="shared" si="2"/>
        <v>45181</v>
      </c>
      <c r="O54" s="64">
        <v>45181</v>
      </c>
      <c r="P54" s="363"/>
      <c r="Q54" s="363"/>
      <c r="R54" s="449"/>
    </row>
    <row r="55" spans="1:18" customFormat="1" ht="18.75" hidden="1" x14ac:dyDescent="0.3">
      <c r="A55" s="350" t="s">
        <v>28</v>
      </c>
      <c r="B55" s="351">
        <v>45163</v>
      </c>
      <c r="C55" s="351">
        <v>45180</v>
      </c>
      <c r="D55" s="353">
        <v>37271.519999999997</v>
      </c>
      <c r="E55" s="353"/>
      <c r="F55" s="75">
        <v>45183</v>
      </c>
      <c r="G55" s="69">
        <v>45209</v>
      </c>
      <c r="H55" s="37" t="s">
        <v>172</v>
      </c>
      <c r="I55" s="37" t="s">
        <v>173</v>
      </c>
      <c r="J55" s="60" t="s">
        <v>146</v>
      </c>
      <c r="K55" s="66" t="s">
        <v>47</v>
      </c>
      <c r="L55" s="524">
        <v>93098660</v>
      </c>
      <c r="M55" s="279">
        <v>45213</v>
      </c>
      <c r="N55" s="308">
        <f t="shared" si="2"/>
        <v>45240</v>
      </c>
      <c r="O55" s="64">
        <v>45240</v>
      </c>
      <c r="P55" s="363"/>
      <c r="Q55" s="363"/>
      <c r="R55" s="449"/>
    </row>
    <row r="56" spans="1:18" customFormat="1" ht="18.75" hidden="1" x14ac:dyDescent="0.3">
      <c r="A56" s="350" t="s">
        <v>21</v>
      </c>
      <c r="B56" s="351">
        <v>45198</v>
      </c>
      <c r="C56" s="351">
        <v>45226</v>
      </c>
      <c r="D56" s="353">
        <v>33349.230000000003</v>
      </c>
      <c r="E56" s="353"/>
      <c r="F56" s="75">
        <v>45233</v>
      </c>
      <c r="G56" s="69">
        <v>45254</v>
      </c>
      <c r="H56" s="37" t="s">
        <v>174</v>
      </c>
      <c r="I56" s="37" t="s">
        <v>175</v>
      </c>
      <c r="J56" s="60" t="s">
        <v>176</v>
      </c>
      <c r="K56" s="66" t="s">
        <v>47</v>
      </c>
      <c r="L56" s="524">
        <v>93122445</v>
      </c>
      <c r="M56" s="279">
        <v>45261</v>
      </c>
      <c r="N56" s="308">
        <f t="shared" si="2"/>
        <v>45286</v>
      </c>
      <c r="O56" s="64">
        <v>45282</v>
      </c>
      <c r="P56" s="363"/>
      <c r="Q56" s="363"/>
      <c r="R56" s="449"/>
    </row>
    <row r="57" spans="1:18" customFormat="1" ht="18.75" hidden="1" x14ac:dyDescent="0.3">
      <c r="A57" s="350" t="s">
        <v>21</v>
      </c>
      <c r="B57" s="351">
        <v>45215</v>
      </c>
      <c r="C57" s="351">
        <v>45227</v>
      </c>
      <c r="D57" s="353">
        <v>29473.919999999998</v>
      </c>
      <c r="E57" s="353"/>
      <c r="F57" s="75">
        <v>45233</v>
      </c>
      <c r="G57" s="69">
        <v>45254</v>
      </c>
      <c r="H57" s="37" t="s">
        <v>177</v>
      </c>
      <c r="I57" s="37" t="s">
        <v>178</v>
      </c>
      <c r="J57" s="60" t="s">
        <v>176</v>
      </c>
      <c r="K57" s="66" t="s">
        <v>47</v>
      </c>
      <c r="L57" s="524">
        <v>93123048</v>
      </c>
      <c r="M57" s="279">
        <v>45261</v>
      </c>
      <c r="N57" s="308">
        <f t="shared" si="2"/>
        <v>45287</v>
      </c>
      <c r="O57" s="64">
        <v>45287</v>
      </c>
      <c r="P57" s="363"/>
      <c r="Q57" s="363"/>
      <c r="R57" s="449"/>
    </row>
    <row r="58" spans="1:18" customFormat="1" ht="21" hidden="1" x14ac:dyDescent="0.35">
      <c r="A58" s="350" t="s">
        <v>48</v>
      </c>
      <c r="B58" s="351">
        <v>45217</v>
      </c>
      <c r="C58" s="351">
        <v>45238</v>
      </c>
      <c r="D58" s="353">
        <v>35055</v>
      </c>
      <c r="E58" s="405">
        <v>18.626000000000001</v>
      </c>
      <c r="F58" s="75">
        <v>45241</v>
      </c>
      <c r="G58" s="69">
        <v>45308</v>
      </c>
      <c r="H58" s="37" t="s">
        <v>179</v>
      </c>
      <c r="I58" s="37" t="s">
        <v>180</v>
      </c>
      <c r="J58" s="60" t="s">
        <v>181</v>
      </c>
      <c r="K58" s="66" t="s">
        <v>47</v>
      </c>
      <c r="L58" s="524">
        <v>93127835</v>
      </c>
      <c r="M58" s="279">
        <v>45314</v>
      </c>
      <c r="N58" s="308">
        <f t="shared" si="2"/>
        <v>45298</v>
      </c>
      <c r="O58" s="64">
        <v>45295</v>
      </c>
      <c r="P58" s="354">
        <v>22500</v>
      </c>
      <c r="Q58" s="354" t="s">
        <v>182</v>
      </c>
      <c r="R58" s="451"/>
    </row>
    <row r="59" spans="1:18" customFormat="1" ht="18.75" hidden="1" x14ac:dyDescent="0.3">
      <c r="A59" s="350" t="s">
        <v>21</v>
      </c>
      <c r="B59" s="351">
        <v>45226</v>
      </c>
      <c r="C59" s="351">
        <v>45250</v>
      </c>
      <c r="D59" s="353">
        <v>33645.120000000003</v>
      </c>
      <c r="E59" s="354"/>
      <c r="F59" s="75">
        <v>45254</v>
      </c>
      <c r="G59" s="69">
        <v>45275</v>
      </c>
      <c r="H59" s="37" t="s">
        <v>183</v>
      </c>
      <c r="I59" s="37" t="s">
        <v>184</v>
      </c>
      <c r="J59" s="60" t="s">
        <v>185</v>
      </c>
      <c r="K59" s="66" t="s">
        <v>47</v>
      </c>
      <c r="L59" s="524">
        <v>93133564</v>
      </c>
      <c r="M59" s="279">
        <v>45287</v>
      </c>
      <c r="N59" s="308">
        <f t="shared" si="2"/>
        <v>45310</v>
      </c>
      <c r="O59" s="64">
        <v>45310</v>
      </c>
      <c r="P59" s="354">
        <v>45000</v>
      </c>
      <c r="Q59" s="354" t="s">
        <v>186</v>
      </c>
      <c r="R59" s="451"/>
    </row>
    <row r="60" spans="1:18" customFormat="1" ht="18.75" hidden="1" x14ac:dyDescent="0.3">
      <c r="A60" s="350" t="s">
        <v>21</v>
      </c>
      <c r="B60" s="351">
        <v>45239</v>
      </c>
      <c r="C60" s="351">
        <v>45250</v>
      </c>
      <c r="D60" s="353">
        <v>30684.6</v>
      </c>
      <c r="E60" s="363"/>
      <c r="F60" s="75">
        <v>45254</v>
      </c>
      <c r="G60" s="69">
        <v>45275</v>
      </c>
      <c r="H60" s="37" t="s">
        <v>187</v>
      </c>
      <c r="I60" s="37" t="s">
        <v>188</v>
      </c>
      <c r="J60" s="60" t="s">
        <v>185</v>
      </c>
      <c r="K60" s="66" t="s">
        <v>47</v>
      </c>
      <c r="L60" s="524">
        <v>93134111</v>
      </c>
      <c r="M60" s="279">
        <v>45282</v>
      </c>
      <c r="N60" s="308">
        <f t="shared" si="2"/>
        <v>45310</v>
      </c>
      <c r="O60" s="64">
        <v>45310</v>
      </c>
      <c r="P60" s="363"/>
      <c r="Q60" s="363"/>
      <c r="R60" s="449"/>
    </row>
    <row r="61" spans="1:18" customFormat="1" ht="21" hidden="1" x14ac:dyDescent="0.35">
      <c r="A61" s="350" t="s">
        <v>189</v>
      </c>
      <c r="B61" s="351">
        <v>45257</v>
      </c>
      <c r="C61" s="351">
        <v>45276</v>
      </c>
      <c r="D61" s="353">
        <v>34192.44</v>
      </c>
      <c r="E61" s="405">
        <v>18.928999999999998</v>
      </c>
      <c r="F61" s="75">
        <v>45282</v>
      </c>
      <c r="G61" s="69">
        <v>45314</v>
      </c>
      <c r="H61" s="37" t="s">
        <v>190</v>
      </c>
      <c r="I61" s="37" t="s">
        <v>191</v>
      </c>
      <c r="J61" s="60" t="s">
        <v>176</v>
      </c>
      <c r="K61" s="66" t="s">
        <v>47</v>
      </c>
      <c r="L61" s="524">
        <v>93147456</v>
      </c>
      <c r="M61" s="279">
        <v>45318</v>
      </c>
      <c r="N61" s="308">
        <f t="shared" si="2"/>
        <v>45336</v>
      </c>
      <c r="O61" s="64">
        <v>45324</v>
      </c>
      <c r="P61" s="354">
        <v>22500</v>
      </c>
      <c r="Q61" s="354">
        <f>+M61-B61</f>
        <v>61</v>
      </c>
      <c r="R61" s="451"/>
    </row>
    <row r="62" spans="1:18" customFormat="1" ht="21" hidden="1" x14ac:dyDescent="0.35">
      <c r="A62" s="350" t="s">
        <v>48</v>
      </c>
      <c r="B62" s="351">
        <v>45261</v>
      </c>
      <c r="C62" s="351">
        <v>45293</v>
      </c>
      <c r="D62" s="353">
        <v>29882.52</v>
      </c>
      <c r="E62" s="405">
        <v>19.045000000000002</v>
      </c>
      <c r="F62" s="75">
        <v>45297</v>
      </c>
      <c r="G62" s="69">
        <v>45318</v>
      </c>
      <c r="H62" s="37" t="s">
        <v>192</v>
      </c>
      <c r="I62" s="37" t="s">
        <v>193</v>
      </c>
      <c r="J62" s="60" t="s">
        <v>194</v>
      </c>
      <c r="K62" s="66" t="s">
        <v>47</v>
      </c>
      <c r="L62" s="524">
        <v>93153260</v>
      </c>
      <c r="M62" s="279">
        <v>45325</v>
      </c>
      <c r="N62" s="308">
        <f t="shared" si="2"/>
        <v>45353</v>
      </c>
      <c r="O62" s="64">
        <v>45348</v>
      </c>
      <c r="P62" s="354"/>
      <c r="Q62" s="354">
        <f>+M62-B62</f>
        <v>64</v>
      </c>
      <c r="R62" s="451"/>
    </row>
    <row r="63" spans="1:18" customFormat="1" ht="21" hidden="1" x14ac:dyDescent="0.35">
      <c r="A63" s="350" t="s">
        <v>21</v>
      </c>
      <c r="B63" s="351">
        <v>45267</v>
      </c>
      <c r="C63" s="351">
        <v>45282</v>
      </c>
      <c r="D63" s="353">
        <v>31881.599999999999</v>
      </c>
      <c r="E63" s="405">
        <v>18.594999999999999</v>
      </c>
      <c r="F63" s="75">
        <v>45289</v>
      </c>
      <c r="G63" s="69">
        <v>45347</v>
      </c>
      <c r="H63" s="37" t="s">
        <v>195</v>
      </c>
      <c r="I63" s="37" t="s">
        <v>196</v>
      </c>
      <c r="J63" s="60" t="s">
        <v>89</v>
      </c>
      <c r="K63" s="66" t="s">
        <v>47</v>
      </c>
      <c r="L63" s="524">
        <v>93150755</v>
      </c>
      <c r="M63" s="279">
        <v>45356</v>
      </c>
      <c r="N63" s="308">
        <f t="shared" si="2"/>
        <v>45342</v>
      </c>
      <c r="O63" s="64">
        <v>45338</v>
      </c>
      <c r="P63" s="354"/>
      <c r="Q63" s="354"/>
      <c r="R63" s="451"/>
    </row>
    <row r="64" spans="1:18" customFormat="1" ht="21" hidden="1" x14ac:dyDescent="0.35">
      <c r="A64" s="350" t="s">
        <v>21</v>
      </c>
      <c r="B64" s="351">
        <v>45287</v>
      </c>
      <c r="C64" s="351">
        <v>45308</v>
      </c>
      <c r="D64" s="353">
        <v>30595.200000000001</v>
      </c>
      <c r="E64" s="405">
        <v>18.513000000000002</v>
      </c>
      <c r="F64" s="75">
        <v>45314</v>
      </c>
      <c r="G64" s="69">
        <v>45344</v>
      </c>
      <c r="H64" s="37" t="s">
        <v>197</v>
      </c>
      <c r="I64" s="37" t="s">
        <v>198</v>
      </c>
      <c r="J64" s="60" t="s">
        <v>199</v>
      </c>
      <c r="K64" s="66" t="s">
        <v>47</v>
      </c>
      <c r="L64" s="524">
        <v>93160469</v>
      </c>
      <c r="M64" s="279">
        <v>45349</v>
      </c>
      <c r="N64" s="308">
        <f t="shared" si="2"/>
        <v>45368</v>
      </c>
      <c r="O64" s="64">
        <v>45349</v>
      </c>
      <c r="P64" s="354"/>
      <c r="Q64" s="354">
        <f>+M64-B64</f>
        <v>62</v>
      </c>
      <c r="R64" s="451"/>
    </row>
    <row r="65" spans="1:18" customFormat="1" ht="21" hidden="1" x14ac:dyDescent="0.35">
      <c r="A65" s="350" t="s">
        <v>21</v>
      </c>
      <c r="B65" s="351">
        <v>45295</v>
      </c>
      <c r="C65" s="351">
        <v>45308</v>
      </c>
      <c r="D65" s="353">
        <v>30852.959999999999</v>
      </c>
      <c r="E65" s="405">
        <v>18.513000000000002</v>
      </c>
      <c r="F65" s="75">
        <v>45314</v>
      </c>
      <c r="G65" s="69">
        <v>45344</v>
      </c>
      <c r="H65" s="37" t="s">
        <v>200</v>
      </c>
      <c r="I65" s="37" t="s">
        <v>201</v>
      </c>
      <c r="J65" s="60" t="s">
        <v>185</v>
      </c>
      <c r="K65" s="66" t="s">
        <v>47</v>
      </c>
      <c r="L65" s="524">
        <v>93160454</v>
      </c>
      <c r="M65" s="279">
        <v>45349</v>
      </c>
      <c r="N65" s="308">
        <f t="shared" si="2"/>
        <v>45368</v>
      </c>
      <c r="O65" s="64">
        <v>45349</v>
      </c>
      <c r="P65" s="354"/>
      <c r="Q65" s="354">
        <f>+M65-B65</f>
        <v>54</v>
      </c>
      <c r="R65" s="451"/>
    </row>
    <row r="66" spans="1:18" customFormat="1" ht="21" hidden="1" x14ac:dyDescent="0.35">
      <c r="A66" s="350" t="s">
        <v>21</v>
      </c>
      <c r="B66" s="351">
        <v>45300</v>
      </c>
      <c r="C66" s="351">
        <v>45320</v>
      </c>
      <c r="D66" s="353">
        <v>36478.68</v>
      </c>
      <c r="E66" s="405">
        <v>18.594999999999999</v>
      </c>
      <c r="F66" s="75">
        <v>45324</v>
      </c>
      <c r="G66" s="69">
        <v>45346</v>
      </c>
      <c r="H66" s="37" t="s">
        <v>202</v>
      </c>
      <c r="I66" s="37" t="s">
        <v>203</v>
      </c>
      <c r="J66" s="60" t="s">
        <v>176</v>
      </c>
      <c r="K66" s="66" t="s">
        <v>47</v>
      </c>
      <c r="L66" s="524">
        <v>93166658</v>
      </c>
      <c r="M66" s="279">
        <v>45352</v>
      </c>
      <c r="N66" s="308">
        <f t="shared" si="2"/>
        <v>45380</v>
      </c>
      <c r="O66" s="64" t="s">
        <v>204</v>
      </c>
      <c r="P66" s="354"/>
      <c r="Q66" s="354">
        <f>+M66-B66</f>
        <v>52</v>
      </c>
      <c r="R66" s="451"/>
    </row>
    <row r="67" spans="1:18" customFormat="1" ht="21" hidden="1" x14ac:dyDescent="0.35">
      <c r="A67" s="350" t="s">
        <v>21</v>
      </c>
      <c r="B67" s="351">
        <v>45300</v>
      </c>
      <c r="C67" s="351">
        <v>45323</v>
      </c>
      <c r="D67" s="353">
        <v>35271.480000000003</v>
      </c>
      <c r="E67" s="405">
        <v>18.594999999999999</v>
      </c>
      <c r="F67" s="75">
        <v>45324</v>
      </c>
      <c r="G67" s="69">
        <v>45346</v>
      </c>
      <c r="H67" s="37" t="s">
        <v>205</v>
      </c>
      <c r="I67" s="37" t="s">
        <v>206</v>
      </c>
      <c r="J67" s="60" t="s">
        <v>207</v>
      </c>
      <c r="K67" s="66" t="s">
        <v>47</v>
      </c>
      <c r="L67" s="524">
        <v>93168535</v>
      </c>
      <c r="M67" s="279">
        <v>45356</v>
      </c>
      <c r="N67" s="308">
        <f t="shared" si="2"/>
        <v>45383</v>
      </c>
      <c r="O67" s="64">
        <v>45373</v>
      </c>
      <c r="P67" s="354"/>
      <c r="Q67" s="354">
        <f>+M67-B67</f>
        <v>56</v>
      </c>
      <c r="R67" s="451"/>
    </row>
    <row r="68" spans="1:18" customFormat="1" ht="21" hidden="1" x14ac:dyDescent="0.35">
      <c r="A68" s="350" t="s">
        <v>21</v>
      </c>
      <c r="B68" s="351">
        <v>45307</v>
      </c>
      <c r="C68" s="351">
        <v>45321</v>
      </c>
      <c r="D68" s="353">
        <v>31917.599999999999</v>
      </c>
      <c r="E68" s="405">
        <v>18.532</v>
      </c>
      <c r="F68" s="75">
        <v>45327</v>
      </c>
      <c r="G68" s="69">
        <v>45355</v>
      </c>
      <c r="H68" s="37" t="s">
        <v>208</v>
      </c>
      <c r="I68" s="37" t="s">
        <v>209</v>
      </c>
      <c r="J68" s="60" t="s">
        <v>89</v>
      </c>
      <c r="K68" s="66" t="s">
        <v>47</v>
      </c>
      <c r="L68" s="524">
        <v>93166734</v>
      </c>
      <c r="M68" s="279">
        <v>45363</v>
      </c>
      <c r="N68" s="308">
        <f t="shared" si="2"/>
        <v>45381</v>
      </c>
      <c r="O68" s="64">
        <v>45365</v>
      </c>
      <c r="P68" s="354"/>
      <c r="Q68" s="354">
        <f>+M68-B68</f>
        <v>56</v>
      </c>
      <c r="R68" s="451"/>
    </row>
    <row r="69" spans="1:18" customFormat="1" ht="21" hidden="1" x14ac:dyDescent="0.35">
      <c r="A69" s="350" t="s">
        <v>21</v>
      </c>
      <c r="B69" s="351">
        <v>45308</v>
      </c>
      <c r="C69" s="351">
        <v>45344</v>
      </c>
      <c r="D69" s="353">
        <v>30957.24</v>
      </c>
      <c r="E69" s="405">
        <v>17.890999999999998</v>
      </c>
      <c r="F69" s="75">
        <v>45350</v>
      </c>
      <c r="G69" s="69">
        <v>45384</v>
      </c>
      <c r="H69" s="37" t="s">
        <v>210</v>
      </c>
      <c r="I69" s="37" t="s">
        <v>211</v>
      </c>
      <c r="J69" s="60" t="s">
        <v>212</v>
      </c>
      <c r="K69" s="66" t="s">
        <v>47</v>
      </c>
      <c r="L69" s="524">
        <v>93178325</v>
      </c>
      <c r="M69" s="279">
        <v>45392</v>
      </c>
      <c r="N69" s="308">
        <f t="shared" si="2"/>
        <v>45404</v>
      </c>
      <c r="O69" s="64">
        <v>45387</v>
      </c>
      <c r="P69" s="354"/>
      <c r="Q69" s="354"/>
      <c r="R69" s="451"/>
    </row>
    <row r="70" spans="1:18" customFormat="1" ht="21" hidden="1" x14ac:dyDescent="0.35">
      <c r="A70" s="350" t="s">
        <v>21</v>
      </c>
      <c r="B70" s="351">
        <v>45322</v>
      </c>
      <c r="C70" s="351">
        <v>45367</v>
      </c>
      <c r="D70" s="353">
        <v>30532.799999999999</v>
      </c>
      <c r="E70" s="405">
        <v>18.105</v>
      </c>
      <c r="F70" s="75">
        <v>45373</v>
      </c>
      <c r="G70" s="69">
        <v>45398</v>
      </c>
      <c r="H70" s="37" t="s">
        <v>213</v>
      </c>
      <c r="I70" s="37" t="s">
        <v>214</v>
      </c>
      <c r="J70" s="60" t="s">
        <v>185</v>
      </c>
      <c r="K70" s="66" t="s">
        <v>47</v>
      </c>
      <c r="L70" s="524">
        <v>93190723</v>
      </c>
      <c r="M70" s="279">
        <v>45401</v>
      </c>
      <c r="N70" s="308">
        <f t="shared" si="2"/>
        <v>45427</v>
      </c>
      <c r="O70" s="64">
        <v>45414</v>
      </c>
      <c r="P70" s="354"/>
      <c r="Q70" s="354"/>
      <c r="R70" s="451"/>
    </row>
    <row r="71" spans="1:18" customFormat="1" ht="21" hidden="1" x14ac:dyDescent="0.35">
      <c r="A71" s="396" t="s">
        <v>48</v>
      </c>
      <c r="B71" s="351">
        <v>45336</v>
      </c>
      <c r="C71" s="351">
        <v>45357</v>
      </c>
      <c r="D71" s="353">
        <v>35437.68</v>
      </c>
      <c r="E71" s="405">
        <v>17.890999999999998</v>
      </c>
      <c r="F71" s="75">
        <v>45360</v>
      </c>
      <c r="G71" s="69">
        <v>45384</v>
      </c>
      <c r="H71" s="37" t="s">
        <v>215</v>
      </c>
      <c r="I71" s="37" t="s">
        <v>216</v>
      </c>
      <c r="J71" s="60" t="s">
        <v>217</v>
      </c>
      <c r="K71" s="66" t="s">
        <v>47</v>
      </c>
      <c r="L71" s="524">
        <v>93184825</v>
      </c>
      <c r="M71" s="279">
        <v>45390</v>
      </c>
      <c r="N71" s="308">
        <f t="shared" si="2"/>
        <v>45417</v>
      </c>
      <c r="O71" s="64">
        <v>45392</v>
      </c>
      <c r="P71" s="354"/>
      <c r="Q71" s="354">
        <f>+M71-B71</f>
        <v>54</v>
      </c>
      <c r="R71" s="451"/>
    </row>
    <row r="72" spans="1:18" customFormat="1" ht="21" hidden="1" x14ac:dyDescent="0.35">
      <c r="A72" s="350" t="s">
        <v>21</v>
      </c>
      <c r="B72" s="351">
        <v>45337</v>
      </c>
      <c r="C72" s="351">
        <v>45365</v>
      </c>
      <c r="D72" s="353">
        <v>29536.92</v>
      </c>
      <c r="E72" s="405">
        <v>18.105</v>
      </c>
      <c r="F72" s="75">
        <v>45373</v>
      </c>
      <c r="G72" s="69">
        <v>45398</v>
      </c>
      <c r="H72" s="37" t="s">
        <v>218</v>
      </c>
      <c r="I72" s="37" t="s">
        <v>219</v>
      </c>
      <c r="J72" s="60" t="s">
        <v>220</v>
      </c>
      <c r="K72" s="66" t="s">
        <v>47</v>
      </c>
      <c r="L72" s="524">
        <v>93189895</v>
      </c>
      <c r="M72" s="279">
        <v>45402</v>
      </c>
      <c r="N72" s="308">
        <f t="shared" si="2"/>
        <v>45425</v>
      </c>
      <c r="O72" s="64">
        <v>45398</v>
      </c>
      <c r="P72" s="354"/>
      <c r="Q72" s="354">
        <f>+M72-B72</f>
        <v>65</v>
      </c>
      <c r="R72" s="451"/>
    </row>
    <row r="73" spans="1:18" customFormat="1" ht="21" hidden="1" x14ac:dyDescent="0.35">
      <c r="A73" s="350" t="s">
        <v>21</v>
      </c>
      <c r="B73" s="351">
        <v>45337</v>
      </c>
      <c r="C73" s="351">
        <v>45365</v>
      </c>
      <c r="D73" s="353">
        <v>36686.28</v>
      </c>
      <c r="E73" s="405">
        <v>18.105</v>
      </c>
      <c r="F73" s="75">
        <v>45373</v>
      </c>
      <c r="G73" s="69">
        <v>45398</v>
      </c>
      <c r="H73" s="37" t="s">
        <v>221</v>
      </c>
      <c r="I73" s="37" t="s">
        <v>222</v>
      </c>
      <c r="J73" s="60" t="s">
        <v>223</v>
      </c>
      <c r="K73" s="66" t="s">
        <v>47</v>
      </c>
      <c r="L73" s="524">
        <v>93189510</v>
      </c>
      <c r="M73" s="279">
        <v>45400</v>
      </c>
      <c r="N73" s="308">
        <f t="shared" si="2"/>
        <v>45425</v>
      </c>
      <c r="O73" s="64">
        <v>45412</v>
      </c>
      <c r="P73" s="354"/>
      <c r="Q73" s="354">
        <f>+M73-B73</f>
        <v>63</v>
      </c>
      <c r="R73" s="451"/>
    </row>
    <row r="74" spans="1:18" customFormat="1" ht="21" hidden="1" x14ac:dyDescent="0.35">
      <c r="A74" s="350" t="s">
        <v>21</v>
      </c>
      <c r="B74" s="351">
        <v>45344</v>
      </c>
      <c r="C74" s="351">
        <v>45365</v>
      </c>
      <c r="D74" s="353">
        <v>36379.199999999997</v>
      </c>
      <c r="E74" s="405">
        <v>18.105</v>
      </c>
      <c r="F74" s="75">
        <v>45373</v>
      </c>
      <c r="G74" s="69">
        <v>45398</v>
      </c>
      <c r="H74" s="37" t="s">
        <v>224</v>
      </c>
      <c r="I74" s="37" t="s">
        <v>225</v>
      </c>
      <c r="J74" s="60" t="s">
        <v>226</v>
      </c>
      <c r="K74" s="66" t="s">
        <v>47</v>
      </c>
      <c r="L74" s="524">
        <v>93189363</v>
      </c>
      <c r="M74" s="279">
        <v>45401</v>
      </c>
      <c r="N74" s="308">
        <f t="shared" si="2"/>
        <v>45425</v>
      </c>
      <c r="O74" s="64">
        <v>45414</v>
      </c>
      <c r="P74" s="354"/>
      <c r="Q74" s="354">
        <f>+M74-B74</f>
        <v>57</v>
      </c>
      <c r="R74" s="451"/>
    </row>
    <row r="75" spans="1:18" customFormat="1" ht="21" hidden="1" x14ac:dyDescent="0.35">
      <c r="A75" s="350" t="s">
        <v>21</v>
      </c>
      <c r="B75" s="351">
        <v>45362</v>
      </c>
      <c r="C75" s="351">
        <v>45379</v>
      </c>
      <c r="D75" s="353">
        <v>33802.92</v>
      </c>
      <c r="E75" s="405">
        <v>18.568000000000001</v>
      </c>
      <c r="F75" s="75">
        <v>45385</v>
      </c>
      <c r="G75" s="69">
        <v>45415</v>
      </c>
      <c r="H75" s="37" t="s">
        <v>227</v>
      </c>
      <c r="I75" s="37" t="s">
        <v>228</v>
      </c>
      <c r="J75" s="60" t="s">
        <v>220</v>
      </c>
      <c r="K75" s="66" t="s">
        <v>47</v>
      </c>
      <c r="L75" s="524">
        <v>93196688</v>
      </c>
      <c r="M75" s="279">
        <v>45420</v>
      </c>
      <c r="N75" s="308">
        <f t="shared" si="2"/>
        <v>45439</v>
      </c>
      <c r="O75" s="64">
        <v>45433</v>
      </c>
      <c r="P75" s="354"/>
      <c r="Q75" s="354">
        <f>+M75-B75</f>
        <v>58</v>
      </c>
      <c r="R75" s="451"/>
    </row>
    <row r="76" spans="1:18" customFormat="1" ht="21" hidden="1" x14ac:dyDescent="0.35">
      <c r="A76" s="350" t="s">
        <v>21</v>
      </c>
      <c r="B76" s="351">
        <v>45373</v>
      </c>
      <c r="C76" s="351">
        <v>45411</v>
      </c>
      <c r="D76" s="353">
        <v>37698.910000000003</v>
      </c>
      <c r="E76" s="405">
        <v>18.106000000000002</v>
      </c>
      <c r="F76" s="75">
        <v>45415</v>
      </c>
      <c r="G76" s="69">
        <v>45444</v>
      </c>
      <c r="H76" s="37" t="s">
        <v>229</v>
      </c>
      <c r="I76" s="37" t="s">
        <v>230</v>
      </c>
      <c r="J76" s="60" t="s">
        <v>223</v>
      </c>
      <c r="K76" s="66" t="s">
        <v>47</v>
      </c>
      <c r="L76" s="524">
        <v>93211074</v>
      </c>
      <c r="M76" s="279">
        <v>45449</v>
      </c>
      <c r="N76" s="308">
        <f t="shared" si="2"/>
        <v>45471</v>
      </c>
      <c r="O76" s="64">
        <v>45471</v>
      </c>
      <c r="P76" s="383"/>
      <c r="Q76" s="354"/>
      <c r="R76" s="451"/>
    </row>
    <row r="77" spans="1:18" customFormat="1" ht="36" hidden="1" x14ac:dyDescent="0.35">
      <c r="A77" s="350" t="s">
        <v>21</v>
      </c>
      <c r="B77" s="351">
        <v>45365</v>
      </c>
      <c r="C77" s="351">
        <v>45391</v>
      </c>
      <c r="D77" s="353">
        <v>29537.93</v>
      </c>
      <c r="E77" s="405">
        <v>17.925999999999998</v>
      </c>
      <c r="F77" s="75">
        <v>45397</v>
      </c>
      <c r="G77" s="69">
        <v>45426</v>
      </c>
      <c r="H77" s="37" t="s">
        <v>231</v>
      </c>
      <c r="I77" s="37" t="s">
        <v>232</v>
      </c>
      <c r="J77" s="60" t="s">
        <v>220</v>
      </c>
      <c r="K77" s="66" t="s">
        <v>47</v>
      </c>
      <c r="L77" s="524">
        <v>93201452</v>
      </c>
      <c r="M77" s="279">
        <v>45430</v>
      </c>
      <c r="N77" s="308">
        <f t="shared" si="2"/>
        <v>45451</v>
      </c>
      <c r="O77" s="64">
        <v>45441</v>
      </c>
      <c r="P77" s="354" t="s">
        <v>233</v>
      </c>
      <c r="Q77" s="354">
        <f>+M77-B77</f>
        <v>65</v>
      </c>
      <c r="R77" s="451"/>
    </row>
    <row r="78" spans="1:18" customFormat="1" ht="21" hidden="1" x14ac:dyDescent="0.35">
      <c r="A78" s="350" t="s">
        <v>21</v>
      </c>
      <c r="B78" s="351">
        <v>45365</v>
      </c>
      <c r="C78" s="351">
        <v>45391</v>
      </c>
      <c r="D78" s="353">
        <v>33611.040000000001</v>
      </c>
      <c r="E78" s="405">
        <v>17.925999999999998</v>
      </c>
      <c r="F78" s="75">
        <v>45397</v>
      </c>
      <c r="G78" s="69">
        <v>45426</v>
      </c>
      <c r="H78" s="37" t="s">
        <v>234</v>
      </c>
      <c r="I78" s="37" t="s">
        <v>235</v>
      </c>
      <c r="J78" s="60" t="s">
        <v>212</v>
      </c>
      <c r="K78" s="66" t="s">
        <v>47</v>
      </c>
      <c r="L78" s="524">
        <v>93201959</v>
      </c>
      <c r="M78" s="279">
        <v>45433</v>
      </c>
      <c r="N78" s="308">
        <f t="shared" si="2"/>
        <v>45451</v>
      </c>
      <c r="O78" s="64">
        <v>45441</v>
      </c>
      <c r="P78" s="354"/>
      <c r="Q78" s="354">
        <f>+M78-B78</f>
        <v>68</v>
      </c>
      <c r="R78" s="451"/>
    </row>
    <row r="79" spans="1:18" customFormat="1" ht="21" hidden="1" x14ac:dyDescent="0.35">
      <c r="A79" s="350" t="s">
        <v>21</v>
      </c>
      <c r="B79" s="351">
        <v>45373</v>
      </c>
      <c r="C79" s="351">
        <v>45441</v>
      </c>
      <c r="D79" s="353">
        <v>35322.239999999998</v>
      </c>
      <c r="E79" s="405">
        <v>19.099</v>
      </c>
      <c r="F79" s="75">
        <v>45460</v>
      </c>
      <c r="G79" s="69">
        <v>45486</v>
      </c>
      <c r="H79" s="37" t="s">
        <v>236</v>
      </c>
      <c r="I79" s="37" t="s">
        <v>237</v>
      </c>
      <c r="J79" s="60" t="s">
        <v>130</v>
      </c>
      <c r="K79" s="59" t="s">
        <v>83</v>
      </c>
      <c r="L79" s="524">
        <v>93226291</v>
      </c>
      <c r="M79" s="279">
        <v>45495</v>
      </c>
      <c r="N79" s="308">
        <f t="shared" si="2"/>
        <v>45501</v>
      </c>
      <c r="O79" s="64">
        <v>45502</v>
      </c>
      <c r="P79" s="354"/>
      <c r="Q79" s="354"/>
      <c r="R79" s="451"/>
    </row>
    <row r="80" spans="1:18" customFormat="1" ht="21" hidden="1" x14ac:dyDescent="0.35">
      <c r="A80" s="350" t="s">
        <v>21</v>
      </c>
      <c r="B80" s="351">
        <v>45385</v>
      </c>
      <c r="C80" s="351">
        <v>45418</v>
      </c>
      <c r="D80" s="353">
        <v>33064.68</v>
      </c>
      <c r="E80" s="405">
        <v>18.192</v>
      </c>
      <c r="F80" s="75">
        <v>45422</v>
      </c>
      <c r="G80" s="69">
        <v>45448</v>
      </c>
      <c r="H80" s="37" t="s">
        <v>238</v>
      </c>
      <c r="I80" s="37" t="s">
        <v>239</v>
      </c>
      <c r="J80" s="60" t="s">
        <v>185</v>
      </c>
      <c r="K80" s="66" t="s">
        <v>47</v>
      </c>
      <c r="L80" s="524">
        <v>93214814</v>
      </c>
      <c r="M80" s="279">
        <v>45454</v>
      </c>
      <c r="N80" s="308">
        <f t="shared" si="2"/>
        <v>45478</v>
      </c>
      <c r="O80" s="64">
        <v>45478</v>
      </c>
      <c r="P80" s="354"/>
      <c r="Q80" s="354">
        <f>+M80-B80</f>
        <v>69</v>
      </c>
      <c r="R80" s="451"/>
    </row>
    <row r="81" spans="1:21" customFormat="1" ht="21" hidden="1" x14ac:dyDescent="0.35">
      <c r="A81" s="396" t="s">
        <v>48</v>
      </c>
      <c r="B81" s="351">
        <v>45394</v>
      </c>
      <c r="C81" s="351">
        <v>45420</v>
      </c>
      <c r="D81" s="353">
        <v>32118.12</v>
      </c>
      <c r="E81" s="405">
        <v>18.106000000000002</v>
      </c>
      <c r="F81" s="75">
        <v>45424</v>
      </c>
      <c r="G81" s="69">
        <v>45445</v>
      </c>
      <c r="H81" s="37" t="s">
        <v>240</v>
      </c>
      <c r="I81" s="37" t="s">
        <v>241</v>
      </c>
      <c r="J81" s="60" t="s">
        <v>194</v>
      </c>
      <c r="K81" s="66" t="s">
        <v>47</v>
      </c>
      <c r="L81" s="524">
        <v>93215614</v>
      </c>
      <c r="M81" s="279">
        <v>45450</v>
      </c>
      <c r="N81" s="308">
        <f t="shared" si="2"/>
        <v>45480</v>
      </c>
      <c r="O81" s="64">
        <v>45481</v>
      </c>
      <c r="P81" s="354"/>
      <c r="Q81" s="354">
        <f>+M81-B81</f>
        <v>56</v>
      </c>
      <c r="R81" s="451"/>
    </row>
    <row r="82" spans="1:21" customFormat="1" ht="21" hidden="1" x14ac:dyDescent="0.35">
      <c r="A82" s="350" t="s">
        <v>21</v>
      </c>
      <c r="B82" s="351">
        <v>45394</v>
      </c>
      <c r="C82" s="351">
        <v>45418</v>
      </c>
      <c r="D82" s="353">
        <v>34815.360000000001</v>
      </c>
      <c r="E82" s="406">
        <v>19.036999999999999</v>
      </c>
      <c r="F82" s="75">
        <v>45423</v>
      </c>
      <c r="G82" s="69">
        <v>45453</v>
      </c>
      <c r="H82" s="37" t="s">
        <v>242</v>
      </c>
      <c r="I82" s="37" t="s">
        <v>243</v>
      </c>
      <c r="J82" s="60" t="s">
        <v>130</v>
      </c>
      <c r="K82" s="66" t="s">
        <v>47</v>
      </c>
      <c r="L82" s="524">
        <v>93214816</v>
      </c>
      <c r="M82" s="279">
        <v>45457</v>
      </c>
      <c r="N82" s="308">
        <f t="shared" si="2"/>
        <v>45478</v>
      </c>
      <c r="O82" s="64">
        <v>45478</v>
      </c>
      <c r="P82" s="392"/>
      <c r="Q82" s="354">
        <f>+M82-B82</f>
        <v>63</v>
      </c>
      <c r="R82" s="451"/>
    </row>
    <row r="83" spans="1:21" customFormat="1" ht="58.5" hidden="1" x14ac:dyDescent="0.35">
      <c r="A83" s="350" t="s">
        <v>21</v>
      </c>
      <c r="B83" s="351">
        <v>45401</v>
      </c>
      <c r="C83" s="351">
        <v>45429</v>
      </c>
      <c r="D83" s="353">
        <v>34320</v>
      </c>
      <c r="E83" s="405">
        <v>19.692</v>
      </c>
      <c r="F83" s="75">
        <v>45437</v>
      </c>
      <c r="G83" s="69">
        <v>45470</v>
      </c>
      <c r="H83" s="37" t="s">
        <v>244</v>
      </c>
      <c r="I83" s="37" t="s">
        <v>245</v>
      </c>
      <c r="J83" s="60" t="s">
        <v>185</v>
      </c>
      <c r="K83" s="59" t="s">
        <v>83</v>
      </c>
      <c r="L83" s="524">
        <v>93220357</v>
      </c>
      <c r="M83" s="279">
        <v>45477</v>
      </c>
      <c r="N83" s="308">
        <f t="shared" si="2"/>
        <v>45489</v>
      </c>
      <c r="O83" s="64">
        <v>45489</v>
      </c>
      <c r="P83" s="354" t="s">
        <v>246</v>
      </c>
      <c r="Q83" s="354"/>
      <c r="R83" s="451"/>
    </row>
    <row r="84" spans="1:21" customFormat="1" ht="21" hidden="1" x14ac:dyDescent="0.35">
      <c r="A84" s="350" t="s">
        <v>21</v>
      </c>
      <c r="B84" s="351">
        <v>45405</v>
      </c>
      <c r="C84" s="351">
        <v>45429</v>
      </c>
      <c r="D84" s="353">
        <v>37748.400000000001</v>
      </c>
      <c r="E84" s="405">
        <v>19.692</v>
      </c>
      <c r="F84" s="75">
        <v>45437</v>
      </c>
      <c r="G84" s="69">
        <v>45470</v>
      </c>
      <c r="H84" s="37" t="s">
        <v>247</v>
      </c>
      <c r="I84" s="37" t="s">
        <v>248</v>
      </c>
      <c r="J84" s="60" t="s">
        <v>223</v>
      </c>
      <c r="K84" s="59" t="s">
        <v>83</v>
      </c>
      <c r="L84" s="524">
        <v>93220244</v>
      </c>
      <c r="M84" s="279">
        <v>45478</v>
      </c>
      <c r="N84" s="308">
        <f t="shared" ref="N84:N114" si="3">+C84+60</f>
        <v>45489</v>
      </c>
      <c r="O84" s="64">
        <v>45489</v>
      </c>
      <c r="P84" s="354"/>
      <c r="Q84" s="354"/>
      <c r="R84" s="451"/>
    </row>
    <row r="85" spans="1:21" customFormat="1" ht="21" hidden="1" x14ac:dyDescent="0.35">
      <c r="A85" s="350" t="s">
        <v>21</v>
      </c>
      <c r="B85" s="351">
        <v>45414</v>
      </c>
      <c r="C85" s="351">
        <v>45429</v>
      </c>
      <c r="D85" s="353">
        <v>34044.720000000001</v>
      </c>
      <c r="E85" s="405">
        <v>19.692</v>
      </c>
      <c r="F85" s="75">
        <v>45437</v>
      </c>
      <c r="G85" s="69">
        <v>45470</v>
      </c>
      <c r="H85" s="37" t="s">
        <v>249</v>
      </c>
      <c r="I85" s="37" t="s">
        <v>250</v>
      </c>
      <c r="J85" s="60" t="s">
        <v>185</v>
      </c>
      <c r="K85" s="59" t="s">
        <v>83</v>
      </c>
      <c r="L85" s="524">
        <v>93220341</v>
      </c>
      <c r="M85" s="279">
        <v>45479</v>
      </c>
      <c r="N85" s="308">
        <f t="shared" si="3"/>
        <v>45489</v>
      </c>
      <c r="O85" s="64">
        <v>45489</v>
      </c>
      <c r="P85" s="354"/>
      <c r="Q85" s="354">
        <f>+M85-B85</f>
        <v>65</v>
      </c>
      <c r="R85" s="451"/>
    </row>
    <row r="86" spans="1:21" customFormat="1" ht="21" hidden="1" x14ac:dyDescent="0.35">
      <c r="A86" s="350" t="s">
        <v>21</v>
      </c>
      <c r="B86" s="351">
        <v>45428</v>
      </c>
      <c r="C86" s="351">
        <v>45471</v>
      </c>
      <c r="D86" s="353">
        <v>37578.839999999997</v>
      </c>
      <c r="E86" s="405">
        <v>20.023</v>
      </c>
      <c r="F86" s="75">
        <v>45479</v>
      </c>
      <c r="G86" s="69">
        <v>45505</v>
      </c>
      <c r="H86" s="37" t="s">
        <v>251</v>
      </c>
      <c r="I86" s="37" t="s">
        <v>252</v>
      </c>
      <c r="J86" s="60" t="s">
        <v>176</v>
      </c>
      <c r="K86" s="59" t="s">
        <v>83</v>
      </c>
      <c r="L86" s="524">
        <v>93240862</v>
      </c>
      <c r="M86" s="279">
        <v>45512</v>
      </c>
      <c r="N86" s="308">
        <f t="shared" si="3"/>
        <v>45531</v>
      </c>
      <c r="O86" s="64">
        <v>45531</v>
      </c>
      <c r="P86" s="354"/>
      <c r="Q86" s="354"/>
      <c r="R86" s="451"/>
    </row>
    <row r="87" spans="1:21" customFormat="1" ht="21" hidden="1" x14ac:dyDescent="0.35">
      <c r="A87" s="350" t="s">
        <v>21</v>
      </c>
      <c r="B87" s="351">
        <v>45428</v>
      </c>
      <c r="C87" s="351">
        <v>45450</v>
      </c>
      <c r="D87" s="353">
        <v>34113.760000000002</v>
      </c>
      <c r="E87" s="405">
        <v>19.099</v>
      </c>
      <c r="F87" s="75">
        <v>45457</v>
      </c>
      <c r="G87" s="69">
        <v>45486</v>
      </c>
      <c r="H87" s="37" t="s">
        <v>253</v>
      </c>
      <c r="I87" s="37" t="s">
        <v>254</v>
      </c>
      <c r="J87" s="60" t="s">
        <v>185</v>
      </c>
      <c r="K87" s="59" t="s">
        <v>83</v>
      </c>
      <c r="L87" s="524">
        <v>93231243</v>
      </c>
      <c r="M87" s="279">
        <v>45490</v>
      </c>
      <c r="N87" s="308">
        <f t="shared" si="3"/>
        <v>45510</v>
      </c>
      <c r="O87" s="64">
        <v>45510</v>
      </c>
      <c r="P87" s="354"/>
      <c r="Q87" s="354">
        <f>+M87-B87</f>
        <v>62</v>
      </c>
      <c r="R87" s="451"/>
    </row>
    <row r="88" spans="1:21" customFormat="1" ht="21" hidden="1" x14ac:dyDescent="0.35">
      <c r="A88" s="350" t="s">
        <v>21</v>
      </c>
      <c r="B88" s="351">
        <v>45435</v>
      </c>
      <c r="C88" s="351">
        <v>45451</v>
      </c>
      <c r="D88" s="353">
        <v>33770.160000000003</v>
      </c>
      <c r="E88" s="405">
        <v>19.099</v>
      </c>
      <c r="F88" s="75">
        <v>45457</v>
      </c>
      <c r="G88" s="69">
        <v>45486</v>
      </c>
      <c r="H88" s="37" t="s">
        <v>255</v>
      </c>
      <c r="I88" s="37" t="s">
        <v>256</v>
      </c>
      <c r="J88" s="60" t="s">
        <v>89</v>
      </c>
      <c r="K88" s="59" t="s">
        <v>83</v>
      </c>
      <c r="L88" s="524">
        <v>93231249</v>
      </c>
      <c r="M88" s="279">
        <v>45492</v>
      </c>
      <c r="N88" s="308">
        <f t="shared" si="3"/>
        <v>45511</v>
      </c>
      <c r="O88" s="64">
        <v>45511</v>
      </c>
      <c r="P88" s="354"/>
      <c r="Q88" s="354">
        <f>+M88-B88</f>
        <v>57</v>
      </c>
      <c r="R88" s="451"/>
    </row>
    <row r="89" spans="1:21" customFormat="1" ht="21" hidden="1" x14ac:dyDescent="0.35">
      <c r="A89" s="350" t="s">
        <v>21</v>
      </c>
      <c r="B89" s="351">
        <v>45448</v>
      </c>
      <c r="C89" s="351">
        <v>45471</v>
      </c>
      <c r="D89" s="353">
        <v>40040.160000000003</v>
      </c>
      <c r="E89" s="405">
        <v>20.023</v>
      </c>
      <c r="F89" s="75">
        <v>45479</v>
      </c>
      <c r="G89" s="69">
        <v>45505</v>
      </c>
      <c r="H89" s="37" t="s">
        <v>257</v>
      </c>
      <c r="I89" s="37" t="s">
        <v>258</v>
      </c>
      <c r="J89" s="60" t="s">
        <v>223</v>
      </c>
      <c r="K89" s="59" t="s">
        <v>83</v>
      </c>
      <c r="L89" s="524">
        <v>93241085</v>
      </c>
      <c r="M89" s="279">
        <v>45511</v>
      </c>
      <c r="N89" s="308">
        <f t="shared" si="3"/>
        <v>45531</v>
      </c>
      <c r="O89" s="64">
        <v>45531</v>
      </c>
      <c r="P89" s="354"/>
      <c r="Q89" s="354">
        <f>+M89-B89</f>
        <v>63</v>
      </c>
      <c r="R89" s="451"/>
    </row>
    <row r="90" spans="1:21" customFormat="1" ht="21" hidden="1" x14ac:dyDescent="0.35">
      <c r="A90" s="350" t="s">
        <v>21</v>
      </c>
      <c r="B90" s="351">
        <v>45479</v>
      </c>
      <c r="C90" s="351">
        <v>45497</v>
      </c>
      <c r="D90" s="353">
        <v>33770.160000000003</v>
      </c>
      <c r="E90" s="405">
        <v>21.015999999999998</v>
      </c>
      <c r="F90" s="75">
        <v>45502</v>
      </c>
      <c r="G90" s="69">
        <v>45527</v>
      </c>
      <c r="H90" s="37" t="s">
        <v>259</v>
      </c>
      <c r="I90" s="37" t="s">
        <v>260</v>
      </c>
      <c r="J90" s="60" t="s">
        <v>89</v>
      </c>
      <c r="K90" s="59" t="s">
        <v>83</v>
      </c>
      <c r="L90" s="524">
        <v>93253335</v>
      </c>
      <c r="M90" s="279">
        <v>45532</v>
      </c>
      <c r="N90" s="308">
        <f t="shared" si="3"/>
        <v>45557</v>
      </c>
      <c r="O90" s="64">
        <v>45559</v>
      </c>
      <c r="P90" s="354"/>
      <c r="Q90" s="354"/>
      <c r="R90" s="451"/>
    </row>
    <row r="91" spans="1:21" customFormat="1" ht="21" hidden="1" x14ac:dyDescent="0.35">
      <c r="A91" s="396" t="s">
        <v>48</v>
      </c>
      <c r="B91" s="351">
        <v>45527</v>
      </c>
      <c r="C91" s="351">
        <v>45540</v>
      </c>
      <c r="D91" s="353">
        <v>29112.48</v>
      </c>
      <c r="E91" s="405">
        <v>21.733000000000001</v>
      </c>
      <c r="F91" s="75">
        <v>45543</v>
      </c>
      <c r="G91" s="69">
        <v>45564</v>
      </c>
      <c r="H91" s="37" t="s">
        <v>261</v>
      </c>
      <c r="I91" s="37" t="s">
        <v>262</v>
      </c>
      <c r="J91" s="60" t="s">
        <v>194</v>
      </c>
      <c r="K91" s="59" t="s">
        <v>83</v>
      </c>
      <c r="L91" s="524">
        <v>93274359</v>
      </c>
      <c r="M91" s="279">
        <v>45570</v>
      </c>
      <c r="N91" s="308">
        <f t="shared" si="3"/>
        <v>45600</v>
      </c>
      <c r="O91" s="64">
        <v>45600</v>
      </c>
      <c r="P91" s="354"/>
      <c r="Q91" s="354"/>
      <c r="R91" s="451"/>
    </row>
    <row r="92" spans="1:21" customFormat="1" ht="21" hidden="1" x14ac:dyDescent="0.35">
      <c r="A92" s="350" t="s">
        <v>21</v>
      </c>
      <c r="B92" s="351">
        <v>45539</v>
      </c>
      <c r="C92" s="351">
        <v>45561</v>
      </c>
      <c r="D92" s="353">
        <v>34102.559999999998</v>
      </c>
      <c r="E92" s="405">
        <v>22.364899999999999</v>
      </c>
      <c r="F92" s="75">
        <v>45566</v>
      </c>
      <c r="G92" s="69">
        <v>45602</v>
      </c>
      <c r="H92" s="37" t="s">
        <v>263</v>
      </c>
      <c r="I92" s="37" t="s">
        <v>264</v>
      </c>
      <c r="J92" s="60" t="s">
        <v>130</v>
      </c>
      <c r="K92" s="59" t="s">
        <v>83</v>
      </c>
      <c r="L92" s="524">
        <v>93284831</v>
      </c>
      <c r="M92" s="279">
        <v>45605</v>
      </c>
      <c r="N92" s="308">
        <f t="shared" si="3"/>
        <v>45621</v>
      </c>
      <c r="O92" s="64">
        <v>45621</v>
      </c>
      <c r="P92" s="413">
        <v>21.688600000000001</v>
      </c>
      <c r="Q92" s="414">
        <f>+E92-P92</f>
        <v>0.67629999999999768</v>
      </c>
      <c r="R92" s="414"/>
      <c r="S92" s="411">
        <f>+Q92*D92</f>
        <v>23063.56132799992</v>
      </c>
      <c r="T92" s="409"/>
      <c r="U92" s="409"/>
    </row>
    <row r="93" spans="1:21" ht="21.95" hidden="1" customHeight="1" x14ac:dyDescent="0.3">
      <c r="A93" s="425" t="s">
        <v>21</v>
      </c>
      <c r="B93" s="457">
        <v>45544</v>
      </c>
      <c r="C93" s="428">
        <v>45560</v>
      </c>
      <c r="D93" s="424">
        <v>34599.480000000003</v>
      </c>
      <c r="E93" s="443">
        <v>22.143999999999998</v>
      </c>
      <c r="F93" s="465">
        <v>45567</v>
      </c>
      <c r="G93" s="463">
        <v>45596</v>
      </c>
      <c r="H93" s="444" t="s">
        <v>265</v>
      </c>
      <c r="I93" s="444" t="s">
        <v>266</v>
      </c>
      <c r="J93" s="426" t="s">
        <v>267</v>
      </c>
      <c r="K93" s="427" t="s">
        <v>83</v>
      </c>
      <c r="L93" s="527">
        <v>93284063</v>
      </c>
      <c r="M93" s="428">
        <v>45596</v>
      </c>
      <c r="N93" s="429">
        <f t="shared" si="3"/>
        <v>45620</v>
      </c>
      <c r="O93" s="466">
        <v>45621</v>
      </c>
      <c r="P93" s="476">
        <v>21.688600000000001</v>
      </c>
      <c r="Q93" s="430">
        <f>+E93-P93</f>
        <v>0.45539999999999736</v>
      </c>
      <c r="R93" s="453"/>
      <c r="S93" s="431">
        <f>+D93*Q93</f>
        <v>15756.60319199991</v>
      </c>
    </row>
    <row r="94" spans="1:21" ht="21.95" hidden="1" customHeight="1" x14ac:dyDescent="0.3">
      <c r="A94" s="425" t="s">
        <v>21</v>
      </c>
      <c r="B94" s="457">
        <v>45565</v>
      </c>
      <c r="C94" s="428">
        <v>45581</v>
      </c>
      <c r="D94" s="424">
        <v>30381.63</v>
      </c>
      <c r="E94" s="443">
        <v>21.549700000000001</v>
      </c>
      <c r="F94" s="465">
        <v>45587</v>
      </c>
      <c r="G94" s="463">
        <v>45606</v>
      </c>
      <c r="H94" s="444" t="s">
        <v>268</v>
      </c>
      <c r="I94" s="444" t="s">
        <v>269</v>
      </c>
      <c r="J94" s="426" t="s">
        <v>267</v>
      </c>
      <c r="K94" s="427" t="s">
        <v>83</v>
      </c>
      <c r="L94" s="527">
        <v>93294299</v>
      </c>
      <c r="M94" s="428">
        <v>45612</v>
      </c>
      <c r="N94" s="429">
        <f t="shared" si="3"/>
        <v>45641</v>
      </c>
      <c r="O94" s="466">
        <v>45643</v>
      </c>
      <c r="P94" s="476">
        <v>21.19</v>
      </c>
      <c r="Q94" s="430">
        <f>+E94-P94</f>
        <v>0.35970000000000013</v>
      </c>
      <c r="R94" s="453"/>
      <c r="S94" s="431">
        <f>+D94*Q94</f>
        <v>10928.272311000004</v>
      </c>
    </row>
    <row r="95" spans="1:21" ht="21.95" hidden="1" customHeight="1" x14ac:dyDescent="0.3">
      <c r="A95" s="425" t="s">
        <v>21</v>
      </c>
      <c r="B95" s="457">
        <v>45569</v>
      </c>
      <c r="C95" s="428">
        <v>45587</v>
      </c>
      <c r="D95" s="424">
        <v>28128</v>
      </c>
      <c r="E95" s="443">
        <v>22.273900000000001</v>
      </c>
      <c r="F95" s="465">
        <v>45593</v>
      </c>
      <c r="G95" s="463">
        <v>45614</v>
      </c>
      <c r="H95" s="444" t="s">
        <v>270</v>
      </c>
      <c r="I95" s="444" t="s">
        <v>271</v>
      </c>
      <c r="J95" s="426" t="s">
        <v>220</v>
      </c>
      <c r="K95" s="427" t="s">
        <v>83</v>
      </c>
      <c r="L95" s="527">
        <v>93296944</v>
      </c>
      <c r="M95" s="428">
        <v>45619</v>
      </c>
      <c r="N95" s="429">
        <f t="shared" si="3"/>
        <v>45647</v>
      </c>
      <c r="O95" s="466">
        <v>45646</v>
      </c>
      <c r="P95" s="476">
        <v>21</v>
      </c>
      <c r="Q95" s="430">
        <f>+E95-P95</f>
        <v>1.2739000000000011</v>
      </c>
      <c r="R95" s="453"/>
      <c r="S95" s="431">
        <f>+D95*Q95</f>
        <v>35832.25920000003</v>
      </c>
    </row>
    <row r="96" spans="1:21" ht="21.95" hidden="1" customHeight="1" x14ac:dyDescent="0.3">
      <c r="A96" s="425" t="s">
        <v>21</v>
      </c>
      <c r="B96" s="457">
        <v>45581</v>
      </c>
      <c r="C96" s="428">
        <v>45595</v>
      </c>
      <c r="D96" s="424">
        <v>32031.48</v>
      </c>
      <c r="E96" s="443">
        <v>22.1572</v>
      </c>
      <c r="F96" s="465">
        <v>45601</v>
      </c>
      <c r="G96" s="463">
        <v>45621</v>
      </c>
      <c r="H96" s="444" t="s">
        <v>272</v>
      </c>
      <c r="I96" s="444" t="s">
        <v>273</v>
      </c>
      <c r="J96" s="426" t="s">
        <v>130</v>
      </c>
      <c r="K96" s="427" t="s">
        <v>83</v>
      </c>
      <c r="L96" s="527">
        <v>93301226</v>
      </c>
      <c r="M96" s="428">
        <v>45626</v>
      </c>
      <c r="N96" s="429">
        <f t="shared" si="3"/>
        <v>45655</v>
      </c>
      <c r="O96" s="466">
        <v>45656</v>
      </c>
      <c r="P96" s="476">
        <v>21.37</v>
      </c>
      <c r="Q96" s="430">
        <f>+E96-P96</f>
        <v>0.78719999999999857</v>
      </c>
      <c r="R96" s="453"/>
      <c r="S96" s="431">
        <f t="shared" ref="S96:S100" si="4">+D96*Q96</f>
        <v>25215.181055999954</v>
      </c>
    </row>
    <row r="97" spans="1:19" ht="21.95" hidden="1" customHeight="1" x14ac:dyDescent="0.3">
      <c r="A97" s="425" t="s">
        <v>21</v>
      </c>
      <c r="B97" s="457">
        <v>45597</v>
      </c>
      <c r="C97" s="428">
        <v>45614</v>
      </c>
      <c r="D97" s="424">
        <v>30368.639999999999</v>
      </c>
      <c r="E97" s="443">
        <v>21.3337</v>
      </c>
      <c r="F97" s="465">
        <v>45621</v>
      </c>
      <c r="G97" s="463">
        <v>45653</v>
      </c>
      <c r="H97" s="444" t="s">
        <v>274</v>
      </c>
      <c r="I97" s="444" t="s">
        <v>275</v>
      </c>
      <c r="J97" s="426" t="s">
        <v>276</v>
      </c>
      <c r="K97" s="427" t="s">
        <v>83</v>
      </c>
      <c r="L97" s="527">
        <v>93310390</v>
      </c>
      <c r="M97" s="428">
        <v>45661</v>
      </c>
      <c r="N97" s="429">
        <f t="shared" si="3"/>
        <v>45674</v>
      </c>
      <c r="O97" s="466">
        <v>45674</v>
      </c>
      <c r="P97" s="477">
        <v>21.045000000000002</v>
      </c>
      <c r="Q97" s="430">
        <f t="shared" ref="Q97:Q101" si="5">+E97-P97</f>
        <v>0.28869999999999862</v>
      </c>
      <c r="R97" s="454"/>
      <c r="S97" s="431">
        <f t="shared" si="4"/>
        <v>8767.4263679999585</v>
      </c>
    </row>
    <row r="98" spans="1:19" ht="21.95" hidden="1" customHeight="1" x14ac:dyDescent="0.3">
      <c r="A98" s="425" t="s">
        <v>21</v>
      </c>
      <c r="B98" s="457">
        <v>45597</v>
      </c>
      <c r="C98" s="428">
        <v>45614</v>
      </c>
      <c r="D98" s="424">
        <v>34559.64</v>
      </c>
      <c r="E98" s="443">
        <v>21.3337</v>
      </c>
      <c r="F98" s="465">
        <v>45621</v>
      </c>
      <c r="G98" s="463">
        <v>45653</v>
      </c>
      <c r="H98" s="444" t="s">
        <v>277</v>
      </c>
      <c r="I98" s="444" t="s">
        <v>278</v>
      </c>
      <c r="J98" s="434" t="s">
        <v>130</v>
      </c>
      <c r="K98" s="427" t="s">
        <v>83</v>
      </c>
      <c r="L98" s="527">
        <v>93310391</v>
      </c>
      <c r="M98" s="428">
        <v>45661</v>
      </c>
      <c r="N98" s="429">
        <f t="shared" si="3"/>
        <v>45674</v>
      </c>
      <c r="O98" s="466">
        <v>45674</v>
      </c>
      <c r="P98" s="477">
        <v>21.045000000000002</v>
      </c>
      <c r="Q98" s="430">
        <f t="shared" si="5"/>
        <v>0.28869999999999862</v>
      </c>
      <c r="R98" s="454"/>
      <c r="S98" s="431">
        <f t="shared" si="4"/>
        <v>9977.3680679999525</v>
      </c>
    </row>
    <row r="99" spans="1:19" ht="18.75" hidden="1" x14ac:dyDescent="0.3">
      <c r="A99" s="425" t="s">
        <v>21</v>
      </c>
      <c r="B99" s="457">
        <v>45597</v>
      </c>
      <c r="C99" s="428">
        <v>45615</v>
      </c>
      <c r="D99" s="424">
        <v>32601.360000000001</v>
      </c>
      <c r="E99" s="443">
        <v>21.3337</v>
      </c>
      <c r="F99" s="465">
        <v>45621</v>
      </c>
      <c r="G99" s="463">
        <v>45653</v>
      </c>
      <c r="H99" s="444" t="s">
        <v>279</v>
      </c>
      <c r="I99" s="444" t="s">
        <v>280</v>
      </c>
      <c r="J99" s="426" t="s">
        <v>130</v>
      </c>
      <c r="K99" s="427" t="s">
        <v>83</v>
      </c>
      <c r="L99" s="527">
        <v>93311234</v>
      </c>
      <c r="M99" s="428">
        <v>45661</v>
      </c>
      <c r="N99" s="429">
        <f t="shared" si="3"/>
        <v>45675</v>
      </c>
      <c r="O99" s="466">
        <v>45674</v>
      </c>
      <c r="P99" s="477">
        <v>21.045000000000002</v>
      </c>
      <c r="Q99" s="430">
        <f t="shared" si="5"/>
        <v>0.28869999999999862</v>
      </c>
      <c r="R99" s="454"/>
      <c r="S99" s="431">
        <f t="shared" si="4"/>
        <v>9412.0126319999545</v>
      </c>
    </row>
    <row r="100" spans="1:19" ht="18.75" hidden="1" x14ac:dyDescent="0.3">
      <c r="A100" s="425" t="s">
        <v>21</v>
      </c>
      <c r="B100" s="457">
        <v>45617</v>
      </c>
      <c r="C100" s="428">
        <v>45623</v>
      </c>
      <c r="D100" s="424">
        <v>32326.32</v>
      </c>
      <c r="E100" s="443">
        <v>21.3337</v>
      </c>
      <c r="F100" s="465">
        <v>45627</v>
      </c>
      <c r="G100" s="463">
        <v>45653</v>
      </c>
      <c r="H100" s="444" t="s">
        <v>281</v>
      </c>
      <c r="I100" s="444" t="s">
        <v>282</v>
      </c>
      <c r="J100" s="426" t="s">
        <v>276</v>
      </c>
      <c r="K100" s="427" t="s">
        <v>83</v>
      </c>
      <c r="L100" s="527">
        <v>93315308</v>
      </c>
      <c r="M100" s="428">
        <v>45661</v>
      </c>
      <c r="N100" s="429">
        <f t="shared" si="3"/>
        <v>45683</v>
      </c>
      <c r="O100" s="466">
        <v>45684</v>
      </c>
      <c r="P100" s="477">
        <v>21.045000000000002</v>
      </c>
      <c r="Q100" s="430">
        <f t="shared" si="5"/>
        <v>0.28869999999999862</v>
      </c>
      <c r="R100" s="454"/>
      <c r="S100" s="431">
        <f t="shared" si="4"/>
        <v>9332.608583999956</v>
      </c>
    </row>
    <row r="101" spans="1:19" ht="21.95" hidden="1" customHeight="1" x14ac:dyDescent="0.3">
      <c r="A101" s="425" t="s">
        <v>21</v>
      </c>
      <c r="B101" s="457">
        <v>45618</v>
      </c>
      <c r="C101" s="428">
        <v>45638</v>
      </c>
      <c r="D101" s="424">
        <v>34250.879999999997</v>
      </c>
      <c r="E101" s="443">
        <v>21.836600000000001</v>
      </c>
      <c r="F101" s="465">
        <v>45642</v>
      </c>
      <c r="G101" s="463">
        <v>45664</v>
      </c>
      <c r="H101" s="444" t="s">
        <v>283</v>
      </c>
      <c r="I101" s="444" t="s">
        <v>284</v>
      </c>
      <c r="J101" s="426" t="s">
        <v>130</v>
      </c>
      <c r="K101" s="427" t="s">
        <v>83</v>
      </c>
      <c r="L101" s="527">
        <v>93323346</v>
      </c>
      <c r="M101" s="428">
        <v>45670</v>
      </c>
      <c r="N101" s="429">
        <f t="shared" si="3"/>
        <v>45698</v>
      </c>
      <c r="O101" s="466">
        <v>45698</v>
      </c>
      <c r="P101" s="469">
        <v>21.495999999999999</v>
      </c>
      <c r="Q101" s="430">
        <f t="shared" si="5"/>
        <v>0.34060000000000201</v>
      </c>
      <c r="R101" s="454"/>
      <c r="S101" s="468">
        <f>+D101*Q101</f>
        <v>11665.849728000068</v>
      </c>
    </row>
    <row r="102" spans="1:19" ht="21.95" hidden="1" customHeight="1" x14ac:dyDescent="0.3">
      <c r="A102" s="425" t="s">
        <v>21</v>
      </c>
      <c r="B102" s="457">
        <v>45644</v>
      </c>
      <c r="C102" s="428">
        <v>45671</v>
      </c>
      <c r="D102" s="424">
        <v>36235.32</v>
      </c>
      <c r="E102" s="443">
        <f>20.4978*1.0395</f>
        <v>21.307463100000003</v>
      </c>
      <c r="F102" s="465">
        <v>45679</v>
      </c>
      <c r="G102" s="463">
        <v>45705</v>
      </c>
      <c r="H102" s="444" t="s">
        <v>285</v>
      </c>
      <c r="I102" s="444" t="s">
        <v>286</v>
      </c>
      <c r="J102" s="426" t="s">
        <v>223</v>
      </c>
      <c r="K102" s="427" t="s">
        <v>83</v>
      </c>
      <c r="L102" s="527">
        <v>93336319</v>
      </c>
      <c r="M102" s="428">
        <v>45713</v>
      </c>
      <c r="N102" s="429">
        <f t="shared" si="3"/>
        <v>45731</v>
      </c>
      <c r="O102" s="466">
        <v>45730</v>
      </c>
      <c r="P102" s="476">
        <v>21.756900000000002</v>
      </c>
      <c r="Q102" s="433"/>
      <c r="R102" s="454"/>
      <c r="S102" s="432"/>
    </row>
    <row r="103" spans="1:19" ht="21.95" hidden="1" customHeight="1" x14ac:dyDescent="0.3">
      <c r="A103" s="425" t="s">
        <v>21</v>
      </c>
      <c r="B103" s="457">
        <v>46018</v>
      </c>
      <c r="C103" s="428">
        <v>45691</v>
      </c>
      <c r="D103" s="424">
        <v>33578.879999999997</v>
      </c>
      <c r="E103" s="443">
        <f>20.4722*1.0395</f>
        <v>21.280851900000002</v>
      </c>
      <c r="F103" s="465">
        <v>45684</v>
      </c>
      <c r="G103" s="463">
        <v>45720</v>
      </c>
      <c r="H103" s="444" t="s">
        <v>287</v>
      </c>
      <c r="I103" s="444" t="s">
        <v>288</v>
      </c>
      <c r="J103" s="426" t="s">
        <v>130</v>
      </c>
      <c r="K103" s="427" t="s">
        <v>83</v>
      </c>
      <c r="L103" s="527">
        <v>93346441</v>
      </c>
      <c r="M103" s="428">
        <v>45726</v>
      </c>
      <c r="N103" s="429">
        <f t="shared" si="3"/>
        <v>45751</v>
      </c>
      <c r="O103" s="466">
        <v>45751</v>
      </c>
      <c r="P103" s="469">
        <v>22.155000000000001</v>
      </c>
      <c r="Q103" s="433"/>
      <c r="R103" s="454"/>
      <c r="S103" s="432"/>
    </row>
    <row r="104" spans="1:19" ht="21.95" hidden="1" customHeight="1" x14ac:dyDescent="0.3">
      <c r="A104" s="425" t="s">
        <v>21</v>
      </c>
      <c r="B104" s="457">
        <v>45665</v>
      </c>
      <c r="C104" s="428">
        <v>45694</v>
      </c>
      <c r="D104" s="424">
        <v>29521.32</v>
      </c>
      <c r="E104" s="443">
        <v>21.105899999999998</v>
      </c>
      <c r="F104" s="465">
        <v>45700</v>
      </c>
      <c r="G104" s="463">
        <v>45727</v>
      </c>
      <c r="H104" s="444" t="s">
        <v>289</v>
      </c>
      <c r="I104" s="444" t="s">
        <v>290</v>
      </c>
      <c r="J104" s="426" t="s">
        <v>276</v>
      </c>
      <c r="K104" s="427" t="s">
        <v>83</v>
      </c>
      <c r="L104" s="527">
        <v>93348618</v>
      </c>
      <c r="M104" s="428">
        <v>45731</v>
      </c>
      <c r="N104" s="429">
        <f t="shared" si="3"/>
        <v>45754</v>
      </c>
      <c r="O104" s="466">
        <v>45754</v>
      </c>
      <c r="P104" s="469">
        <v>22.167999999999999</v>
      </c>
      <c r="Q104" s="433"/>
      <c r="R104" s="454"/>
      <c r="S104" s="432"/>
    </row>
    <row r="105" spans="1:19" ht="21.95" hidden="1" customHeight="1" x14ac:dyDescent="0.3">
      <c r="A105" s="442" t="s">
        <v>48</v>
      </c>
      <c r="B105" s="457">
        <v>45671</v>
      </c>
      <c r="C105" s="428">
        <v>45695</v>
      </c>
      <c r="D105" s="424">
        <v>25680</v>
      </c>
      <c r="E105" s="443"/>
      <c r="F105" s="465">
        <v>45698</v>
      </c>
      <c r="G105" s="463">
        <v>45800</v>
      </c>
      <c r="H105" s="444" t="s">
        <v>291</v>
      </c>
      <c r="I105" s="444" t="s">
        <v>292</v>
      </c>
      <c r="J105" s="426" t="s">
        <v>194</v>
      </c>
      <c r="K105" s="427" t="s">
        <v>83</v>
      </c>
      <c r="L105" s="527">
        <v>93349113</v>
      </c>
      <c r="M105" s="428">
        <v>45806</v>
      </c>
      <c r="N105" s="429">
        <f t="shared" si="3"/>
        <v>45755</v>
      </c>
      <c r="O105" s="466">
        <v>45755</v>
      </c>
      <c r="P105" s="469">
        <v>22.039000000000001</v>
      </c>
      <c r="Q105" s="433"/>
      <c r="R105" s="454"/>
      <c r="S105" s="432"/>
    </row>
    <row r="106" spans="1:19" ht="21.95" hidden="1" customHeight="1" x14ac:dyDescent="0.3">
      <c r="A106" s="442" t="s">
        <v>48</v>
      </c>
      <c r="B106" s="457">
        <v>45671</v>
      </c>
      <c r="C106" s="428">
        <v>45695</v>
      </c>
      <c r="D106" s="424">
        <v>32371.919999999998</v>
      </c>
      <c r="E106" s="443"/>
      <c r="F106" s="465">
        <v>45698</v>
      </c>
      <c r="G106" s="463">
        <v>45800</v>
      </c>
      <c r="H106" s="444" t="s">
        <v>293</v>
      </c>
      <c r="I106" s="444" t="s">
        <v>294</v>
      </c>
      <c r="J106" s="426" t="s">
        <v>295</v>
      </c>
      <c r="K106" s="427" t="s">
        <v>83</v>
      </c>
      <c r="L106" s="527">
        <v>93349074</v>
      </c>
      <c r="M106" s="428">
        <v>45805</v>
      </c>
      <c r="N106" s="429">
        <f t="shared" si="3"/>
        <v>45755</v>
      </c>
      <c r="O106" s="466">
        <v>45755</v>
      </c>
      <c r="P106" s="469">
        <v>22.172000000000001</v>
      </c>
      <c r="Q106" s="433"/>
      <c r="R106" s="454"/>
      <c r="S106" s="432"/>
    </row>
    <row r="107" spans="1:19" ht="21.95" hidden="1" customHeight="1" x14ac:dyDescent="0.3">
      <c r="A107" s="425" t="s">
        <v>21</v>
      </c>
      <c r="B107" s="457">
        <v>45678</v>
      </c>
      <c r="C107" s="428">
        <v>45715</v>
      </c>
      <c r="D107" s="424">
        <v>31269.52</v>
      </c>
      <c r="E107" s="443">
        <v>20.918800000000001</v>
      </c>
      <c r="F107" s="465">
        <v>45721</v>
      </c>
      <c r="G107" s="463">
        <v>45743</v>
      </c>
      <c r="H107" s="444" t="s">
        <v>296</v>
      </c>
      <c r="I107" s="444" t="s">
        <v>297</v>
      </c>
      <c r="J107" s="426" t="s">
        <v>276</v>
      </c>
      <c r="K107" s="427" t="s">
        <v>83</v>
      </c>
      <c r="L107" s="527">
        <v>93359083</v>
      </c>
      <c r="M107" s="428">
        <v>45750</v>
      </c>
      <c r="N107" s="429">
        <f t="shared" si="3"/>
        <v>45775</v>
      </c>
      <c r="O107" s="466">
        <v>45775</v>
      </c>
      <c r="P107" s="469">
        <v>22.257999999999999</v>
      </c>
      <c r="Q107" s="433"/>
      <c r="R107" s="454"/>
      <c r="S107" s="432"/>
    </row>
    <row r="108" spans="1:19" ht="18.75" hidden="1" x14ac:dyDescent="0.3">
      <c r="A108" s="425" t="s">
        <v>21</v>
      </c>
      <c r="B108" s="457">
        <v>45679</v>
      </c>
      <c r="C108" s="428">
        <v>45715</v>
      </c>
      <c r="D108" s="424">
        <v>34663.440000000002</v>
      </c>
      <c r="E108" s="443">
        <v>20.918800000000001</v>
      </c>
      <c r="F108" s="465">
        <v>45722</v>
      </c>
      <c r="G108" s="463">
        <v>45743</v>
      </c>
      <c r="H108" s="444" t="s">
        <v>298</v>
      </c>
      <c r="I108" s="444" t="s">
        <v>299</v>
      </c>
      <c r="J108" s="426" t="s">
        <v>130</v>
      </c>
      <c r="K108" s="427" t="s">
        <v>83</v>
      </c>
      <c r="L108" s="527">
        <v>93359159</v>
      </c>
      <c r="M108" s="428">
        <v>45749</v>
      </c>
      <c r="N108" s="429">
        <f t="shared" si="3"/>
        <v>45775</v>
      </c>
      <c r="O108" s="466">
        <v>45775</v>
      </c>
      <c r="P108" s="469">
        <v>22.257999999999999</v>
      </c>
      <c r="Q108" s="430">
        <f t="shared" ref="Q108:Q125" si="6">+E108-P108</f>
        <v>-1.3391999999999982</v>
      </c>
      <c r="R108" s="454"/>
      <c r="S108" s="432"/>
    </row>
    <row r="109" spans="1:19" ht="18.75" hidden="1" x14ac:dyDescent="0.3">
      <c r="A109" s="425" t="s">
        <v>21</v>
      </c>
      <c r="B109" s="457">
        <v>45687</v>
      </c>
      <c r="C109" s="428">
        <v>45723</v>
      </c>
      <c r="D109" s="424">
        <v>27508.799999999999</v>
      </c>
      <c r="E109" s="443">
        <v>21.26</v>
      </c>
      <c r="F109" s="465">
        <v>45728</v>
      </c>
      <c r="G109" s="463">
        <v>45751</v>
      </c>
      <c r="H109" s="444" t="s">
        <v>300</v>
      </c>
      <c r="I109" s="444" t="s">
        <v>301</v>
      </c>
      <c r="J109" s="426" t="s">
        <v>220</v>
      </c>
      <c r="K109" s="427" t="s">
        <v>83</v>
      </c>
      <c r="L109" s="527">
        <v>93363325</v>
      </c>
      <c r="M109" s="428">
        <v>45757</v>
      </c>
      <c r="N109" s="487">
        <v>45809</v>
      </c>
      <c r="O109" s="466">
        <v>45813</v>
      </c>
      <c r="P109" s="476">
        <v>21.979900000000001</v>
      </c>
      <c r="Q109" s="430">
        <f t="shared" si="6"/>
        <v>-0.7198999999999991</v>
      </c>
      <c r="R109" s="454"/>
      <c r="S109" s="432"/>
    </row>
    <row r="110" spans="1:19" ht="18.75" hidden="1" x14ac:dyDescent="0.3">
      <c r="A110" s="425" t="s">
        <v>21</v>
      </c>
      <c r="B110" s="457">
        <v>45700</v>
      </c>
      <c r="C110" s="428">
        <v>45715</v>
      </c>
      <c r="D110" s="424">
        <v>22299.24</v>
      </c>
      <c r="E110" s="443">
        <v>20.918800000000001</v>
      </c>
      <c r="F110" s="465">
        <v>45721</v>
      </c>
      <c r="G110" s="463">
        <v>45743</v>
      </c>
      <c r="H110" s="444" t="s">
        <v>302</v>
      </c>
      <c r="I110" s="444" t="s">
        <v>303</v>
      </c>
      <c r="J110" s="426" t="s">
        <v>276</v>
      </c>
      <c r="K110" s="427" t="s">
        <v>83</v>
      </c>
      <c r="L110" s="527">
        <v>93359081</v>
      </c>
      <c r="M110" s="428">
        <v>45749</v>
      </c>
      <c r="N110" s="487">
        <v>45809</v>
      </c>
      <c r="O110" s="466">
        <v>45811</v>
      </c>
      <c r="P110" s="476">
        <v>22.021899999999999</v>
      </c>
      <c r="Q110" s="430">
        <f t="shared" si="6"/>
        <v>-1.1030999999999977</v>
      </c>
      <c r="R110" s="454"/>
      <c r="S110" s="432"/>
    </row>
    <row r="111" spans="1:19" ht="18.75" hidden="1" x14ac:dyDescent="0.3">
      <c r="A111" s="425" t="s">
        <v>21</v>
      </c>
      <c r="B111" s="457">
        <v>45700</v>
      </c>
      <c r="C111" s="428">
        <v>45737</v>
      </c>
      <c r="D111" s="424">
        <v>32674.799999999999</v>
      </c>
      <c r="E111" s="443">
        <v>21.15</v>
      </c>
      <c r="F111" s="465">
        <v>45742</v>
      </c>
      <c r="G111" s="463">
        <v>45778</v>
      </c>
      <c r="H111" s="444" t="s">
        <v>304</v>
      </c>
      <c r="I111" s="444" t="s">
        <v>305</v>
      </c>
      <c r="J111" s="426" t="s">
        <v>223</v>
      </c>
      <c r="K111" s="427" t="s">
        <v>83</v>
      </c>
      <c r="L111" s="527">
        <v>93370708</v>
      </c>
      <c r="M111" s="428">
        <v>45785</v>
      </c>
      <c r="N111" s="429">
        <f t="shared" si="3"/>
        <v>45797</v>
      </c>
      <c r="O111" s="466">
        <v>45798</v>
      </c>
      <c r="P111" s="476">
        <v>21.8734</v>
      </c>
      <c r="Q111" s="430">
        <f t="shared" si="6"/>
        <v>-0.7234000000000016</v>
      </c>
      <c r="R111" s="454"/>
      <c r="S111" s="432"/>
    </row>
    <row r="112" spans="1:19" ht="18.75" hidden="1" x14ac:dyDescent="0.3">
      <c r="A112" s="425" t="s">
        <v>21</v>
      </c>
      <c r="B112" s="457">
        <v>45700</v>
      </c>
      <c r="C112" s="428">
        <v>45742</v>
      </c>
      <c r="D112" s="424">
        <v>35531.760000000002</v>
      </c>
      <c r="E112" s="443">
        <v>21.13</v>
      </c>
      <c r="F112" s="465">
        <v>45749</v>
      </c>
      <c r="G112" s="463">
        <v>45771</v>
      </c>
      <c r="H112" s="444" t="s">
        <v>306</v>
      </c>
      <c r="I112" s="444" t="s">
        <v>307</v>
      </c>
      <c r="J112" s="426" t="s">
        <v>130</v>
      </c>
      <c r="K112" s="427" t="s">
        <v>83</v>
      </c>
      <c r="L112" s="527">
        <v>93372923</v>
      </c>
      <c r="M112" s="428">
        <v>45777</v>
      </c>
      <c r="N112" s="429">
        <f t="shared" si="3"/>
        <v>45802</v>
      </c>
      <c r="O112" s="466">
        <v>45803</v>
      </c>
      <c r="P112" s="476">
        <v>21.873000000000001</v>
      </c>
      <c r="Q112" s="430">
        <f t="shared" si="6"/>
        <v>-0.7430000000000021</v>
      </c>
      <c r="R112" s="454"/>
      <c r="S112" s="432"/>
    </row>
    <row r="113" spans="1:20" ht="21.95" hidden="1" customHeight="1" x14ac:dyDescent="0.3">
      <c r="A113" s="425" t="s">
        <v>21</v>
      </c>
      <c r="B113" s="457">
        <v>45740</v>
      </c>
      <c r="C113" s="428">
        <v>45758</v>
      </c>
      <c r="D113" s="424">
        <v>31056.52</v>
      </c>
      <c r="E113" s="443">
        <v>22.3597</v>
      </c>
      <c r="F113" s="465">
        <v>45763</v>
      </c>
      <c r="G113" s="463">
        <v>45785</v>
      </c>
      <c r="H113" s="444" t="s">
        <v>308</v>
      </c>
      <c r="I113" s="444" t="s">
        <v>309</v>
      </c>
      <c r="J113" s="426" t="s">
        <v>276</v>
      </c>
      <c r="K113" s="427" t="s">
        <v>83</v>
      </c>
      <c r="L113" s="527">
        <v>93381359</v>
      </c>
      <c r="M113" s="428">
        <v>45791</v>
      </c>
      <c r="N113" s="429">
        <f t="shared" si="3"/>
        <v>45818</v>
      </c>
      <c r="O113" s="466">
        <v>45818</v>
      </c>
      <c r="P113" s="476">
        <v>21.805800000000001</v>
      </c>
      <c r="Q113" s="430">
        <f t="shared" si="6"/>
        <v>0.55389999999999873</v>
      </c>
      <c r="R113" s="454"/>
      <c r="S113" s="432"/>
    </row>
    <row r="114" spans="1:20" ht="21.95" hidden="1" customHeight="1" x14ac:dyDescent="0.3">
      <c r="A114" s="425" t="s">
        <v>21</v>
      </c>
      <c r="B114" s="457">
        <v>45740</v>
      </c>
      <c r="C114" s="428">
        <v>45776</v>
      </c>
      <c r="D114" s="424">
        <v>33925.68</v>
      </c>
      <c r="E114" s="443">
        <v>21.854399999999998</v>
      </c>
      <c r="F114" s="465">
        <v>45784</v>
      </c>
      <c r="G114" s="463">
        <v>45806</v>
      </c>
      <c r="H114" s="444" t="s">
        <v>310</v>
      </c>
      <c r="I114" s="444" t="s">
        <v>311</v>
      </c>
      <c r="J114" s="426" t="s">
        <v>130</v>
      </c>
      <c r="K114" s="427" t="s">
        <v>83</v>
      </c>
      <c r="L114" s="527">
        <v>93390042</v>
      </c>
      <c r="M114" s="428">
        <v>45812</v>
      </c>
      <c r="N114" s="429">
        <f t="shared" si="3"/>
        <v>45836</v>
      </c>
      <c r="O114" s="466">
        <v>45838</v>
      </c>
      <c r="P114" s="476">
        <v>22.239000000000001</v>
      </c>
      <c r="Q114" s="430">
        <f t="shared" si="6"/>
        <v>-0.3846000000000025</v>
      </c>
      <c r="R114" s="454"/>
      <c r="S114" s="432"/>
    </row>
    <row r="115" spans="1:20" ht="21.95" hidden="1" customHeight="1" x14ac:dyDescent="0.3">
      <c r="A115" s="425" t="s">
        <v>21</v>
      </c>
      <c r="B115" s="457">
        <v>45751</v>
      </c>
      <c r="C115" s="428">
        <v>45776</v>
      </c>
      <c r="D115" s="424">
        <v>30799.8</v>
      </c>
      <c r="E115" s="443">
        <v>21.854399999999998</v>
      </c>
      <c r="F115" s="465">
        <v>45784</v>
      </c>
      <c r="G115" s="463">
        <v>45806</v>
      </c>
      <c r="H115" s="444" t="s">
        <v>312</v>
      </c>
      <c r="I115" s="444" t="s">
        <v>313</v>
      </c>
      <c r="J115" s="426" t="s">
        <v>276</v>
      </c>
      <c r="K115" s="427" t="s">
        <v>83</v>
      </c>
      <c r="L115" s="527">
        <v>93390020</v>
      </c>
      <c r="M115" s="428">
        <v>45813</v>
      </c>
      <c r="N115" s="429">
        <f t="shared" ref="N115:N120" si="7">+C115+60</f>
        <v>45836</v>
      </c>
      <c r="O115" s="466">
        <v>45838</v>
      </c>
      <c r="P115" s="476">
        <v>22.179600000000001</v>
      </c>
      <c r="Q115" s="430">
        <f t="shared" si="6"/>
        <v>-0.32520000000000238</v>
      </c>
      <c r="R115" s="454"/>
      <c r="S115" s="432"/>
    </row>
    <row r="116" spans="1:20" ht="21.95" hidden="1" customHeight="1" x14ac:dyDescent="0.3">
      <c r="A116" s="425" t="s">
        <v>21</v>
      </c>
      <c r="B116" s="457">
        <v>45755</v>
      </c>
      <c r="C116" s="428">
        <v>45783</v>
      </c>
      <c r="D116" s="424">
        <v>30271.56</v>
      </c>
      <c r="E116" s="443">
        <v>21.888000000000002</v>
      </c>
      <c r="F116" s="465">
        <v>45791</v>
      </c>
      <c r="G116" s="463">
        <v>45814</v>
      </c>
      <c r="H116" s="444" t="s">
        <v>314</v>
      </c>
      <c r="I116" s="444" t="s">
        <v>41</v>
      </c>
      <c r="J116" s="426" t="s">
        <v>276</v>
      </c>
      <c r="K116" s="427" t="s">
        <v>83</v>
      </c>
      <c r="L116" s="527">
        <v>93392992</v>
      </c>
      <c r="M116" s="428">
        <v>45819</v>
      </c>
      <c r="N116" s="429">
        <f t="shared" si="7"/>
        <v>45843</v>
      </c>
      <c r="O116" s="466">
        <v>45845</v>
      </c>
      <c r="P116" s="476">
        <v>21.994399999999999</v>
      </c>
      <c r="Q116" s="430">
        <f t="shared" si="6"/>
        <v>-0.10639999999999716</v>
      </c>
      <c r="R116" s="454"/>
      <c r="S116" s="432"/>
    </row>
    <row r="117" spans="1:20" ht="21.95" hidden="1" customHeight="1" x14ac:dyDescent="0.3">
      <c r="A117" s="425" t="s">
        <v>21</v>
      </c>
      <c r="B117" s="457">
        <v>45755</v>
      </c>
      <c r="C117" s="428">
        <v>45783</v>
      </c>
      <c r="D117" s="424">
        <v>36325.08</v>
      </c>
      <c r="E117" s="443">
        <v>21.888000000000002</v>
      </c>
      <c r="F117" s="465">
        <v>45791</v>
      </c>
      <c r="G117" s="463">
        <v>45813</v>
      </c>
      <c r="H117" s="444" t="s">
        <v>315</v>
      </c>
      <c r="I117" s="444" t="s">
        <v>316</v>
      </c>
      <c r="J117" s="426" t="s">
        <v>223</v>
      </c>
      <c r="K117" s="427" t="s">
        <v>83</v>
      </c>
      <c r="L117" s="527">
        <v>93393121</v>
      </c>
      <c r="M117" s="428">
        <v>45819</v>
      </c>
      <c r="N117" s="429">
        <f t="shared" si="7"/>
        <v>45843</v>
      </c>
      <c r="O117" s="466">
        <v>45845</v>
      </c>
      <c r="P117" s="476">
        <v>21.898</v>
      </c>
      <c r="Q117" s="430">
        <f t="shared" si="6"/>
        <v>-9.9999999999980105E-3</v>
      </c>
      <c r="R117" s="454"/>
      <c r="S117" s="432"/>
    </row>
    <row r="118" spans="1:20" ht="21.95" hidden="1" customHeight="1" x14ac:dyDescent="0.3">
      <c r="A118" s="486" t="s">
        <v>317</v>
      </c>
      <c r="B118" s="457">
        <v>45758</v>
      </c>
      <c r="C118" s="428">
        <v>45776</v>
      </c>
      <c r="D118" s="424">
        <v>30426.36</v>
      </c>
      <c r="E118" s="443">
        <v>21.570399999999999</v>
      </c>
      <c r="F118" s="465">
        <v>45783</v>
      </c>
      <c r="G118" s="463">
        <v>45827</v>
      </c>
      <c r="H118" s="444" t="s">
        <v>318</v>
      </c>
      <c r="I118" s="444" t="s">
        <v>319</v>
      </c>
      <c r="J118" s="426" t="s">
        <v>130</v>
      </c>
      <c r="K118" s="427" t="s">
        <v>83</v>
      </c>
      <c r="L118" s="527">
        <v>93390066</v>
      </c>
      <c r="M118" s="428">
        <v>45836</v>
      </c>
      <c r="N118" s="429">
        <f t="shared" si="7"/>
        <v>45836</v>
      </c>
      <c r="O118" s="466">
        <v>45838</v>
      </c>
      <c r="P118" s="476">
        <v>22.129899999999999</v>
      </c>
      <c r="Q118" s="430">
        <f t="shared" si="6"/>
        <v>-0.55949999999999989</v>
      </c>
      <c r="R118" s="454"/>
      <c r="S118" s="432"/>
    </row>
    <row r="119" spans="1:20" ht="21.95" hidden="1" customHeight="1" x14ac:dyDescent="0.3">
      <c r="A119" s="425" t="s">
        <v>21</v>
      </c>
      <c r="B119" s="457">
        <v>45792</v>
      </c>
      <c r="C119" s="428">
        <v>45811</v>
      </c>
      <c r="D119" s="424">
        <v>24840</v>
      </c>
      <c r="E119" s="443">
        <v>21.959</v>
      </c>
      <c r="F119" s="465">
        <v>45819</v>
      </c>
      <c r="G119" s="463">
        <v>45848</v>
      </c>
      <c r="H119" s="444" t="s">
        <v>23</v>
      </c>
      <c r="I119" s="444" t="s">
        <v>24</v>
      </c>
      <c r="J119" s="426" t="s">
        <v>320</v>
      </c>
      <c r="K119" s="427" t="s">
        <v>83</v>
      </c>
      <c r="L119" s="527">
        <v>93408147</v>
      </c>
      <c r="M119" s="428">
        <v>45856</v>
      </c>
      <c r="N119" s="429">
        <f t="shared" si="7"/>
        <v>45871</v>
      </c>
      <c r="O119" s="466">
        <v>45873</v>
      </c>
      <c r="P119" s="476">
        <v>21.712979066022545</v>
      </c>
      <c r="Q119" s="430">
        <f t="shared" ref="Q119" si="8">+E119-P119</f>
        <v>0.24602093397745506</v>
      </c>
      <c r="R119" s="454" t="s">
        <v>27</v>
      </c>
      <c r="S119" s="432"/>
    </row>
    <row r="120" spans="1:20" ht="21.95" hidden="1" customHeight="1" x14ac:dyDescent="0.3">
      <c r="A120" s="488" t="s">
        <v>28</v>
      </c>
      <c r="B120" s="457">
        <v>45792</v>
      </c>
      <c r="C120" s="428">
        <v>45804</v>
      </c>
      <c r="D120" s="424">
        <v>24840</v>
      </c>
      <c r="E120" s="443">
        <v>21.667000000000002</v>
      </c>
      <c r="F120" s="465">
        <v>45812</v>
      </c>
      <c r="G120" s="463">
        <v>45831</v>
      </c>
      <c r="H120" s="444" t="s">
        <v>30</v>
      </c>
      <c r="I120" s="444" t="s">
        <v>31</v>
      </c>
      <c r="J120" s="426" t="s">
        <v>32</v>
      </c>
      <c r="K120" s="427" t="s">
        <v>83</v>
      </c>
      <c r="L120" s="527">
        <v>93404833</v>
      </c>
      <c r="M120" s="428">
        <v>45835</v>
      </c>
      <c r="N120" s="429">
        <f t="shared" si="7"/>
        <v>45864</v>
      </c>
      <c r="O120" s="466">
        <v>45866</v>
      </c>
      <c r="P120" s="476">
        <v>21.796099999999999</v>
      </c>
      <c r="Q120" s="430">
        <f t="shared" si="6"/>
        <v>-0.12909999999999755</v>
      </c>
      <c r="R120" s="454" t="s">
        <v>27</v>
      </c>
      <c r="S120" s="432"/>
    </row>
    <row r="121" spans="1:20" ht="21.95" hidden="1" customHeight="1" x14ac:dyDescent="0.3">
      <c r="A121" s="425" t="s">
        <v>21</v>
      </c>
      <c r="B121" s="457">
        <v>45819</v>
      </c>
      <c r="C121" s="428">
        <v>45831</v>
      </c>
      <c r="D121" s="424">
        <v>24000</v>
      </c>
      <c r="E121" s="443">
        <v>21.850100000000001</v>
      </c>
      <c r="F121" s="465">
        <v>45840</v>
      </c>
      <c r="G121" s="463">
        <v>45862</v>
      </c>
      <c r="H121" s="444" t="s">
        <v>36</v>
      </c>
      <c r="I121" s="444" t="s">
        <v>37</v>
      </c>
      <c r="J121" s="426" t="s">
        <v>320</v>
      </c>
      <c r="K121" s="427" t="s">
        <v>83</v>
      </c>
      <c r="L121" s="527">
        <v>93418412</v>
      </c>
      <c r="M121" s="428">
        <v>45869</v>
      </c>
      <c r="N121" s="429">
        <f t="shared" ref="N121" si="9">+C121+60</f>
        <v>45891</v>
      </c>
      <c r="O121" s="466">
        <v>45891</v>
      </c>
      <c r="P121" s="476">
        <v>21.785</v>
      </c>
      <c r="Q121" s="430">
        <f t="shared" si="6"/>
        <v>6.5100000000001046E-2</v>
      </c>
      <c r="R121" s="454" t="s">
        <v>27</v>
      </c>
      <c r="S121" s="432"/>
    </row>
    <row r="122" spans="1:20" ht="21.95" hidden="1" customHeight="1" x14ac:dyDescent="0.3">
      <c r="A122" s="425" t="s">
        <v>21</v>
      </c>
      <c r="B122" s="457">
        <v>45854</v>
      </c>
      <c r="C122" s="428">
        <v>45868</v>
      </c>
      <c r="D122" s="424">
        <v>32946.239999999998</v>
      </c>
      <c r="E122" s="443">
        <v>21.412299999999998</v>
      </c>
      <c r="F122" s="465">
        <v>45875</v>
      </c>
      <c r="G122" s="463">
        <v>45904</v>
      </c>
      <c r="H122" s="444" t="s">
        <v>321</v>
      </c>
      <c r="I122" s="444" t="s">
        <v>322</v>
      </c>
      <c r="J122" s="426" t="s">
        <v>323</v>
      </c>
      <c r="K122" s="427" t="s">
        <v>83</v>
      </c>
      <c r="L122" s="527">
        <v>93437530</v>
      </c>
      <c r="M122" s="428">
        <v>45910</v>
      </c>
      <c r="N122" s="429">
        <f t="shared" ref="N122" si="10">+C122+60</f>
        <v>45928</v>
      </c>
      <c r="O122" s="466">
        <v>45926</v>
      </c>
      <c r="P122" s="476">
        <v>21.560700000000001</v>
      </c>
      <c r="Q122" s="430">
        <f t="shared" si="6"/>
        <v>-0.14840000000000231</v>
      </c>
      <c r="R122" s="454"/>
      <c r="S122" s="432"/>
    </row>
    <row r="123" spans="1:20" ht="21.95" hidden="1" customHeight="1" x14ac:dyDescent="0.3">
      <c r="A123" s="442" t="s">
        <v>48</v>
      </c>
      <c r="B123" s="457">
        <v>45859</v>
      </c>
      <c r="C123" s="428">
        <v>45875</v>
      </c>
      <c r="D123" s="424">
        <v>24000</v>
      </c>
      <c r="E123" s="443">
        <v>21.4392</v>
      </c>
      <c r="F123" s="465">
        <v>45881</v>
      </c>
      <c r="G123" s="463">
        <v>45919</v>
      </c>
      <c r="H123" s="444" t="s">
        <v>324</v>
      </c>
      <c r="I123" s="444" t="s">
        <v>325</v>
      </c>
      <c r="J123" s="426" t="s">
        <v>194</v>
      </c>
      <c r="K123" s="427" t="s">
        <v>83</v>
      </c>
      <c r="L123" s="527">
        <v>93441061</v>
      </c>
      <c r="M123" s="428">
        <v>45924</v>
      </c>
      <c r="N123" s="429">
        <f t="shared" ref="N123:N125" si="11">+C123+60</f>
        <v>45935</v>
      </c>
      <c r="O123" s="466">
        <v>45936</v>
      </c>
      <c r="P123" s="476">
        <v>21.577400000000001</v>
      </c>
      <c r="Q123" s="430">
        <f t="shared" si="6"/>
        <v>-0.13820000000000121</v>
      </c>
      <c r="R123" s="454" t="s">
        <v>27</v>
      </c>
      <c r="S123" s="432"/>
    </row>
    <row r="124" spans="1:20" ht="21.95" hidden="1" customHeight="1" x14ac:dyDescent="0.3">
      <c r="A124" s="425" t="s">
        <v>21</v>
      </c>
      <c r="B124" s="457">
        <v>45876</v>
      </c>
      <c r="C124" s="428">
        <v>45903</v>
      </c>
      <c r="D124" s="424">
        <v>36051.360000000001</v>
      </c>
      <c r="E124" s="443">
        <v>21.449100000000001</v>
      </c>
      <c r="F124" s="465">
        <v>45910</v>
      </c>
      <c r="G124" s="463">
        <v>45932</v>
      </c>
      <c r="H124" s="444" t="s">
        <v>326</v>
      </c>
      <c r="I124" s="444" t="s">
        <v>327</v>
      </c>
      <c r="J124" s="426" t="s">
        <v>328</v>
      </c>
      <c r="K124" s="427" t="s">
        <v>83</v>
      </c>
      <c r="L124" s="527">
        <v>93455540</v>
      </c>
      <c r="M124" s="428">
        <v>45937</v>
      </c>
      <c r="N124" s="429">
        <f t="shared" si="11"/>
        <v>45963</v>
      </c>
      <c r="O124" s="466">
        <v>45964</v>
      </c>
      <c r="P124" s="476">
        <v>21.428799999999999</v>
      </c>
      <c r="Q124" s="430">
        <f t="shared" si="6"/>
        <v>2.0300000000002427E-2</v>
      </c>
      <c r="R124" s="454"/>
      <c r="S124" s="432"/>
      <c r="T124" s="516"/>
    </row>
    <row r="125" spans="1:20" ht="21.95" hidden="1" customHeight="1" x14ac:dyDescent="0.3">
      <c r="A125" s="425" t="s">
        <v>21</v>
      </c>
      <c r="B125" s="457">
        <v>45888</v>
      </c>
      <c r="C125" s="428">
        <v>45902</v>
      </c>
      <c r="D125" s="424">
        <v>22852.799999999999</v>
      </c>
      <c r="E125" s="443">
        <v>21.480499999999999</v>
      </c>
      <c r="F125" s="465">
        <v>45906</v>
      </c>
      <c r="G125" s="463">
        <v>45922</v>
      </c>
      <c r="H125" s="444" t="s">
        <v>329</v>
      </c>
      <c r="I125" s="444" t="s">
        <v>330</v>
      </c>
      <c r="J125" s="426" t="s">
        <v>331</v>
      </c>
      <c r="K125" s="427" t="s">
        <v>83</v>
      </c>
      <c r="L125" s="527">
        <v>93454824</v>
      </c>
      <c r="M125" s="428">
        <v>46017</v>
      </c>
      <c r="N125" s="429">
        <f t="shared" si="11"/>
        <v>45962</v>
      </c>
      <c r="O125" s="466">
        <v>45964</v>
      </c>
      <c r="P125" s="476">
        <v>21.370200000000001</v>
      </c>
      <c r="Q125" s="430">
        <f t="shared" si="6"/>
        <v>0.11029999999999873</v>
      </c>
      <c r="R125" s="454"/>
      <c r="S125" s="432"/>
      <c r="T125" s="516"/>
    </row>
    <row r="126" spans="1:20" ht="21.95" hidden="1" customHeight="1" x14ac:dyDescent="0.3">
      <c r="A126" s="425" t="s">
        <v>21</v>
      </c>
      <c r="B126" s="457">
        <v>45897</v>
      </c>
      <c r="C126" s="428">
        <v>45922</v>
      </c>
      <c r="D126" s="424">
        <v>30228.6</v>
      </c>
      <c r="E126" s="443">
        <v>21.804099999999998</v>
      </c>
      <c r="F126" s="465">
        <v>45927</v>
      </c>
      <c r="G126" s="463">
        <v>45943</v>
      </c>
      <c r="H126" s="444" t="s">
        <v>332</v>
      </c>
      <c r="I126" s="444" t="s">
        <v>333</v>
      </c>
      <c r="J126" s="426" t="s">
        <v>276</v>
      </c>
      <c r="K126" s="427" t="s">
        <v>83</v>
      </c>
      <c r="L126" s="527">
        <v>93464720</v>
      </c>
      <c r="M126" s="428">
        <v>45952</v>
      </c>
      <c r="N126" s="429">
        <f t="shared" ref="N126" si="12">+C126+60</f>
        <v>45982</v>
      </c>
      <c r="O126" s="466">
        <f>+C126+59</f>
        <v>45981</v>
      </c>
      <c r="P126" s="476">
        <v>21.2849</v>
      </c>
      <c r="Q126" s="430">
        <f t="shared" ref="Q126" si="13">+E126-P126</f>
        <v>0.51919999999999789</v>
      </c>
      <c r="R126" s="454"/>
      <c r="S126" s="432"/>
    </row>
    <row r="127" spans="1:20" ht="21.95" hidden="1" customHeight="1" x14ac:dyDescent="0.3">
      <c r="A127" s="425" t="s">
        <v>21</v>
      </c>
      <c r="B127" s="457">
        <v>45908</v>
      </c>
      <c r="C127" s="428">
        <v>45922</v>
      </c>
      <c r="D127" s="424">
        <v>22852.799999999999</v>
      </c>
      <c r="E127" s="443">
        <v>21.804099999999998</v>
      </c>
      <c r="F127" s="465">
        <v>45927</v>
      </c>
      <c r="G127" s="463">
        <v>45943</v>
      </c>
      <c r="H127" s="444" t="s">
        <v>334</v>
      </c>
      <c r="I127" s="444" t="s">
        <v>335</v>
      </c>
      <c r="J127" s="426" t="s">
        <v>320</v>
      </c>
      <c r="K127" s="427" t="s">
        <v>83</v>
      </c>
      <c r="L127" s="527">
        <v>93464800</v>
      </c>
      <c r="M127" s="428">
        <v>45968</v>
      </c>
      <c r="N127" s="429">
        <f t="shared" ref="N127" si="14">+C127+60</f>
        <v>45982</v>
      </c>
      <c r="O127" s="466">
        <f t="shared" ref="O127:O129" si="15">+C127+59</f>
        <v>45981</v>
      </c>
      <c r="P127" s="476">
        <v>21.218800000000002</v>
      </c>
      <c r="Q127" s="430">
        <f t="shared" ref="Q127" si="16">+E127-P127</f>
        <v>0.5852999999999966</v>
      </c>
      <c r="R127" s="454"/>
      <c r="S127" s="432"/>
      <c r="T127" s="522"/>
    </row>
    <row r="128" spans="1:20" ht="21.95" hidden="1" customHeight="1" x14ac:dyDescent="0.3">
      <c r="A128" s="425" t="s">
        <v>21</v>
      </c>
      <c r="B128" s="457">
        <v>45908</v>
      </c>
      <c r="C128" s="428">
        <v>45931</v>
      </c>
      <c r="D128" s="424">
        <v>31602.959999999999</v>
      </c>
      <c r="E128" s="443">
        <v>21.78</v>
      </c>
      <c r="F128" s="465">
        <v>45938</v>
      </c>
      <c r="G128" s="463">
        <v>45962</v>
      </c>
      <c r="H128" s="444" t="s">
        <v>336</v>
      </c>
      <c r="I128" s="444" t="s">
        <v>337</v>
      </c>
      <c r="J128" s="426" t="s">
        <v>223</v>
      </c>
      <c r="K128" s="427" t="s">
        <v>83</v>
      </c>
      <c r="L128" s="527">
        <v>93469705</v>
      </c>
      <c r="M128" s="428">
        <v>45968</v>
      </c>
      <c r="N128" s="429">
        <f t="shared" ref="N128" si="17">+C128+60</f>
        <v>45991</v>
      </c>
      <c r="O128" s="466">
        <f t="shared" si="15"/>
        <v>45990</v>
      </c>
      <c r="P128" s="476">
        <v>21.285900000000002</v>
      </c>
      <c r="Q128" s="430">
        <f t="shared" ref="Q128" si="18">+E128-P128</f>
        <v>0.49409999999999954</v>
      </c>
      <c r="R128" s="454"/>
      <c r="S128" s="432"/>
    </row>
    <row r="129" spans="1:19" ht="21.95" hidden="1" customHeight="1" x14ac:dyDescent="0.3">
      <c r="A129" s="425" t="s">
        <v>21</v>
      </c>
      <c r="B129" s="457">
        <v>45947</v>
      </c>
      <c r="C129" s="428">
        <v>45959</v>
      </c>
      <c r="D129" s="424">
        <v>34449.480000000003</v>
      </c>
      <c r="E129" s="443"/>
      <c r="F129" s="465">
        <v>45966</v>
      </c>
      <c r="G129" s="463">
        <v>45997</v>
      </c>
      <c r="H129" s="444" t="s">
        <v>338</v>
      </c>
      <c r="I129" s="444" t="s">
        <v>339</v>
      </c>
      <c r="J129" s="426" t="s">
        <v>130</v>
      </c>
      <c r="K129" s="427" t="s">
        <v>83</v>
      </c>
      <c r="L129" s="527">
        <v>93483501</v>
      </c>
      <c r="M129" s="428">
        <v>46003</v>
      </c>
      <c r="N129" s="429">
        <f t="shared" ref="N129" si="19">+C129+60</f>
        <v>46019</v>
      </c>
      <c r="O129" s="466">
        <f t="shared" si="15"/>
        <v>46018</v>
      </c>
      <c r="P129" s="476">
        <v>21.109200000000001</v>
      </c>
      <c r="Q129" s="430">
        <f t="shared" ref="Q129" si="20">+E129-P129</f>
        <v>-21.109200000000001</v>
      </c>
      <c r="R129" s="454"/>
      <c r="S129" s="432"/>
    </row>
    <row r="130" spans="1:19" ht="21.95" hidden="1" customHeight="1" x14ac:dyDescent="0.35">
      <c r="A130" s="425" t="s">
        <v>21</v>
      </c>
      <c r="B130" s="457">
        <v>45974</v>
      </c>
      <c r="C130" s="428">
        <v>45994</v>
      </c>
      <c r="D130" s="424">
        <v>29367.599999999999</v>
      </c>
      <c r="E130" s="443"/>
      <c r="F130" s="465">
        <v>46001</v>
      </c>
      <c r="G130" s="463">
        <v>46025</v>
      </c>
      <c r="H130" s="444" t="s">
        <v>340</v>
      </c>
      <c r="I130" s="519" t="s">
        <v>341</v>
      </c>
      <c r="J130" s="426" t="s">
        <v>185</v>
      </c>
      <c r="K130" s="427" t="s">
        <v>83</v>
      </c>
      <c r="L130" s="527">
        <v>93501412</v>
      </c>
      <c r="M130" s="428">
        <v>46030</v>
      </c>
      <c r="N130" s="532">
        <f t="shared" ref="N130" si="21">+C130+60</f>
        <v>46054</v>
      </c>
      <c r="O130" s="466">
        <f>+C130+60</f>
        <v>46054</v>
      </c>
      <c r="P130" s="476">
        <v>20.629899999999999</v>
      </c>
      <c r="Q130" s="430">
        <f t="shared" ref="Q130" si="22">+E130-P130</f>
        <v>-20.629899999999999</v>
      </c>
      <c r="R130" s="454"/>
      <c r="S130" s="432"/>
    </row>
    <row r="131" spans="1:19" ht="21.95" hidden="1" customHeight="1" x14ac:dyDescent="0.3">
      <c r="A131" s="425" t="s">
        <v>21</v>
      </c>
      <c r="B131" s="457">
        <v>45964</v>
      </c>
      <c r="C131" s="428">
        <v>46021</v>
      </c>
      <c r="D131" s="424">
        <v>21362.400000000001</v>
      </c>
      <c r="E131" s="443"/>
      <c r="F131" s="465">
        <v>46029</v>
      </c>
      <c r="G131" s="463">
        <v>46053</v>
      </c>
      <c r="H131" s="444" t="s">
        <v>342</v>
      </c>
      <c r="I131" s="517" t="s">
        <v>343</v>
      </c>
      <c r="J131" s="426" t="s">
        <v>344</v>
      </c>
      <c r="K131" s="427" t="s">
        <v>83</v>
      </c>
      <c r="L131" s="527">
        <v>93513066</v>
      </c>
      <c r="M131" s="428">
        <v>46065</v>
      </c>
      <c r="N131" s="532">
        <f t="shared" ref="N131" si="23">+C131+60</f>
        <v>46081</v>
      </c>
      <c r="O131" s="466">
        <f t="shared" ref="O131:O136" si="24">+C131+60</f>
        <v>46081</v>
      </c>
      <c r="P131" s="476">
        <v>20.405000000000001</v>
      </c>
      <c r="Q131" s="430">
        <f t="shared" ref="Q131" si="25">+E131-P131</f>
        <v>-20.405000000000001</v>
      </c>
      <c r="R131" s="454"/>
      <c r="S131" s="432"/>
    </row>
    <row r="132" spans="1:19" ht="21.95" hidden="1" customHeight="1" x14ac:dyDescent="0.3">
      <c r="A132" s="425" t="s">
        <v>21</v>
      </c>
      <c r="B132" s="457">
        <v>45999</v>
      </c>
      <c r="C132" s="428">
        <v>46031</v>
      </c>
      <c r="D132" s="424">
        <v>28942.68</v>
      </c>
      <c r="E132" s="443"/>
      <c r="F132" s="465">
        <v>46036</v>
      </c>
      <c r="G132" s="463">
        <v>46060</v>
      </c>
      <c r="H132" s="444" t="s">
        <v>345</v>
      </c>
      <c r="I132" s="517" t="s">
        <v>346</v>
      </c>
      <c r="J132" s="426" t="s">
        <v>185</v>
      </c>
      <c r="K132" s="427" t="s">
        <v>26</v>
      </c>
      <c r="L132" s="527">
        <v>93516800</v>
      </c>
      <c r="M132" s="428">
        <f t="shared" ref="M132:M137" si="26">+G132+6</f>
        <v>46066</v>
      </c>
      <c r="N132" s="532">
        <v>46091</v>
      </c>
      <c r="O132" s="466">
        <f t="shared" si="24"/>
        <v>46091</v>
      </c>
      <c r="P132" s="476">
        <v>20.511600000000001</v>
      </c>
      <c r="Q132" s="430">
        <f t="shared" ref="Q132" si="27">+E132-P132</f>
        <v>-20.511600000000001</v>
      </c>
      <c r="R132" s="454"/>
      <c r="S132" s="432"/>
    </row>
    <row r="133" spans="1:19" ht="21.95" hidden="1" customHeight="1" x14ac:dyDescent="0.3">
      <c r="A133" s="425" t="s">
        <v>48</v>
      </c>
      <c r="B133" s="457">
        <v>45999</v>
      </c>
      <c r="C133" s="428">
        <v>46014</v>
      </c>
      <c r="D133" s="424">
        <v>21362.400000000001</v>
      </c>
      <c r="E133" s="443"/>
      <c r="F133" s="465">
        <v>46021</v>
      </c>
      <c r="G133" s="463">
        <v>46057</v>
      </c>
      <c r="H133" s="444" t="s">
        <v>347</v>
      </c>
      <c r="I133" s="517" t="s">
        <v>348</v>
      </c>
      <c r="J133" s="426" t="s">
        <v>349</v>
      </c>
      <c r="K133" s="427" t="s">
        <v>83</v>
      </c>
      <c r="L133" s="527">
        <v>93511490</v>
      </c>
      <c r="M133" s="428">
        <v>46067</v>
      </c>
      <c r="N133" s="532">
        <f t="shared" ref="N133:N137" si="28">+C133+60</f>
        <v>46074</v>
      </c>
      <c r="O133" s="466">
        <f t="shared" si="24"/>
        <v>46074</v>
      </c>
      <c r="P133" s="476">
        <v>20.23</v>
      </c>
      <c r="Q133" s="430">
        <f t="shared" ref="Q133" si="29">+E133-P133</f>
        <v>-20.23</v>
      </c>
      <c r="R133" s="454"/>
      <c r="S133" s="432"/>
    </row>
    <row r="134" spans="1:19" ht="21.95" hidden="1" customHeight="1" x14ac:dyDescent="0.3">
      <c r="A134" s="425" t="s">
        <v>21</v>
      </c>
      <c r="B134" s="457">
        <v>46024</v>
      </c>
      <c r="C134" s="428">
        <v>46050</v>
      </c>
      <c r="D134" s="424">
        <v>21362.400000000001</v>
      </c>
      <c r="E134" s="443"/>
      <c r="F134" s="465">
        <v>46057</v>
      </c>
      <c r="G134" s="463">
        <v>46081</v>
      </c>
      <c r="H134" s="444" t="s">
        <v>980</v>
      </c>
      <c r="I134" s="517" t="s">
        <v>350</v>
      </c>
      <c r="J134" s="426" t="s">
        <v>351</v>
      </c>
      <c r="K134" s="427" t="s">
        <v>26</v>
      </c>
      <c r="L134" s="527">
        <v>93517840</v>
      </c>
      <c r="M134" s="428">
        <f t="shared" si="26"/>
        <v>46087</v>
      </c>
      <c r="N134" s="532">
        <f t="shared" si="28"/>
        <v>46110</v>
      </c>
      <c r="O134" s="466">
        <f t="shared" si="24"/>
        <v>46110</v>
      </c>
      <c r="P134" s="476">
        <v>20.789899999999999</v>
      </c>
      <c r="Q134" s="430"/>
      <c r="R134" s="454"/>
      <c r="S134" s="432"/>
    </row>
    <row r="135" spans="1:19" ht="21.95" hidden="1" customHeight="1" x14ac:dyDescent="0.3">
      <c r="A135" s="425" t="s">
        <v>21</v>
      </c>
      <c r="B135" s="457">
        <v>46029</v>
      </c>
      <c r="C135" s="428">
        <v>46042</v>
      </c>
      <c r="D135" s="424">
        <v>21362.400000000001</v>
      </c>
      <c r="E135" s="443"/>
      <c r="F135" s="465">
        <v>46050</v>
      </c>
      <c r="G135" s="463">
        <v>46074</v>
      </c>
      <c r="H135" s="444" t="s">
        <v>979</v>
      </c>
      <c r="I135" s="517" t="s">
        <v>352</v>
      </c>
      <c r="J135" s="426" t="s">
        <v>353</v>
      </c>
      <c r="K135" s="427" t="s">
        <v>26</v>
      </c>
      <c r="L135" s="527">
        <v>93520104</v>
      </c>
      <c r="M135" s="428">
        <f t="shared" si="26"/>
        <v>46080</v>
      </c>
      <c r="N135" s="532">
        <f t="shared" si="28"/>
        <v>46102</v>
      </c>
      <c r="O135" s="466">
        <f t="shared" si="24"/>
        <v>46102</v>
      </c>
      <c r="P135" s="476">
        <v>20.4666</v>
      </c>
      <c r="Q135" s="430"/>
      <c r="R135" s="454"/>
      <c r="S135" s="432"/>
    </row>
    <row r="136" spans="1:19" ht="21.95" customHeight="1" x14ac:dyDescent="0.3">
      <c r="A136" s="425" t="s">
        <v>21</v>
      </c>
      <c r="B136" s="457">
        <v>46044</v>
      </c>
      <c r="C136" s="428">
        <v>46071</v>
      </c>
      <c r="D136" s="424">
        <v>29048.639999999999</v>
      </c>
      <c r="E136" s="443"/>
      <c r="F136" s="465">
        <v>46078</v>
      </c>
      <c r="G136" s="463">
        <v>46102</v>
      </c>
      <c r="H136" s="444" t="s">
        <v>992</v>
      </c>
      <c r="I136" s="517" t="s">
        <v>993</v>
      </c>
      <c r="J136" s="426" t="s">
        <v>185</v>
      </c>
      <c r="K136" s="427" t="s">
        <v>26</v>
      </c>
      <c r="L136" s="527">
        <v>93524793</v>
      </c>
      <c r="M136" s="428">
        <f t="shared" si="26"/>
        <v>46108</v>
      </c>
      <c r="N136" s="532">
        <f t="shared" si="28"/>
        <v>46131</v>
      </c>
      <c r="O136" s="466">
        <f t="shared" si="24"/>
        <v>46131</v>
      </c>
      <c r="P136" s="471">
        <v>20.393799999999999</v>
      </c>
      <c r="Q136" s="430"/>
      <c r="R136" s="454"/>
      <c r="S136" s="432"/>
    </row>
    <row r="137" spans="1:19" ht="21.95" customHeight="1" x14ac:dyDescent="0.3">
      <c r="A137" s="425" t="s">
        <v>21</v>
      </c>
      <c r="B137" s="457">
        <v>46080</v>
      </c>
      <c r="C137" s="428">
        <v>46106</v>
      </c>
      <c r="D137" s="424">
        <v>22852.799999999999</v>
      </c>
      <c r="E137" s="443"/>
      <c r="F137" s="465">
        <v>46120</v>
      </c>
      <c r="G137" s="463">
        <v>46144</v>
      </c>
      <c r="H137" s="444" t="s">
        <v>1010</v>
      </c>
      <c r="I137" s="517" t="s">
        <v>1011</v>
      </c>
      <c r="J137" s="426" t="s">
        <v>344</v>
      </c>
      <c r="K137" s="427" t="s">
        <v>83</v>
      </c>
      <c r="L137" s="527">
        <v>93554970</v>
      </c>
      <c r="M137" s="428">
        <f t="shared" si="26"/>
        <v>46150</v>
      </c>
      <c r="N137" s="532">
        <f t="shared" si="28"/>
        <v>46166</v>
      </c>
      <c r="O137" s="466">
        <v>46168</v>
      </c>
      <c r="P137" s="476">
        <v>20.142800000000001</v>
      </c>
      <c r="Q137" s="430"/>
      <c r="R137" s="454"/>
      <c r="S137" s="432"/>
    </row>
    <row r="138" spans="1:19" ht="21.95" customHeight="1" x14ac:dyDescent="0.3">
      <c r="A138" s="425" t="s">
        <v>21</v>
      </c>
      <c r="B138" s="457">
        <v>46122</v>
      </c>
      <c r="C138" s="428">
        <v>46140</v>
      </c>
      <c r="D138" s="424">
        <v>29605.32</v>
      </c>
      <c r="E138" s="443"/>
      <c r="F138" s="465">
        <v>46148</v>
      </c>
      <c r="G138" s="463">
        <v>46172</v>
      </c>
      <c r="H138" s="444" t="s">
        <v>1025</v>
      </c>
      <c r="I138" s="517" t="s">
        <v>1026</v>
      </c>
      <c r="J138" s="426" t="s">
        <v>1027</v>
      </c>
      <c r="K138" s="427" t="s">
        <v>83</v>
      </c>
      <c r="L138" s="527">
        <v>93569295</v>
      </c>
      <c r="M138" s="428">
        <f t="shared" ref="M138:M143" si="30">+G138+6</f>
        <v>46178</v>
      </c>
      <c r="N138" s="532">
        <f t="shared" ref="N138:N142" si="31">+C138+60</f>
        <v>46200</v>
      </c>
      <c r="O138" s="466"/>
      <c r="P138" s="476"/>
      <c r="Q138" s="430"/>
      <c r="R138" s="454"/>
      <c r="S138" s="432"/>
    </row>
    <row r="139" spans="1:19" ht="21.95" customHeight="1" x14ac:dyDescent="0.3">
      <c r="A139" s="425" t="s">
        <v>21</v>
      </c>
      <c r="B139" s="457">
        <v>46128</v>
      </c>
      <c r="C139" s="428">
        <v>46147</v>
      </c>
      <c r="D139" s="424">
        <v>21362.400000000001</v>
      </c>
      <c r="E139" s="443"/>
      <c r="F139" s="465" t="s">
        <v>1042</v>
      </c>
      <c r="G139" s="463">
        <v>46179</v>
      </c>
      <c r="H139" s="444" t="s">
        <v>1030</v>
      </c>
      <c r="I139" s="517" t="s">
        <v>1032</v>
      </c>
      <c r="J139" s="426" t="s">
        <v>344</v>
      </c>
      <c r="K139" s="427" t="s">
        <v>83</v>
      </c>
      <c r="L139" s="527">
        <v>93575840</v>
      </c>
      <c r="M139" s="428">
        <f t="shared" si="30"/>
        <v>46185</v>
      </c>
      <c r="N139" s="532">
        <f t="shared" si="31"/>
        <v>46207</v>
      </c>
      <c r="O139" s="466"/>
      <c r="P139" s="476"/>
      <c r="Q139" s="430"/>
      <c r="R139" s="454"/>
      <c r="S139" s="432"/>
    </row>
    <row r="140" spans="1:19" ht="21.95" customHeight="1" x14ac:dyDescent="0.3">
      <c r="A140" s="425" t="s">
        <v>21</v>
      </c>
      <c r="B140" s="457">
        <v>46128</v>
      </c>
      <c r="C140" s="428">
        <v>46148</v>
      </c>
      <c r="D140" s="424">
        <v>21362.400000000001</v>
      </c>
      <c r="E140" s="443"/>
      <c r="F140" s="465">
        <v>46155</v>
      </c>
      <c r="G140" s="463">
        <v>46179</v>
      </c>
      <c r="H140" s="444" t="s">
        <v>1031</v>
      </c>
      <c r="I140" s="517" t="s">
        <v>1033</v>
      </c>
      <c r="J140" s="426" t="s">
        <v>344</v>
      </c>
      <c r="K140" s="427" t="s">
        <v>83</v>
      </c>
      <c r="L140" s="527">
        <v>93572227</v>
      </c>
      <c r="M140" s="428">
        <f t="shared" si="30"/>
        <v>46185</v>
      </c>
      <c r="N140" s="532">
        <f t="shared" si="31"/>
        <v>46208</v>
      </c>
      <c r="O140" s="466"/>
      <c r="P140" s="476"/>
      <c r="Q140" s="430"/>
      <c r="R140" s="454"/>
      <c r="S140" s="432"/>
    </row>
    <row r="141" spans="1:19" ht="21.95" customHeight="1" x14ac:dyDescent="0.3">
      <c r="A141" s="425" t="s">
        <v>21</v>
      </c>
      <c r="B141" s="457">
        <v>46140</v>
      </c>
      <c r="C141" s="428">
        <v>46162</v>
      </c>
      <c r="D141" s="424">
        <v>33014.31</v>
      </c>
      <c r="E141" s="443"/>
      <c r="F141" s="465">
        <v>46169</v>
      </c>
      <c r="G141" s="463">
        <v>46193</v>
      </c>
      <c r="H141" s="444" t="s">
        <v>1045</v>
      </c>
      <c r="I141" s="517" t="s">
        <v>1046</v>
      </c>
      <c r="J141" s="426" t="s">
        <v>1047</v>
      </c>
      <c r="K141" s="427" t="s">
        <v>83</v>
      </c>
      <c r="L141" s="527">
        <v>93575167</v>
      </c>
      <c r="M141" s="428">
        <f t="shared" si="30"/>
        <v>46199</v>
      </c>
      <c r="N141" s="532">
        <f t="shared" si="31"/>
        <v>46222</v>
      </c>
      <c r="O141" s="466"/>
      <c r="P141" s="476"/>
      <c r="Q141" s="430"/>
      <c r="R141" s="454"/>
      <c r="S141" s="432"/>
    </row>
    <row r="142" spans="1:19" ht="21.95" customHeight="1" x14ac:dyDescent="0.3">
      <c r="A142" s="425" t="s">
        <v>21</v>
      </c>
      <c r="B142" s="457">
        <v>46169</v>
      </c>
      <c r="C142" s="428"/>
      <c r="D142" s="424"/>
      <c r="E142" s="443"/>
      <c r="F142" s="465"/>
      <c r="G142" s="463">
        <v>46213</v>
      </c>
      <c r="H142" s="444" t="s">
        <v>1057</v>
      </c>
      <c r="I142" s="517" t="s">
        <v>1058</v>
      </c>
      <c r="J142" s="426" t="s">
        <v>185</v>
      </c>
      <c r="K142" s="427" t="s">
        <v>1069</v>
      </c>
      <c r="L142" s="527"/>
      <c r="M142" s="428">
        <f t="shared" si="30"/>
        <v>46219</v>
      </c>
      <c r="N142" s="532">
        <f t="shared" si="31"/>
        <v>60</v>
      </c>
      <c r="O142" s="466"/>
      <c r="P142" s="476"/>
      <c r="Q142" s="430"/>
      <c r="R142" s="454"/>
      <c r="S142" s="432"/>
    </row>
    <row r="143" spans="1:19" ht="21.95" customHeight="1" x14ac:dyDescent="0.3">
      <c r="A143" s="425" t="s">
        <v>21</v>
      </c>
      <c r="B143" s="457">
        <v>46185</v>
      </c>
      <c r="C143" s="428"/>
      <c r="D143" s="424"/>
      <c r="E143" s="443"/>
      <c r="F143" s="465"/>
      <c r="G143" s="463">
        <v>46237</v>
      </c>
      <c r="H143" s="444" t="s">
        <v>1064</v>
      </c>
      <c r="I143" s="517" t="s">
        <v>1065</v>
      </c>
      <c r="J143" s="426" t="s">
        <v>344</v>
      </c>
      <c r="K143" s="427" t="s">
        <v>1069</v>
      </c>
      <c r="L143" s="527"/>
      <c r="M143" s="428">
        <f t="shared" si="30"/>
        <v>46243</v>
      </c>
      <c r="N143" s="532"/>
      <c r="O143" s="466"/>
      <c r="P143" s="476"/>
      <c r="Q143" s="430"/>
      <c r="R143" s="454"/>
      <c r="S143" s="432"/>
    </row>
    <row r="144" spans="1:19" ht="21.95" customHeight="1" x14ac:dyDescent="0.3">
      <c r="A144" s="425" t="s">
        <v>21</v>
      </c>
      <c r="B144" s="457">
        <v>46185</v>
      </c>
      <c r="C144" s="428"/>
      <c r="D144" s="424"/>
      <c r="E144" s="443"/>
      <c r="F144" s="465"/>
      <c r="G144" s="463">
        <v>46237</v>
      </c>
      <c r="H144" s="444" t="s">
        <v>1067</v>
      </c>
      <c r="I144" s="517" t="s">
        <v>1068</v>
      </c>
      <c r="J144" s="426" t="s">
        <v>351</v>
      </c>
      <c r="K144" s="427" t="s">
        <v>1069</v>
      </c>
      <c r="L144" s="527"/>
      <c r="M144" s="428">
        <f t="shared" ref="M144" si="32">+G144+6</f>
        <v>46243</v>
      </c>
      <c r="N144" s="532"/>
      <c r="O144" s="466"/>
      <c r="P144" s="476"/>
      <c r="Q144" s="430"/>
      <c r="R144" s="454"/>
      <c r="S144" s="432"/>
    </row>
    <row r="145" spans="1:18" ht="16.5" thickBot="1" x14ac:dyDescent="0.3">
      <c r="M145"/>
    </row>
    <row r="146" spans="1:18" ht="32.25" customHeight="1" thickBot="1" x14ac:dyDescent="0.3">
      <c r="A146" s="540" t="s">
        <v>354</v>
      </c>
      <c r="B146" s="541"/>
      <c r="C146" s="542"/>
      <c r="D146" s="542"/>
      <c r="E146" s="543"/>
      <c r="F146" s="544"/>
      <c r="G146" s="544"/>
      <c r="H146" s="542"/>
      <c r="I146" s="545"/>
      <c r="M146"/>
    </row>
    <row r="147" spans="1:18" customFormat="1" ht="18.75" hidden="1" x14ac:dyDescent="0.3">
      <c r="A147" s="32" t="s">
        <v>28</v>
      </c>
      <c r="B147" s="68"/>
      <c r="C147" s="68"/>
      <c r="D147" s="68"/>
      <c r="E147" s="68"/>
      <c r="F147" s="33">
        <v>44478</v>
      </c>
      <c r="G147" s="33">
        <v>44495</v>
      </c>
      <c r="H147" s="34" t="s">
        <v>355</v>
      </c>
      <c r="I147" s="34" t="s">
        <v>356</v>
      </c>
      <c r="J147" s="65" t="s">
        <v>357</v>
      </c>
      <c r="K147" s="58" t="s">
        <v>47</v>
      </c>
      <c r="L147" s="528">
        <v>21645554</v>
      </c>
      <c r="M147" s="62">
        <v>44506</v>
      </c>
      <c r="N147" s="62">
        <v>44521</v>
      </c>
      <c r="O147" s="361">
        <v>44522</v>
      </c>
      <c r="P147" s="64"/>
      <c r="Q147" s="64"/>
      <c r="R147" s="445"/>
    </row>
    <row r="148" spans="1:18" customFormat="1" ht="18.75" hidden="1" x14ac:dyDescent="0.3">
      <c r="A148" s="32" t="s">
        <v>48</v>
      </c>
      <c r="B148" s="68"/>
      <c r="C148" s="68"/>
      <c r="D148" s="68"/>
      <c r="E148" s="68"/>
      <c r="F148" s="33">
        <v>44492</v>
      </c>
      <c r="G148" s="33">
        <v>44514</v>
      </c>
      <c r="H148" s="34" t="s">
        <v>358</v>
      </c>
      <c r="I148" s="34" t="s">
        <v>359</v>
      </c>
      <c r="J148" s="65" t="s">
        <v>360</v>
      </c>
      <c r="K148" s="58" t="s">
        <v>47</v>
      </c>
      <c r="L148" s="528">
        <v>216488602</v>
      </c>
      <c r="M148" s="62">
        <v>44520</v>
      </c>
      <c r="N148" s="62">
        <v>44535</v>
      </c>
      <c r="O148" s="361">
        <v>44546</v>
      </c>
      <c r="P148" s="64"/>
      <c r="Q148" s="64"/>
      <c r="R148" s="445"/>
    </row>
    <row r="149" spans="1:18" customFormat="1" ht="18.75" hidden="1" x14ac:dyDescent="0.3">
      <c r="A149" s="32" t="s">
        <v>28</v>
      </c>
      <c r="B149" s="68"/>
      <c r="C149" s="68"/>
      <c r="D149" s="68"/>
      <c r="E149" s="68"/>
      <c r="F149" s="33">
        <v>44499</v>
      </c>
      <c r="G149" s="33">
        <v>44516</v>
      </c>
      <c r="H149" s="34" t="s">
        <v>361</v>
      </c>
      <c r="I149" s="34" t="s">
        <v>362</v>
      </c>
      <c r="J149" s="65" t="s">
        <v>363</v>
      </c>
      <c r="K149" s="58" t="s">
        <v>47</v>
      </c>
      <c r="L149" s="528">
        <v>21650243</v>
      </c>
      <c r="M149" s="62">
        <v>44525</v>
      </c>
      <c r="N149" s="62">
        <v>44542</v>
      </c>
      <c r="O149" s="361"/>
      <c r="P149" s="64"/>
      <c r="Q149" s="64"/>
      <c r="R149" s="445"/>
    </row>
    <row r="150" spans="1:18" customFormat="1" ht="19.5" hidden="1" thickBot="1" x14ac:dyDescent="0.35">
      <c r="A150" s="32" t="s">
        <v>48</v>
      </c>
      <c r="B150" s="72">
        <v>44540</v>
      </c>
      <c r="C150" s="72">
        <v>44587</v>
      </c>
      <c r="D150" s="72"/>
      <c r="E150" s="72"/>
      <c r="F150" s="73">
        <v>44620</v>
      </c>
      <c r="G150" s="73">
        <v>44639</v>
      </c>
      <c r="H150" s="34" t="s">
        <v>364</v>
      </c>
      <c r="I150" s="34" t="s">
        <v>365</v>
      </c>
      <c r="J150" s="65" t="s">
        <v>366</v>
      </c>
      <c r="K150" s="67" t="s">
        <v>83</v>
      </c>
      <c r="L150" s="529"/>
      <c r="M150" s="62">
        <v>44646</v>
      </c>
      <c r="N150" s="62">
        <f t="shared" ref="N150:N181" si="33">+C150+45</f>
        <v>44632</v>
      </c>
      <c r="O150" s="361">
        <v>44628</v>
      </c>
      <c r="P150" s="64"/>
      <c r="Q150" s="64"/>
      <c r="R150" s="445"/>
    </row>
    <row r="151" spans="1:18" customFormat="1" ht="19.5" hidden="1" thickBot="1" x14ac:dyDescent="0.35">
      <c r="A151" s="32" t="s">
        <v>48</v>
      </c>
      <c r="B151" s="72">
        <v>44540</v>
      </c>
      <c r="C151" s="72">
        <v>44593</v>
      </c>
      <c r="D151" s="72"/>
      <c r="E151" s="72"/>
      <c r="F151" s="73">
        <v>44612</v>
      </c>
      <c r="G151" s="73">
        <v>44639</v>
      </c>
      <c r="H151" s="34" t="s">
        <v>367</v>
      </c>
      <c r="I151" s="34" t="s">
        <v>368</v>
      </c>
      <c r="J151" s="65" t="s">
        <v>369</v>
      </c>
      <c r="K151" s="67" t="s">
        <v>83</v>
      </c>
      <c r="L151" s="529"/>
      <c r="M151" s="62">
        <v>44644</v>
      </c>
      <c r="N151" s="62">
        <f t="shared" si="33"/>
        <v>44638</v>
      </c>
      <c r="O151" s="361">
        <v>44648</v>
      </c>
      <c r="P151" s="64"/>
      <c r="Q151" s="64"/>
      <c r="R151" s="445"/>
    </row>
    <row r="152" spans="1:18" customFormat="1" ht="19.5" hidden="1" thickBot="1" x14ac:dyDescent="0.35">
      <c r="A152" s="32" t="s">
        <v>21</v>
      </c>
      <c r="B152" s="72">
        <v>44613</v>
      </c>
      <c r="C152" s="72">
        <v>44624</v>
      </c>
      <c r="D152" s="72"/>
      <c r="E152" s="72"/>
      <c r="F152" s="73">
        <v>44627</v>
      </c>
      <c r="G152" s="73">
        <v>44648</v>
      </c>
      <c r="H152" s="34" t="s">
        <v>370</v>
      </c>
      <c r="I152" s="34" t="s">
        <v>371</v>
      </c>
      <c r="J152" s="65" t="s">
        <v>176</v>
      </c>
      <c r="K152" s="67" t="s">
        <v>83</v>
      </c>
      <c r="L152" s="529"/>
      <c r="M152" s="62">
        <v>44655</v>
      </c>
      <c r="N152" s="62">
        <f t="shared" si="33"/>
        <v>44669</v>
      </c>
      <c r="O152" s="361"/>
      <c r="P152" s="64"/>
      <c r="Q152" s="64"/>
      <c r="R152" s="445"/>
    </row>
    <row r="153" spans="1:18" customFormat="1" ht="36" hidden="1" thickBot="1" x14ac:dyDescent="0.35">
      <c r="A153" s="32" t="s">
        <v>48</v>
      </c>
      <c r="B153" s="72">
        <v>44624</v>
      </c>
      <c r="C153" s="72">
        <v>44657</v>
      </c>
      <c r="D153" s="72"/>
      <c r="E153" s="72"/>
      <c r="F153" s="73">
        <v>44655</v>
      </c>
      <c r="G153" s="73">
        <v>44681</v>
      </c>
      <c r="H153" s="34" t="s">
        <v>372</v>
      </c>
      <c r="I153" s="34" t="s">
        <v>373</v>
      </c>
      <c r="J153" s="65" t="s">
        <v>369</v>
      </c>
      <c r="K153" s="67" t="s">
        <v>83</v>
      </c>
      <c r="L153" s="529">
        <v>22684712</v>
      </c>
      <c r="M153" s="62">
        <v>44686</v>
      </c>
      <c r="N153" s="62">
        <f t="shared" si="33"/>
        <v>44702</v>
      </c>
      <c r="O153" s="361">
        <v>44687</v>
      </c>
      <c r="P153" s="363" t="s">
        <v>374</v>
      </c>
      <c r="Q153" s="64"/>
      <c r="R153" s="445"/>
    </row>
    <row r="154" spans="1:18" customFormat="1" ht="36" hidden="1" thickBot="1" x14ac:dyDescent="0.35">
      <c r="A154" s="32" t="s">
        <v>48</v>
      </c>
      <c r="B154" s="72">
        <v>44652</v>
      </c>
      <c r="C154" s="72">
        <v>44679</v>
      </c>
      <c r="D154" s="72"/>
      <c r="E154" s="72"/>
      <c r="F154" s="73">
        <v>44681</v>
      </c>
      <c r="G154" s="73">
        <v>44702</v>
      </c>
      <c r="H154" s="34" t="s">
        <v>375</v>
      </c>
      <c r="I154" s="34" t="s">
        <v>376</v>
      </c>
      <c r="J154" s="65" t="s">
        <v>377</v>
      </c>
      <c r="K154" s="67" t="s">
        <v>83</v>
      </c>
      <c r="L154" s="529">
        <v>22689326</v>
      </c>
      <c r="M154" s="279">
        <v>44709</v>
      </c>
      <c r="N154" s="279">
        <f t="shared" si="33"/>
        <v>44724</v>
      </c>
      <c r="O154" s="361"/>
      <c r="P154" s="363" t="s">
        <v>378</v>
      </c>
      <c r="Q154" s="64"/>
      <c r="R154" s="445"/>
    </row>
    <row r="155" spans="1:18" customFormat="1" ht="36" hidden="1" thickBot="1" x14ac:dyDescent="0.35">
      <c r="A155" s="32" t="s">
        <v>48</v>
      </c>
      <c r="B155" s="72">
        <v>44671</v>
      </c>
      <c r="C155" s="72">
        <v>44685</v>
      </c>
      <c r="D155" s="72"/>
      <c r="E155" s="72"/>
      <c r="F155" s="73">
        <v>44688</v>
      </c>
      <c r="G155" s="73">
        <v>44710</v>
      </c>
      <c r="H155" s="34" t="s">
        <v>379</v>
      </c>
      <c r="I155" s="34" t="s">
        <v>380</v>
      </c>
      <c r="J155" s="65" t="s">
        <v>369</v>
      </c>
      <c r="K155" s="67" t="s">
        <v>83</v>
      </c>
      <c r="L155" s="529">
        <v>22689325</v>
      </c>
      <c r="M155" s="279">
        <v>44714</v>
      </c>
      <c r="N155" s="279">
        <f t="shared" si="33"/>
        <v>44730</v>
      </c>
      <c r="O155" s="361"/>
      <c r="P155" s="363" t="s">
        <v>378</v>
      </c>
      <c r="Q155" s="64"/>
      <c r="R155" s="445"/>
    </row>
    <row r="156" spans="1:18" customFormat="1" ht="36" hidden="1" thickBot="1" x14ac:dyDescent="0.35">
      <c r="A156" s="32" t="s">
        <v>48</v>
      </c>
      <c r="B156" s="72">
        <v>44679</v>
      </c>
      <c r="C156" s="72">
        <v>44699</v>
      </c>
      <c r="D156" s="72"/>
      <c r="E156" s="72"/>
      <c r="F156" s="73">
        <v>44702</v>
      </c>
      <c r="G156" s="73">
        <v>44723</v>
      </c>
      <c r="H156" s="34" t="s">
        <v>381</v>
      </c>
      <c r="I156" s="34" t="s">
        <v>382</v>
      </c>
      <c r="J156" s="65" t="s">
        <v>377</v>
      </c>
      <c r="K156" s="67" t="s">
        <v>83</v>
      </c>
      <c r="L156" s="529">
        <v>22693735</v>
      </c>
      <c r="M156" s="279">
        <v>44730</v>
      </c>
      <c r="N156" s="279">
        <f t="shared" si="33"/>
        <v>44744</v>
      </c>
      <c r="O156" s="361">
        <v>44747</v>
      </c>
      <c r="P156" s="363" t="s">
        <v>383</v>
      </c>
      <c r="Q156" s="64"/>
      <c r="R156" s="445"/>
    </row>
    <row r="157" spans="1:18" customFormat="1" ht="36" hidden="1" thickBot="1" x14ac:dyDescent="0.35">
      <c r="A157" s="32" t="s">
        <v>48</v>
      </c>
      <c r="B157" s="72">
        <v>44679</v>
      </c>
      <c r="C157" s="72">
        <v>44699</v>
      </c>
      <c r="D157" s="72"/>
      <c r="E157" s="72"/>
      <c r="F157" s="73">
        <v>44702</v>
      </c>
      <c r="G157" s="73">
        <v>44723</v>
      </c>
      <c r="H157" s="34" t="s">
        <v>384</v>
      </c>
      <c r="I157" s="34" t="s">
        <v>385</v>
      </c>
      <c r="J157" s="65" t="s">
        <v>377</v>
      </c>
      <c r="K157" s="67" t="s">
        <v>83</v>
      </c>
      <c r="L157" s="529">
        <v>22693479</v>
      </c>
      <c r="M157" s="279">
        <v>44732</v>
      </c>
      <c r="N157" s="279">
        <f t="shared" si="33"/>
        <v>44744</v>
      </c>
      <c r="O157" s="361">
        <v>44747</v>
      </c>
      <c r="P157" s="363" t="s">
        <v>383</v>
      </c>
      <c r="Q157" s="64"/>
      <c r="R157" s="445"/>
    </row>
    <row r="158" spans="1:18" customFormat="1" ht="36" hidden="1" thickBot="1" x14ac:dyDescent="0.35">
      <c r="A158" s="32" t="s">
        <v>48</v>
      </c>
      <c r="B158" s="72">
        <v>44679</v>
      </c>
      <c r="C158" s="72">
        <v>44698</v>
      </c>
      <c r="D158" s="72"/>
      <c r="E158" s="72"/>
      <c r="F158" s="73">
        <v>44702</v>
      </c>
      <c r="G158" s="73">
        <v>44723</v>
      </c>
      <c r="H158" s="34" t="s">
        <v>386</v>
      </c>
      <c r="I158" s="34" t="s">
        <v>387</v>
      </c>
      <c r="J158" s="65" t="s">
        <v>369</v>
      </c>
      <c r="K158" s="67" t="s">
        <v>83</v>
      </c>
      <c r="L158" s="529">
        <v>22693463</v>
      </c>
      <c r="M158" s="279">
        <v>44729</v>
      </c>
      <c r="N158" s="279">
        <f t="shared" si="33"/>
        <v>44743</v>
      </c>
      <c r="O158" s="361">
        <v>44748</v>
      </c>
      <c r="P158" s="363" t="s">
        <v>383</v>
      </c>
      <c r="Q158" s="64"/>
      <c r="R158" s="445"/>
    </row>
    <row r="159" spans="1:18" customFormat="1" ht="36" hidden="1" thickBot="1" x14ac:dyDescent="0.35">
      <c r="A159" s="32" t="s">
        <v>48</v>
      </c>
      <c r="B159" s="72">
        <v>44729</v>
      </c>
      <c r="C159" s="72">
        <v>44761</v>
      </c>
      <c r="D159" s="72"/>
      <c r="E159" s="72"/>
      <c r="F159" s="73">
        <v>44762</v>
      </c>
      <c r="G159" s="73">
        <v>44786</v>
      </c>
      <c r="H159" s="34" t="s">
        <v>388</v>
      </c>
      <c r="I159" s="34" t="s">
        <v>389</v>
      </c>
      <c r="J159" s="65" t="s">
        <v>369</v>
      </c>
      <c r="K159" s="300" t="s">
        <v>47</v>
      </c>
      <c r="L159" s="529">
        <v>22706969</v>
      </c>
      <c r="M159" s="279">
        <v>44791</v>
      </c>
      <c r="N159" s="279">
        <f t="shared" si="33"/>
        <v>44806</v>
      </c>
      <c r="O159" s="361">
        <v>44804</v>
      </c>
      <c r="P159" s="363" t="s">
        <v>390</v>
      </c>
      <c r="Q159" s="64"/>
      <c r="R159" s="445"/>
    </row>
    <row r="160" spans="1:18" customFormat="1" ht="36" hidden="1" thickBot="1" x14ac:dyDescent="0.35">
      <c r="A160" s="32" t="s">
        <v>48</v>
      </c>
      <c r="B160" s="72">
        <v>44754</v>
      </c>
      <c r="C160" s="72">
        <v>44770</v>
      </c>
      <c r="D160" s="72"/>
      <c r="E160" s="72"/>
      <c r="F160" s="73">
        <v>44786</v>
      </c>
      <c r="G160" s="73">
        <v>44807</v>
      </c>
      <c r="H160" s="34" t="s">
        <v>391</v>
      </c>
      <c r="I160" s="34" t="s">
        <v>392</v>
      </c>
      <c r="J160" s="65" t="s">
        <v>393</v>
      </c>
      <c r="K160" s="309" t="s">
        <v>47</v>
      </c>
      <c r="L160" s="529">
        <v>22709720</v>
      </c>
      <c r="M160" s="279">
        <v>44812</v>
      </c>
      <c r="N160" s="279">
        <f t="shared" si="33"/>
        <v>44815</v>
      </c>
      <c r="O160" s="361">
        <v>44804</v>
      </c>
      <c r="P160" s="363" t="s">
        <v>394</v>
      </c>
      <c r="Q160" s="64"/>
      <c r="R160" s="445"/>
    </row>
    <row r="161" spans="1:18" customFormat="1" ht="36" hidden="1" thickBot="1" x14ac:dyDescent="0.35">
      <c r="A161" s="32" t="s">
        <v>48</v>
      </c>
      <c r="B161" s="72">
        <v>44757</v>
      </c>
      <c r="C161" s="72">
        <v>44818</v>
      </c>
      <c r="D161" s="72"/>
      <c r="E161" s="72"/>
      <c r="F161" s="72">
        <v>44815</v>
      </c>
      <c r="G161" s="73">
        <v>44849</v>
      </c>
      <c r="H161" s="34" t="s">
        <v>395</v>
      </c>
      <c r="I161" s="34" t="s">
        <v>396</v>
      </c>
      <c r="J161" s="65" t="s">
        <v>377</v>
      </c>
      <c r="K161" s="67" t="s">
        <v>47</v>
      </c>
      <c r="L161" s="529">
        <v>22719751</v>
      </c>
      <c r="M161" s="279">
        <v>44854</v>
      </c>
      <c r="N161" s="279">
        <f t="shared" si="33"/>
        <v>44863</v>
      </c>
      <c r="O161" s="361">
        <v>44844</v>
      </c>
      <c r="P161" s="363" t="s">
        <v>397</v>
      </c>
      <c r="Q161" s="64"/>
      <c r="R161" s="445"/>
    </row>
    <row r="162" spans="1:18" customFormat="1" ht="36" hidden="1" thickBot="1" x14ac:dyDescent="0.35">
      <c r="A162" s="32" t="s">
        <v>48</v>
      </c>
      <c r="B162" s="72">
        <v>44777</v>
      </c>
      <c r="C162" s="72">
        <v>44818</v>
      </c>
      <c r="D162" s="72"/>
      <c r="E162" s="72"/>
      <c r="F162" s="72">
        <v>44815</v>
      </c>
      <c r="G162" s="73">
        <v>44849</v>
      </c>
      <c r="H162" s="34" t="s">
        <v>398</v>
      </c>
      <c r="I162" s="34" t="s">
        <v>399</v>
      </c>
      <c r="J162" s="65" t="s">
        <v>400</v>
      </c>
      <c r="K162" s="67" t="s">
        <v>47</v>
      </c>
      <c r="L162" s="529">
        <v>22719752</v>
      </c>
      <c r="M162" s="279">
        <v>44855</v>
      </c>
      <c r="N162" s="279">
        <f t="shared" si="33"/>
        <v>44863</v>
      </c>
      <c r="O162" s="361">
        <v>44855</v>
      </c>
      <c r="P162" s="363" t="s">
        <v>401</v>
      </c>
      <c r="Q162" s="64"/>
      <c r="R162" s="445"/>
    </row>
    <row r="163" spans="1:18" customFormat="1" ht="36" hidden="1" thickBot="1" x14ac:dyDescent="0.35">
      <c r="A163" s="32" t="s">
        <v>48</v>
      </c>
      <c r="B163" s="72">
        <v>44777</v>
      </c>
      <c r="C163" s="72">
        <v>44818</v>
      </c>
      <c r="D163" s="72"/>
      <c r="E163" s="72"/>
      <c r="F163" s="72">
        <v>44815</v>
      </c>
      <c r="G163" s="73">
        <v>44849</v>
      </c>
      <c r="H163" s="34" t="s">
        <v>402</v>
      </c>
      <c r="I163" s="34" t="s">
        <v>403</v>
      </c>
      <c r="J163" s="65" t="s">
        <v>369</v>
      </c>
      <c r="K163" s="67" t="s">
        <v>83</v>
      </c>
      <c r="L163" s="529">
        <v>22719753</v>
      </c>
      <c r="M163" s="279">
        <v>44854</v>
      </c>
      <c r="N163" s="279">
        <f t="shared" si="33"/>
        <v>44863</v>
      </c>
      <c r="O163" s="361">
        <v>44862</v>
      </c>
      <c r="P163" s="363" t="s">
        <v>397</v>
      </c>
      <c r="Q163" s="64"/>
      <c r="R163" s="445"/>
    </row>
    <row r="164" spans="1:18" customFormat="1" ht="36" hidden="1" thickBot="1" x14ac:dyDescent="0.35">
      <c r="A164" s="32" t="s">
        <v>21</v>
      </c>
      <c r="B164" s="311">
        <v>44831</v>
      </c>
      <c r="C164" s="311">
        <v>44865</v>
      </c>
      <c r="D164" s="310">
        <v>37141.9</v>
      </c>
      <c r="E164" s="347"/>
      <c r="F164" s="312">
        <v>44883</v>
      </c>
      <c r="G164" s="73">
        <v>44903</v>
      </c>
      <c r="H164" s="34" t="s">
        <v>404</v>
      </c>
      <c r="I164" s="34" t="s">
        <v>405</v>
      </c>
      <c r="J164" s="65" t="s">
        <v>176</v>
      </c>
      <c r="K164" s="309" t="s">
        <v>47</v>
      </c>
      <c r="L164" s="529">
        <v>22729232</v>
      </c>
      <c r="M164" s="279">
        <v>44910</v>
      </c>
      <c r="N164" s="279">
        <f t="shared" si="33"/>
        <v>44910</v>
      </c>
      <c r="O164" s="361">
        <v>44875</v>
      </c>
      <c r="P164" s="363" t="s">
        <v>406</v>
      </c>
      <c r="Q164" s="64"/>
      <c r="R164" s="445"/>
    </row>
    <row r="165" spans="1:18" customFormat="1" ht="36" hidden="1" thickBot="1" x14ac:dyDescent="0.35">
      <c r="A165" s="32" t="s">
        <v>48</v>
      </c>
      <c r="B165" s="311">
        <v>44839</v>
      </c>
      <c r="C165" s="311">
        <v>44881</v>
      </c>
      <c r="D165" s="310">
        <v>33696.699999999997</v>
      </c>
      <c r="E165" s="347"/>
      <c r="F165" s="312">
        <v>44880</v>
      </c>
      <c r="G165" s="73">
        <v>44910</v>
      </c>
      <c r="H165" s="34" t="s">
        <v>407</v>
      </c>
      <c r="I165" s="34" t="s">
        <v>408</v>
      </c>
      <c r="J165" s="65" t="s">
        <v>409</v>
      </c>
      <c r="K165" s="309" t="s">
        <v>47</v>
      </c>
      <c r="L165" s="529">
        <v>22732549</v>
      </c>
      <c r="M165" s="279">
        <v>44914</v>
      </c>
      <c r="N165" s="308">
        <f t="shared" si="33"/>
        <v>44926</v>
      </c>
      <c r="O165" s="361">
        <v>44922</v>
      </c>
      <c r="P165" s="363" t="s">
        <v>410</v>
      </c>
      <c r="Q165" s="64"/>
      <c r="R165" s="445"/>
    </row>
    <row r="166" spans="1:18" customFormat="1" ht="36" hidden="1" thickBot="1" x14ac:dyDescent="0.35">
      <c r="A166" s="32" t="s">
        <v>48</v>
      </c>
      <c r="B166" s="311">
        <v>44852</v>
      </c>
      <c r="C166" s="311">
        <v>44873</v>
      </c>
      <c r="D166" s="310">
        <v>34511.199999999997</v>
      </c>
      <c r="E166" s="347"/>
      <c r="F166" s="312">
        <v>44872</v>
      </c>
      <c r="G166" s="73">
        <v>44893</v>
      </c>
      <c r="H166" s="34" t="s">
        <v>411</v>
      </c>
      <c r="I166" s="34" t="s">
        <v>412</v>
      </c>
      <c r="J166" s="65" t="s">
        <v>377</v>
      </c>
      <c r="K166" s="309" t="s">
        <v>47</v>
      </c>
      <c r="L166" s="529">
        <v>22731335</v>
      </c>
      <c r="M166" s="279">
        <v>44900</v>
      </c>
      <c r="N166" s="308">
        <f t="shared" si="33"/>
        <v>44918</v>
      </c>
      <c r="O166" s="361">
        <v>44918</v>
      </c>
      <c r="P166" s="363" t="s">
        <v>413</v>
      </c>
      <c r="Q166" s="64"/>
      <c r="R166" s="445"/>
    </row>
    <row r="167" spans="1:18" customFormat="1" ht="36" hidden="1" thickBot="1" x14ac:dyDescent="0.35">
      <c r="A167" s="32" t="s">
        <v>48</v>
      </c>
      <c r="B167" s="311">
        <v>44852</v>
      </c>
      <c r="C167" s="311">
        <v>44881</v>
      </c>
      <c r="D167" s="310">
        <v>34226.800000000003</v>
      </c>
      <c r="E167" s="347"/>
      <c r="F167" s="312">
        <v>44880</v>
      </c>
      <c r="G167" s="73">
        <v>44910</v>
      </c>
      <c r="H167" s="34" t="s">
        <v>414</v>
      </c>
      <c r="I167" s="34" t="s">
        <v>415</v>
      </c>
      <c r="J167" s="65" t="s">
        <v>409</v>
      </c>
      <c r="K167" s="309" t="s">
        <v>47</v>
      </c>
      <c r="L167" s="529">
        <v>22732567</v>
      </c>
      <c r="M167" s="279">
        <v>44914</v>
      </c>
      <c r="N167" s="308">
        <f t="shared" si="33"/>
        <v>44926</v>
      </c>
      <c r="O167" s="361">
        <v>44928</v>
      </c>
      <c r="P167" s="363" t="s">
        <v>416</v>
      </c>
      <c r="Q167" s="64"/>
      <c r="R167" s="445"/>
    </row>
    <row r="168" spans="1:18" customFormat="1" ht="36" hidden="1" thickBot="1" x14ac:dyDescent="0.35">
      <c r="A168" s="32" t="s">
        <v>48</v>
      </c>
      <c r="B168" s="311">
        <v>44861</v>
      </c>
      <c r="C168" s="311">
        <v>44881</v>
      </c>
      <c r="D168" s="310">
        <v>34511.199999999997</v>
      </c>
      <c r="E168" s="347"/>
      <c r="F168" s="312">
        <v>44880</v>
      </c>
      <c r="G168" s="73">
        <v>44910</v>
      </c>
      <c r="H168" s="34" t="s">
        <v>417</v>
      </c>
      <c r="I168" s="34" t="s">
        <v>418</v>
      </c>
      <c r="J168" s="65" t="s">
        <v>377</v>
      </c>
      <c r="K168" s="309" t="s">
        <v>47</v>
      </c>
      <c r="L168" s="529">
        <v>22732566</v>
      </c>
      <c r="M168" s="279">
        <v>44914</v>
      </c>
      <c r="N168" s="308">
        <f t="shared" si="33"/>
        <v>44926</v>
      </c>
      <c r="O168" s="361">
        <v>44928</v>
      </c>
      <c r="P168" s="363" t="s">
        <v>416</v>
      </c>
      <c r="Q168" s="64"/>
      <c r="R168" s="445"/>
    </row>
    <row r="169" spans="1:18" customFormat="1" ht="36" hidden="1" thickBot="1" x14ac:dyDescent="0.35">
      <c r="A169" s="32" t="s">
        <v>48</v>
      </c>
      <c r="B169" s="311">
        <v>44902</v>
      </c>
      <c r="C169" s="311">
        <v>44931</v>
      </c>
      <c r="D169" s="310">
        <v>35695.199999999997</v>
      </c>
      <c r="E169" s="347"/>
      <c r="F169" s="312">
        <v>44930</v>
      </c>
      <c r="G169" s="73">
        <v>44954</v>
      </c>
      <c r="H169" s="34" t="s">
        <v>419</v>
      </c>
      <c r="I169" s="34" t="s">
        <v>420</v>
      </c>
      <c r="J169" s="65" t="s">
        <v>409</v>
      </c>
      <c r="K169" s="67" t="s">
        <v>83</v>
      </c>
      <c r="L169" s="529">
        <v>23742829</v>
      </c>
      <c r="M169" s="279"/>
      <c r="N169" s="308">
        <f t="shared" si="33"/>
        <v>44976</v>
      </c>
      <c r="O169" s="361">
        <v>44967</v>
      </c>
      <c r="P169" s="363" t="s">
        <v>421</v>
      </c>
      <c r="Q169" s="64"/>
      <c r="R169" s="445"/>
    </row>
    <row r="170" spans="1:18" customFormat="1" ht="19.5" hidden="1" thickBot="1" x14ac:dyDescent="0.35">
      <c r="A170" s="32" t="s">
        <v>48</v>
      </c>
      <c r="B170" s="311">
        <v>44944</v>
      </c>
      <c r="C170" s="311">
        <v>44963</v>
      </c>
      <c r="D170" s="310">
        <v>35848.44</v>
      </c>
      <c r="E170" s="347"/>
      <c r="F170" s="312">
        <v>44960</v>
      </c>
      <c r="G170" s="73">
        <v>44991</v>
      </c>
      <c r="H170" s="34" t="s">
        <v>422</v>
      </c>
      <c r="I170" s="34" t="s">
        <v>423</v>
      </c>
      <c r="J170" s="65" t="s">
        <v>409</v>
      </c>
      <c r="K170" s="67" t="s">
        <v>83</v>
      </c>
      <c r="L170" s="529">
        <v>23748657</v>
      </c>
      <c r="M170" s="279">
        <v>44994</v>
      </c>
      <c r="N170" s="308">
        <f t="shared" si="33"/>
        <v>45008</v>
      </c>
      <c r="O170" s="361">
        <v>44972</v>
      </c>
      <c r="P170" s="364" t="s">
        <v>143</v>
      </c>
      <c r="Q170" s="64"/>
      <c r="R170" s="445"/>
    </row>
    <row r="171" spans="1:18" customFormat="1" ht="19.5" hidden="1" thickBot="1" x14ac:dyDescent="0.35">
      <c r="A171" s="32" t="s">
        <v>21</v>
      </c>
      <c r="B171" s="311">
        <v>44944</v>
      </c>
      <c r="C171" s="311">
        <v>44959</v>
      </c>
      <c r="D171" s="310">
        <v>37306.800000000003</v>
      </c>
      <c r="E171" s="347"/>
      <c r="F171" s="312">
        <v>44958</v>
      </c>
      <c r="G171" s="73">
        <v>44984</v>
      </c>
      <c r="H171" s="34" t="s">
        <v>424</v>
      </c>
      <c r="I171" s="34" t="s">
        <v>425</v>
      </c>
      <c r="J171" s="65" t="s">
        <v>176</v>
      </c>
      <c r="K171" s="67" t="s">
        <v>83</v>
      </c>
      <c r="L171" s="529">
        <v>23748154</v>
      </c>
      <c r="M171" s="279">
        <v>44989</v>
      </c>
      <c r="N171" s="308">
        <f t="shared" si="33"/>
        <v>45004</v>
      </c>
      <c r="O171" s="362" t="s">
        <v>143</v>
      </c>
      <c r="P171" s="363"/>
      <c r="Q171" s="64"/>
      <c r="R171" s="445"/>
    </row>
    <row r="172" spans="1:18" customFormat="1" ht="19.5" hidden="1" thickBot="1" x14ac:dyDescent="0.35">
      <c r="A172" s="32" t="s">
        <v>48</v>
      </c>
      <c r="B172" s="311">
        <v>44959</v>
      </c>
      <c r="C172" s="311">
        <v>44978</v>
      </c>
      <c r="D172" s="310">
        <v>37000.800000000003</v>
      </c>
      <c r="E172" s="347"/>
      <c r="F172" s="312">
        <v>44975</v>
      </c>
      <c r="G172" s="73">
        <v>45003</v>
      </c>
      <c r="H172" s="34" t="s">
        <v>426</v>
      </c>
      <c r="I172" s="34" t="s">
        <v>427</v>
      </c>
      <c r="J172" s="65" t="s">
        <v>428</v>
      </c>
      <c r="K172" s="67" t="s">
        <v>83</v>
      </c>
      <c r="L172" s="529">
        <v>23752015</v>
      </c>
      <c r="M172" s="279">
        <v>45008</v>
      </c>
      <c r="N172" s="308">
        <f t="shared" si="33"/>
        <v>45023</v>
      </c>
      <c r="O172" s="362">
        <v>45015</v>
      </c>
      <c r="P172" s="363"/>
      <c r="Q172" s="64"/>
      <c r="R172" s="445"/>
    </row>
    <row r="173" spans="1:18" customFormat="1" ht="19.5" hidden="1" thickBot="1" x14ac:dyDescent="0.35">
      <c r="A173" s="32" t="s">
        <v>48</v>
      </c>
      <c r="B173" s="311">
        <v>44964</v>
      </c>
      <c r="C173" s="311">
        <v>44978</v>
      </c>
      <c r="D173" s="310">
        <v>36000</v>
      </c>
      <c r="E173" s="347"/>
      <c r="F173" s="312">
        <v>44977</v>
      </c>
      <c r="G173" s="73">
        <v>45003</v>
      </c>
      <c r="H173" s="34" t="s">
        <v>429</v>
      </c>
      <c r="I173" s="34" t="s">
        <v>430</v>
      </c>
      <c r="J173" s="65" t="s">
        <v>431</v>
      </c>
      <c r="K173" s="67" t="s">
        <v>83</v>
      </c>
      <c r="L173" s="529">
        <v>23752022</v>
      </c>
      <c r="M173" s="279">
        <v>45010</v>
      </c>
      <c r="N173" s="308">
        <f t="shared" si="33"/>
        <v>45023</v>
      </c>
      <c r="O173" s="361">
        <v>45021</v>
      </c>
      <c r="P173" s="363" t="s">
        <v>143</v>
      </c>
      <c r="Q173" s="64"/>
      <c r="R173" s="445"/>
    </row>
    <row r="174" spans="1:18" customFormat="1" ht="19.5" hidden="1" thickBot="1" x14ac:dyDescent="0.35">
      <c r="A174" s="32" t="s">
        <v>48</v>
      </c>
      <c r="B174" s="311">
        <v>44964</v>
      </c>
      <c r="C174" s="311">
        <v>44994</v>
      </c>
      <c r="D174" s="310">
        <v>34900</v>
      </c>
      <c r="E174" s="347"/>
      <c r="F174" s="312">
        <v>44995</v>
      </c>
      <c r="G174" s="73">
        <v>45017</v>
      </c>
      <c r="H174" s="34" t="s">
        <v>432</v>
      </c>
      <c r="I174" s="34" t="s">
        <v>433</v>
      </c>
      <c r="J174" s="65" t="s">
        <v>377</v>
      </c>
      <c r="K174" s="67" t="s">
        <v>83</v>
      </c>
      <c r="L174" s="529">
        <v>23755441</v>
      </c>
      <c r="M174" s="279">
        <v>45022</v>
      </c>
      <c r="N174" s="308">
        <f t="shared" si="33"/>
        <v>45039</v>
      </c>
      <c r="O174" s="361">
        <v>45040</v>
      </c>
      <c r="P174" s="363"/>
      <c r="Q174" s="64"/>
      <c r="R174" s="445"/>
    </row>
    <row r="175" spans="1:18" customFormat="1" ht="19.5" hidden="1" thickBot="1" x14ac:dyDescent="0.35">
      <c r="A175" s="32" t="s">
        <v>48</v>
      </c>
      <c r="B175" s="311">
        <v>44971</v>
      </c>
      <c r="C175" s="311">
        <v>44988</v>
      </c>
      <c r="D175" s="310">
        <v>36199.599999999999</v>
      </c>
      <c r="E175" s="347"/>
      <c r="F175" s="312">
        <v>44991</v>
      </c>
      <c r="G175" s="73">
        <v>45017</v>
      </c>
      <c r="H175" s="34" t="s">
        <v>434</v>
      </c>
      <c r="I175" s="34" t="s">
        <v>435</v>
      </c>
      <c r="J175" s="65" t="s">
        <v>409</v>
      </c>
      <c r="K175" s="67" t="s">
        <v>83</v>
      </c>
      <c r="L175" s="529">
        <v>23754735</v>
      </c>
      <c r="M175" s="279">
        <v>45022</v>
      </c>
      <c r="N175" s="308">
        <f t="shared" si="33"/>
        <v>45033</v>
      </c>
      <c r="O175" s="362">
        <v>45033</v>
      </c>
      <c r="P175" s="363"/>
      <c r="Q175" s="64"/>
      <c r="R175" s="445"/>
    </row>
    <row r="176" spans="1:18" customFormat="1" ht="19.5" hidden="1" thickBot="1" x14ac:dyDescent="0.35">
      <c r="A176" s="32" t="s">
        <v>21</v>
      </c>
      <c r="B176" s="311">
        <v>44985</v>
      </c>
      <c r="C176" s="311">
        <v>44991</v>
      </c>
      <c r="D176" s="310">
        <v>36071.5</v>
      </c>
      <c r="E176" s="347"/>
      <c r="F176" s="312">
        <v>44992</v>
      </c>
      <c r="G176" s="73">
        <v>45020</v>
      </c>
      <c r="H176" s="34" t="s">
        <v>436</v>
      </c>
      <c r="I176" s="34" t="s">
        <v>437</v>
      </c>
      <c r="J176" s="65" t="s">
        <v>176</v>
      </c>
      <c r="K176" s="67" t="s">
        <v>83</v>
      </c>
      <c r="L176" s="529">
        <v>23754942</v>
      </c>
      <c r="M176" s="279">
        <v>45022</v>
      </c>
      <c r="N176" s="308">
        <f t="shared" si="33"/>
        <v>45036</v>
      </c>
      <c r="O176" s="361">
        <v>45036</v>
      </c>
      <c r="P176" s="365">
        <v>4950</v>
      </c>
      <c r="Q176" s="64"/>
      <c r="R176" s="445"/>
    </row>
    <row r="177" spans="1:18" customFormat="1" ht="19.5" hidden="1" thickBot="1" x14ac:dyDescent="0.35">
      <c r="A177" s="32" t="s">
        <v>48</v>
      </c>
      <c r="B177" s="311">
        <v>45001</v>
      </c>
      <c r="C177" s="311">
        <v>45029</v>
      </c>
      <c r="D177" s="310">
        <v>36462.400000000001</v>
      </c>
      <c r="E177" s="347"/>
      <c r="F177" s="312">
        <v>45031</v>
      </c>
      <c r="G177" s="73">
        <v>45052</v>
      </c>
      <c r="H177" s="34" t="s">
        <v>438</v>
      </c>
      <c r="I177" s="34" t="s">
        <v>439</v>
      </c>
      <c r="J177" s="65" t="s">
        <v>409</v>
      </c>
      <c r="K177" s="309" t="s">
        <v>47</v>
      </c>
      <c r="L177" s="529">
        <v>23762804</v>
      </c>
      <c r="M177" s="279">
        <v>45057</v>
      </c>
      <c r="N177" s="308">
        <f t="shared" si="33"/>
        <v>45074</v>
      </c>
      <c r="O177" s="361">
        <v>45058</v>
      </c>
      <c r="P177" s="365">
        <v>5200</v>
      </c>
      <c r="Q177" s="64"/>
      <c r="R177" s="445"/>
    </row>
    <row r="178" spans="1:18" customFormat="1" ht="19.5" hidden="1" thickBot="1" x14ac:dyDescent="0.35">
      <c r="A178" s="32" t="s">
        <v>48</v>
      </c>
      <c r="B178" s="311">
        <v>45020</v>
      </c>
      <c r="C178" s="311">
        <v>45044</v>
      </c>
      <c r="D178" s="310">
        <v>36016</v>
      </c>
      <c r="E178" s="347"/>
      <c r="F178" s="312">
        <v>45043</v>
      </c>
      <c r="G178" s="73">
        <v>45066</v>
      </c>
      <c r="H178" s="34" t="s">
        <v>440</v>
      </c>
      <c r="I178" s="34" t="s">
        <v>441</v>
      </c>
      <c r="J178" s="65" t="s">
        <v>409</v>
      </c>
      <c r="K178" s="309" t="s">
        <v>47</v>
      </c>
      <c r="L178" s="529">
        <v>23766298</v>
      </c>
      <c r="M178" s="279">
        <v>45071</v>
      </c>
      <c r="N178" s="308">
        <f t="shared" si="33"/>
        <v>45089</v>
      </c>
      <c r="O178" s="361">
        <v>45089</v>
      </c>
      <c r="P178" s="365">
        <v>5200</v>
      </c>
      <c r="Q178" s="64"/>
      <c r="R178" s="445"/>
    </row>
    <row r="179" spans="1:18" customFormat="1" ht="19.5" hidden="1" thickBot="1" x14ac:dyDescent="0.35">
      <c r="A179" s="32" t="s">
        <v>48</v>
      </c>
      <c r="B179" s="311">
        <v>45028</v>
      </c>
      <c r="C179" s="311">
        <v>45037</v>
      </c>
      <c r="D179" s="310">
        <v>34900</v>
      </c>
      <c r="E179" s="347"/>
      <c r="F179" s="312">
        <v>45036</v>
      </c>
      <c r="G179" s="315">
        <v>45059</v>
      </c>
      <c r="H179" s="34" t="s">
        <v>442</v>
      </c>
      <c r="I179" s="34" t="s">
        <v>443</v>
      </c>
      <c r="J179" s="65" t="s">
        <v>377</v>
      </c>
      <c r="K179" s="309" t="s">
        <v>47</v>
      </c>
      <c r="L179" s="529">
        <v>23764397</v>
      </c>
      <c r="M179" s="279">
        <v>45064</v>
      </c>
      <c r="N179" s="308">
        <f t="shared" si="33"/>
        <v>45082</v>
      </c>
      <c r="O179" s="361">
        <v>45082</v>
      </c>
      <c r="P179" s="365">
        <v>5200</v>
      </c>
      <c r="Q179" s="64"/>
      <c r="R179" s="445"/>
    </row>
    <row r="180" spans="1:18" customFormat="1" ht="19.5" hidden="1" thickBot="1" x14ac:dyDescent="0.35">
      <c r="A180" s="32" t="s">
        <v>48</v>
      </c>
      <c r="B180" s="311">
        <v>45028</v>
      </c>
      <c r="C180" s="311">
        <v>45049</v>
      </c>
      <c r="D180" s="310">
        <v>34450</v>
      </c>
      <c r="E180" s="347"/>
      <c r="F180" s="312">
        <v>45050</v>
      </c>
      <c r="G180" s="73">
        <v>45073</v>
      </c>
      <c r="H180" s="34" t="s">
        <v>444</v>
      </c>
      <c r="I180" s="34" t="s">
        <v>445</v>
      </c>
      <c r="J180" s="65" t="s">
        <v>377</v>
      </c>
      <c r="K180" s="309" t="s">
        <v>47</v>
      </c>
      <c r="L180" s="529">
        <v>23767119</v>
      </c>
      <c r="M180" s="279">
        <v>45078</v>
      </c>
      <c r="N180" s="308">
        <f t="shared" si="33"/>
        <v>45094</v>
      </c>
      <c r="O180" s="361">
        <v>45096</v>
      </c>
      <c r="P180" s="365">
        <v>4750</v>
      </c>
      <c r="Q180" s="64"/>
      <c r="R180" s="445"/>
    </row>
    <row r="181" spans="1:18" customFormat="1" ht="19.5" hidden="1" thickBot="1" x14ac:dyDescent="0.35">
      <c r="A181" s="32" t="s">
        <v>446</v>
      </c>
      <c r="B181" s="311">
        <v>45035</v>
      </c>
      <c r="C181" s="311">
        <v>45063</v>
      </c>
      <c r="D181" s="310">
        <v>35021.199999999997</v>
      </c>
      <c r="E181" s="347"/>
      <c r="F181" s="312">
        <v>45063</v>
      </c>
      <c r="G181" s="73">
        <v>45087</v>
      </c>
      <c r="H181" s="34" t="s">
        <v>447</v>
      </c>
      <c r="I181" s="34" t="s">
        <v>448</v>
      </c>
      <c r="J181" s="65" t="s">
        <v>409</v>
      </c>
      <c r="K181" s="309" t="s">
        <v>47</v>
      </c>
      <c r="L181" s="529">
        <v>23770204</v>
      </c>
      <c r="M181" s="279">
        <v>45092</v>
      </c>
      <c r="N181" s="308">
        <f t="shared" si="33"/>
        <v>45108</v>
      </c>
      <c r="O181" s="361">
        <v>45110</v>
      </c>
      <c r="P181" s="365">
        <v>4450</v>
      </c>
      <c r="Q181" s="64"/>
      <c r="R181" s="445"/>
    </row>
    <row r="182" spans="1:18" customFormat="1" ht="19.5" hidden="1" thickBot="1" x14ac:dyDescent="0.35">
      <c r="A182" s="32" t="s">
        <v>48</v>
      </c>
      <c r="B182" s="311">
        <v>45065</v>
      </c>
      <c r="C182" s="311">
        <v>45092</v>
      </c>
      <c r="D182" s="310">
        <v>36360.839999999997</v>
      </c>
      <c r="E182" s="347"/>
      <c r="F182" s="312">
        <v>45094</v>
      </c>
      <c r="G182" s="73">
        <v>45115</v>
      </c>
      <c r="H182" s="34" t="s">
        <v>449</v>
      </c>
      <c r="I182" s="34" t="s">
        <v>450</v>
      </c>
      <c r="J182" s="65" t="s">
        <v>409</v>
      </c>
      <c r="K182" s="309" t="s">
        <v>47</v>
      </c>
      <c r="L182" s="529">
        <v>23776653</v>
      </c>
      <c r="M182" s="279">
        <v>45120</v>
      </c>
      <c r="N182" s="308">
        <f t="shared" ref="N182:N218" si="34">+C182+45</f>
        <v>45137</v>
      </c>
      <c r="O182" s="361">
        <v>45138</v>
      </c>
      <c r="P182" s="365">
        <v>4350</v>
      </c>
      <c r="Q182" s="64"/>
      <c r="R182" s="445"/>
    </row>
    <row r="183" spans="1:18" customFormat="1" ht="19.5" hidden="1" thickBot="1" x14ac:dyDescent="0.35">
      <c r="A183" s="32" t="s">
        <v>48</v>
      </c>
      <c r="B183" s="311">
        <v>45065</v>
      </c>
      <c r="C183" s="311">
        <v>45104</v>
      </c>
      <c r="D183" s="310">
        <v>35900.800000000003</v>
      </c>
      <c r="E183" s="347"/>
      <c r="F183" s="312">
        <v>45108</v>
      </c>
      <c r="G183" s="73">
        <v>45129</v>
      </c>
      <c r="H183" s="34" t="s">
        <v>451</v>
      </c>
      <c r="I183" s="34" t="s">
        <v>452</v>
      </c>
      <c r="J183" s="65" t="s">
        <v>453</v>
      </c>
      <c r="K183" s="309" t="s">
        <v>47</v>
      </c>
      <c r="L183" s="529">
        <v>23778785</v>
      </c>
      <c r="M183" s="279">
        <v>45136</v>
      </c>
      <c r="N183" s="308">
        <f t="shared" si="34"/>
        <v>45149</v>
      </c>
      <c r="O183" s="361">
        <v>45149</v>
      </c>
      <c r="P183" s="365">
        <v>4300</v>
      </c>
      <c r="Q183" s="64"/>
      <c r="R183" s="445"/>
    </row>
    <row r="184" spans="1:18" customFormat="1" ht="19.5" hidden="1" thickBot="1" x14ac:dyDescent="0.35">
      <c r="A184" s="32" t="s">
        <v>21</v>
      </c>
      <c r="B184" s="311">
        <v>45076</v>
      </c>
      <c r="C184" s="311">
        <v>45100</v>
      </c>
      <c r="D184" s="310">
        <v>38565.599999999999</v>
      </c>
      <c r="E184" s="347"/>
      <c r="F184" s="312">
        <v>45105</v>
      </c>
      <c r="G184" s="73">
        <v>45125</v>
      </c>
      <c r="H184" s="34" t="s">
        <v>454</v>
      </c>
      <c r="I184" s="34" t="s">
        <v>455</v>
      </c>
      <c r="J184" s="65" t="s">
        <v>176</v>
      </c>
      <c r="K184" s="309" t="s">
        <v>47</v>
      </c>
      <c r="L184" s="529">
        <v>23777804</v>
      </c>
      <c r="M184" s="279">
        <v>45129</v>
      </c>
      <c r="N184" s="308">
        <f t="shared" si="34"/>
        <v>45145</v>
      </c>
      <c r="O184" s="361">
        <v>45145</v>
      </c>
      <c r="P184" s="365">
        <v>4200</v>
      </c>
      <c r="Q184" s="64"/>
      <c r="R184" s="445"/>
    </row>
    <row r="185" spans="1:18" customFormat="1" ht="19.5" hidden="1" thickBot="1" x14ac:dyDescent="0.35">
      <c r="A185" s="32" t="s">
        <v>21</v>
      </c>
      <c r="B185" s="311">
        <v>45138</v>
      </c>
      <c r="C185" s="311">
        <v>45146</v>
      </c>
      <c r="D185" s="310">
        <v>36695.199999999997</v>
      </c>
      <c r="E185" s="347"/>
      <c r="F185" s="312">
        <v>45148</v>
      </c>
      <c r="G185" s="73">
        <v>45166</v>
      </c>
      <c r="H185" s="34" t="s">
        <v>456</v>
      </c>
      <c r="I185" s="34" t="s">
        <v>457</v>
      </c>
      <c r="J185" s="65" t="s">
        <v>176</v>
      </c>
      <c r="K185" s="309" t="s">
        <v>47</v>
      </c>
      <c r="L185" s="529">
        <v>23787615</v>
      </c>
      <c r="M185" s="279">
        <v>45173</v>
      </c>
      <c r="N185" s="308">
        <f t="shared" si="34"/>
        <v>45191</v>
      </c>
      <c r="O185" s="361">
        <v>45181</v>
      </c>
      <c r="P185" s="366">
        <v>2830</v>
      </c>
      <c r="Q185" s="64"/>
      <c r="R185" s="445"/>
    </row>
    <row r="186" spans="1:18" customFormat="1" ht="19.5" hidden="1" thickBot="1" x14ac:dyDescent="0.35">
      <c r="A186" s="32" t="s">
        <v>48</v>
      </c>
      <c r="B186" s="311">
        <v>45142</v>
      </c>
      <c r="C186" s="311">
        <v>45174</v>
      </c>
      <c r="D186" s="310">
        <v>33857.94</v>
      </c>
      <c r="E186" s="347"/>
      <c r="F186" s="312"/>
      <c r="G186" s="73">
        <v>45192</v>
      </c>
      <c r="H186" s="34" t="s">
        <v>458</v>
      </c>
      <c r="I186" s="34" t="s">
        <v>459</v>
      </c>
      <c r="J186" s="65" t="s">
        <v>460</v>
      </c>
      <c r="K186" s="309" t="s">
        <v>47</v>
      </c>
      <c r="L186" s="529">
        <v>23787613</v>
      </c>
      <c r="M186" s="279">
        <v>45197</v>
      </c>
      <c r="N186" s="308">
        <f t="shared" si="34"/>
        <v>45219</v>
      </c>
      <c r="O186" s="361">
        <v>45219</v>
      </c>
      <c r="P186" s="366">
        <v>2910</v>
      </c>
      <c r="Q186" s="64"/>
      <c r="R186" s="445"/>
    </row>
    <row r="187" spans="1:18" customFormat="1" ht="19.5" hidden="1" thickBot="1" x14ac:dyDescent="0.35">
      <c r="A187" s="32" t="s">
        <v>21</v>
      </c>
      <c r="B187" s="311">
        <v>45152</v>
      </c>
      <c r="C187" s="311">
        <v>45166</v>
      </c>
      <c r="D187" s="310">
        <v>38660</v>
      </c>
      <c r="E187" s="347"/>
      <c r="F187" s="312">
        <v>45167</v>
      </c>
      <c r="G187" s="315">
        <v>45187</v>
      </c>
      <c r="H187" s="34" t="s">
        <v>461</v>
      </c>
      <c r="I187" s="34" t="s">
        <v>462</v>
      </c>
      <c r="J187" s="65" t="s">
        <v>463</v>
      </c>
      <c r="K187" s="309" t="s">
        <v>47</v>
      </c>
      <c r="L187" s="529">
        <v>23791882</v>
      </c>
      <c r="M187" s="279">
        <v>45191</v>
      </c>
      <c r="N187" s="308">
        <f t="shared" si="34"/>
        <v>45211</v>
      </c>
      <c r="O187" s="361">
        <v>45190</v>
      </c>
      <c r="P187" s="366">
        <v>2900</v>
      </c>
      <c r="Q187" s="64"/>
      <c r="R187" s="445"/>
    </row>
    <row r="188" spans="1:18" customFormat="1" ht="19.5" hidden="1" thickBot="1" x14ac:dyDescent="0.35">
      <c r="A188" s="32" t="s">
        <v>48</v>
      </c>
      <c r="B188" s="311">
        <v>45159</v>
      </c>
      <c r="C188" s="311">
        <v>45167</v>
      </c>
      <c r="D188" s="310">
        <v>34410.800000000003</v>
      </c>
      <c r="E188" s="347"/>
      <c r="F188" s="312">
        <v>45166</v>
      </c>
      <c r="G188" s="315">
        <v>45206</v>
      </c>
      <c r="H188" s="34" t="s">
        <v>464</v>
      </c>
      <c r="I188" s="34" t="s">
        <v>465</v>
      </c>
      <c r="J188" s="65" t="s">
        <v>377</v>
      </c>
      <c r="K188" s="309" t="s">
        <v>47</v>
      </c>
      <c r="L188" s="529">
        <v>23791870</v>
      </c>
      <c r="M188" s="279">
        <v>45211</v>
      </c>
      <c r="N188" s="308">
        <f t="shared" si="34"/>
        <v>45212</v>
      </c>
      <c r="O188" s="361">
        <v>45204</v>
      </c>
      <c r="P188" s="366">
        <v>2910</v>
      </c>
      <c r="Q188" s="64"/>
      <c r="R188" s="445"/>
    </row>
    <row r="189" spans="1:18" customFormat="1" ht="19.5" hidden="1" thickBot="1" x14ac:dyDescent="0.35">
      <c r="A189" s="32" t="s">
        <v>48</v>
      </c>
      <c r="B189" s="311">
        <v>45159</v>
      </c>
      <c r="C189" s="311">
        <v>45195</v>
      </c>
      <c r="D189" s="310">
        <v>33082.800000000003</v>
      </c>
      <c r="E189" s="347"/>
      <c r="F189" s="312">
        <v>45194</v>
      </c>
      <c r="G189" s="315">
        <v>45213</v>
      </c>
      <c r="H189" s="34" t="s">
        <v>466</v>
      </c>
      <c r="I189" s="34" t="s">
        <v>467</v>
      </c>
      <c r="J189" s="65" t="s">
        <v>377</v>
      </c>
      <c r="K189" s="309" t="s">
        <v>47</v>
      </c>
      <c r="L189" s="529">
        <v>23798008</v>
      </c>
      <c r="M189" s="279">
        <v>45218</v>
      </c>
      <c r="N189" s="308">
        <f t="shared" si="34"/>
        <v>45240</v>
      </c>
      <c r="O189" s="361">
        <v>45240</v>
      </c>
      <c r="P189" s="366">
        <v>2670</v>
      </c>
      <c r="Q189" s="64"/>
      <c r="R189" s="445"/>
    </row>
    <row r="190" spans="1:18" customFormat="1" ht="19.5" hidden="1" thickBot="1" x14ac:dyDescent="0.35">
      <c r="A190" s="32" t="s">
        <v>21</v>
      </c>
      <c r="B190" s="311">
        <v>45170</v>
      </c>
      <c r="C190" s="311">
        <v>45188</v>
      </c>
      <c r="D190" s="310">
        <v>35388.92</v>
      </c>
      <c r="E190" s="347"/>
      <c r="F190" s="312">
        <v>45190</v>
      </c>
      <c r="G190" s="315">
        <v>45210</v>
      </c>
      <c r="H190" s="34" t="s">
        <v>468</v>
      </c>
      <c r="I190" s="34" t="s">
        <v>469</v>
      </c>
      <c r="J190" s="65" t="s">
        <v>176</v>
      </c>
      <c r="K190" s="309" t="s">
        <v>47</v>
      </c>
      <c r="L190" s="529">
        <v>23796364</v>
      </c>
      <c r="M190" s="279">
        <v>45216</v>
      </c>
      <c r="N190" s="308">
        <f t="shared" si="34"/>
        <v>45233</v>
      </c>
      <c r="O190" s="361">
        <v>45233</v>
      </c>
      <c r="P190" s="366">
        <v>2900</v>
      </c>
      <c r="Q190" s="64"/>
      <c r="R190" s="445"/>
    </row>
    <row r="191" spans="1:18" customFormat="1" ht="19.5" hidden="1" thickBot="1" x14ac:dyDescent="0.35">
      <c r="A191" s="32" t="s">
        <v>21</v>
      </c>
      <c r="B191" s="311">
        <v>45194</v>
      </c>
      <c r="C191" s="311">
        <v>45217</v>
      </c>
      <c r="D191" s="310">
        <v>36007.4</v>
      </c>
      <c r="E191" s="347"/>
      <c r="F191" s="312">
        <v>45216</v>
      </c>
      <c r="G191" s="315">
        <v>45237</v>
      </c>
      <c r="H191" s="34" t="s">
        <v>470</v>
      </c>
      <c r="I191" s="34" t="s">
        <v>471</v>
      </c>
      <c r="J191" s="65" t="s">
        <v>176</v>
      </c>
      <c r="K191" s="309" t="s">
        <v>47</v>
      </c>
      <c r="L191" s="529">
        <v>23802159</v>
      </c>
      <c r="M191" s="279">
        <v>45240</v>
      </c>
      <c r="N191" s="308">
        <f t="shared" si="34"/>
        <v>45262</v>
      </c>
      <c r="O191" s="361">
        <v>45254</v>
      </c>
      <c r="P191" s="366">
        <v>2750</v>
      </c>
      <c r="Q191" s="64"/>
      <c r="R191" s="445"/>
    </row>
    <row r="192" spans="1:18" customFormat="1" ht="19.5" hidden="1" thickBot="1" x14ac:dyDescent="0.35">
      <c r="A192" s="32" t="s">
        <v>48</v>
      </c>
      <c r="B192" s="311">
        <v>45212</v>
      </c>
      <c r="C192" s="311">
        <v>45229</v>
      </c>
      <c r="D192" s="310">
        <v>33164</v>
      </c>
      <c r="E192" s="347"/>
      <c r="F192" s="312">
        <v>45231</v>
      </c>
      <c r="G192" s="315">
        <v>45250</v>
      </c>
      <c r="H192" s="34" t="s">
        <v>472</v>
      </c>
      <c r="I192" s="34" t="s">
        <v>473</v>
      </c>
      <c r="J192" s="65" t="s">
        <v>460</v>
      </c>
      <c r="K192" s="309" t="s">
        <v>47</v>
      </c>
      <c r="L192" s="529">
        <v>23804663</v>
      </c>
      <c r="M192" s="279">
        <v>45253</v>
      </c>
      <c r="N192" s="308">
        <f t="shared" si="34"/>
        <v>45274</v>
      </c>
      <c r="O192" s="361">
        <v>45273</v>
      </c>
      <c r="P192" s="366">
        <v>2600</v>
      </c>
      <c r="Q192" s="64"/>
      <c r="R192" s="445"/>
    </row>
    <row r="193" spans="1:18" customFormat="1" ht="19.5" hidden="1" thickBot="1" x14ac:dyDescent="0.35">
      <c r="A193" s="32" t="s">
        <v>48</v>
      </c>
      <c r="B193" s="311">
        <v>45229</v>
      </c>
      <c r="C193" s="311">
        <v>45239</v>
      </c>
      <c r="D193" s="310">
        <v>32741.8</v>
      </c>
      <c r="E193" s="347"/>
      <c r="F193" s="312">
        <v>45244</v>
      </c>
      <c r="G193" s="315">
        <v>45288</v>
      </c>
      <c r="H193" s="34" t="s">
        <v>474</v>
      </c>
      <c r="I193" s="34" t="s">
        <v>475</v>
      </c>
      <c r="J193" s="65" t="s">
        <v>460</v>
      </c>
      <c r="K193" s="309" t="s">
        <v>47</v>
      </c>
      <c r="L193" s="529">
        <v>23806669</v>
      </c>
      <c r="M193" s="279">
        <v>45294</v>
      </c>
      <c r="N193" s="308">
        <f t="shared" si="34"/>
        <v>45284</v>
      </c>
      <c r="O193" s="361">
        <v>45282</v>
      </c>
      <c r="P193" s="366">
        <v>2600</v>
      </c>
      <c r="Q193" s="64"/>
      <c r="R193" s="445"/>
    </row>
    <row r="194" spans="1:18" customFormat="1" ht="19.5" hidden="1" thickBot="1" x14ac:dyDescent="0.35">
      <c r="A194" s="32" t="s">
        <v>48</v>
      </c>
      <c r="B194" s="311">
        <v>45246</v>
      </c>
      <c r="C194" s="311">
        <v>45258</v>
      </c>
      <c r="D194" s="310">
        <v>31587.200000000001</v>
      </c>
      <c r="E194" s="347"/>
      <c r="F194" s="312">
        <v>45257</v>
      </c>
      <c r="G194" s="315">
        <v>45280</v>
      </c>
      <c r="H194" s="34" t="s">
        <v>476</v>
      </c>
      <c r="I194" s="34" t="s">
        <v>477</v>
      </c>
      <c r="J194" s="65" t="s">
        <v>460</v>
      </c>
      <c r="K194" s="309" t="s">
        <v>47</v>
      </c>
      <c r="L194" s="529">
        <v>23810598</v>
      </c>
      <c r="M194" s="279">
        <v>45287</v>
      </c>
      <c r="N194" s="308">
        <f t="shared" si="34"/>
        <v>45303</v>
      </c>
      <c r="O194" s="361">
        <v>45303</v>
      </c>
      <c r="P194" s="366"/>
      <c r="Q194" s="354">
        <f>+M194-B194</f>
        <v>41</v>
      </c>
      <c r="R194" s="451"/>
    </row>
    <row r="195" spans="1:18" customFormat="1" ht="19.5" hidden="1" thickBot="1" x14ac:dyDescent="0.35">
      <c r="A195" s="32" t="s">
        <v>21</v>
      </c>
      <c r="B195" s="311">
        <v>45251</v>
      </c>
      <c r="C195" s="311">
        <v>45266</v>
      </c>
      <c r="D195" s="310">
        <v>31802.5</v>
      </c>
      <c r="E195" s="347"/>
      <c r="F195" s="312">
        <v>45265</v>
      </c>
      <c r="G195" s="315">
        <v>45286</v>
      </c>
      <c r="H195" s="34" t="s">
        <v>478</v>
      </c>
      <c r="I195" s="34" t="s">
        <v>479</v>
      </c>
      <c r="J195" s="65" t="s">
        <v>176</v>
      </c>
      <c r="K195" s="309" t="s">
        <v>47</v>
      </c>
      <c r="L195" s="529">
        <v>23812170</v>
      </c>
      <c r="M195" s="279">
        <v>45290</v>
      </c>
      <c r="N195" s="308">
        <f t="shared" si="34"/>
        <v>45311</v>
      </c>
      <c r="O195" s="361">
        <v>45313</v>
      </c>
      <c r="P195" s="366"/>
      <c r="Q195" s="354">
        <f>+M195-B195</f>
        <v>39</v>
      </c>
      <c r="R195" s="451"/>
    </row>
    <row r="196" spans="1:18" customFormat="1" ht="21.75" hidden="1" thickBot="1" x14ac:dyDescent="0.35">
      <c r="A196" s="32" t="s">
        <v>21</v>
      </c>
      <c r="B196" s="311">
        <v>45287</v>
      </c>
      <c r="C196" s="74">
        <v>45300</v>
      </c>
      <c r="D196" s="310">
        <v>33677.5</v>
      </c>
      <c r="E196" s="407">
        <v>18.995999999999999</v>
      </c>
      <c r="F196" s="312">
        <v>45302</v>
      </c>
      <c r="G196" s="315">
        <v>45322</v>
      </c>
      <c r="H196" s="34" t="s">
        <v>480</v>
      </c>
      <c r="I196" s="34" t="s">
        <v>481</v>
      </c>
      <c r="J196" s="65" t="s">
        <v>199</v>
      </c>
      <c r="K196" s="309" t="s">
        <v>47</v>
      </c>
      <c r="L196" s="529">
        <v>24817989</v>
      </c>
      <c r="M196" s="279">
        <v>45330</v>
      </c>
      <c r="N196" s="308">
        <f t="shared" si="34"/>
        <v>45345</v>
      </c>
      <c r="O196" s="361">
        <v>45346</v>
      </c>
      <c r="P196" s="366"/>
      <c r="Q196" s="354">
        <f>+M196-B196</f>
        <v>43</v>
      </c>
      <c r="R196" s="451"/>
    </row>
    <row r="197" spans="1:18" customFormat="1" ht="21.75" hidden="1" thickBot="1" x14ac:dyDescent="0.35">
      <c r="A197" s="32" t="s">
        <v>21</v>
      </c>
      <c r="B197" s="311">
        <v>45295</v>
      </c>
      <c r="C197" s="74">
        <v>45308</v>
      </c>
      <c r="D197" s="310">
        <v>33254.5</v>
      </c>
      <c r="E197" s="407">
        <v>18.501999999999999</v>
      </c>
      <c r="F197" s="312">
        <v>45309</v>
      </c>
      <c r="G197" s="315">
        <v>45330</v>
      </c>
      <c r="H197" s="34" t="s">
        <v>482</v>
      </c>
      <c r="I197" s="34" t="s">
        <v>483</v>
      </c>
      <c r="J197" s="65" t="s">
        <v>176</v>
      </c>
      <c r="K197" s="309" t="s">
        <v>47</v>
      </c>
      <c r="L197" s="529">
        <v>24818928</v>
      </c>
      <c r="M197" s="279">
        <v>45336</v>
      </c>
      <c r="N197" s="308">
        <f t="shared" si="34"/>
        <v>45353</v>
      </c>
      <c r="O197" s="361" t="s">
        <v>484</v>
      </c>
      <c r="P197" s="366"/>
      <c r="Q197" s="354">
        <f>+M197-B197</f>
        <v>41</v>
      </c>
      <c r="R197" s="451"/>
    </row>
    <row r="198" spans="1:18" customFormat="1" ht="21.75" hidden="1" thickBot="1" x14ac:dyDescent="0.35">
      <c r="A198" s="32" t="s">
        <v>48</v>
      </c>
      <c r="B198" s="311">
        <v>45309</v>
      </c>
      <c r="C198" s="74">
        <v>45327</v>
      </c>
      <c r="D198" s="310">
        <v>31638.799999999999</v>
      </c>
      <c r="E198" s="407">
        <v>18.529</v>
      </c>
      <c r="F198" s="312">
        <v>45327</v>
      </c>
      <c r="G198" s="315">
        <v>45350</v>
      </c>
      <c r="H198" s="34" t="s">
        <v>485</v>
      </c>
      <c r="I198" s="34" t="s">
        <v>486</v>
      </c>
      <c r="J198" s="65" t="s">
        <v>460</v>
      </c>
      <c r="K198" s="309" t="s">
        <v>47</v>
      </c>
      <c r="L198" s="529">
        <v>24823653</v>
      </c>
      <c r="M198" s="279">
        <v>45356</v>
      </c>
      <c r="N198" s="308">
        <f t="shared" si="34"/>
        <v>45372</v>
      </c>
      <c r="O198" s="361">
        <v>45371</v>
      </c>
      <c r="P198" s="366"/>
      <c r="Q198" s="354"/>
      <c r="R198" s="451"/>
    </row>
    <row r="199" spans="1:18" customFormat="1" ht="21.75" hidden="1" thickBot="1" x14ac:dyDescent="0.35">
      <c r="A199" s="32" t="s">
        <v>48</v>
      </c>
      <c r="B199" s="311">
        <v>45341</v>
      </c>
      <c r="C199" s="74">
        <v>45349</v>
      </c>
      <c r="D199" s="310">
        <v>31565.8</v>
      </c>
      <c r="E199" s="407">
        <v>18.064</v>
      </c>
      <c r="F199" s="312">
        <v>45350</v>
      </c>
      <c r="G199" s="315">
        <v>45367</v>
      </c>
      <c r="H199" s="34" t="s">
        <v>487</v>
      </c>
      <c r="I199" s="34" t="s">
        <v>488</v>
      </c>
      <c r="J199" s="65" t="s">
        <v>460</v>
      </c>
      <c r="K199" s="309" t="s">
        <v>47</v>
      </c>
      <c r="L199" s="529">
        <v>24828522</v>
      </c>
      <c r="M199" s="279">
        <v>45372</v>
      </c>
      <c r="N199" s="308">
        <f t="shared" si="34"/>
        <v>45394</v>
      </c>
      <c r="O199" s="361">
        <v>45394</v>
      </c>
      <c r="P199" s="366"/>
      <c r="Q199" s="354">
        <f>+M199-B199</f>
        <v>31</v>
      </c>
      <c r="R199" s="451"/>
    </row>
    <row r="200" spans="1:18" customFormat="1" ht="21" hidden="1" x14ac:dyDescent="0.3">
      <c r="A200" s="348" t="s">
        <v>21</v>
      </c>
      <c r="B200" s="349">
        <v>45341</v>
      </c>
      <c r="C200" s="74">
        <v>45351</v>
      </c>
      <c r="D200" s="310">
        <v>33243.4</v>
      </c>
      <c r="E200" s="407">
        <v>18.137</v>
      </c>
      <c r="F200" s="384">
        <v>45356</v>
      </c>
      <c r="G200" s="69">
        <v>45369</v>
      </c>
      <c r="H200" s="385" t="s">
        <v>489</v>
      </c>
      <c r="I200" s="385" t="s">
        <v>490</v>
      </c>
      <c r="J200" s="386" t="s">
        <v>176</v>
      </c>
      <c r="K200" s="387" t="s">
        <v>47</v>
      </c>
      <c r="L200" s="530">
        <v>24829333</v>
      </c>
      <c r="M200" s="280">
        <v>45386</v>
      </c>
      <c r="N200" s="388">
        <f t="shared" si="34"/>
        <v>45396</v>
      </c>
      <c r="O200" s="389">
        <v>45394</v>
      </c>
      <c r="P200" s="366"/>
      <c r="Q200" s="354">
        <f>+M200-B200</f>
        <v>45</v>
      </c>
      <c r="R200" s="451"/>
    </row>
    <row r="201" spans="1:18" customFormat="1" ht="21" hidden="1" x14ac:dyDescent="0.3">
      <c r="A201" s="396" t="s">
        <v>48</v>
      </c>
      <c r="B201" s="351">
        <v>45365</v>
      </c>
      <c r="C201" s="351">
        <v>45386</v>
      </c>
      <c r="D201" s="353">
        <v>29332.799999999999</v>
      </c>
      <c r="E201" s="408">
        <v>18.591000000000001</v>
      </c>
      <c r="F201" s="390">
        <v>45387</v>
      </c>
      <c r="G201" s="69">
        <v>45411</v>
      </c>
      <c r="H201" s="37" t="s">
        <v>491</v>
      </c>
      <c r="I201" s="37" t="s">
        <v>492</v>
      </c>
      <c r="J201" s="60" t="s">
        <v>460</v>
      </c>
      <c r="K201" s="66" t="s">
        <v>47</v>
      </c>
      <c r="L201" s="524">
        <v>24836089</v>
      </c>
      <c r="M201" s="279">
        <v>45415</v>
      </c>
      <c r="N201" s="308">
        <f t="shared" si="34"/>
        <v>45431</v>
      </c>
      <c r="O201" s="391">
        <v>45433</v>
      </c>
      <c r="P201" s="367"/>
      <c r="Q201" s="354"/>
      <c r="R201" s="451"/>
    </row>
    <row r="202" spans="1:18" customFormat="1" ht="21" hidden="1" x14ac:dyDescent="0.3">
      <c r="A202" s="350" t="s">
        <v>21</v>
      </c>
      <c r="B202" s="351">
        <v>45366</v>
      </c>
      <c r="C202" s="351">
        <v>45376</v>
      </c>
      <c r="D202" s="353">
        <v>33921.300000000003</v>
      </c>
      <c r="E202" s="407">
        <v>18.105</v>
      </c>
      <c r="F202" s="390">
        <v>45378</v>
      </c>
      <c r="G202" s="69">
        <v>45398</v>
      </c>
      <c r="H202" s="37" t="s">
        <v>493</v>
      </c>
      <c r="I202" s="37" t="s">
        <v>494</v>
      </c>
      <c r="J202" s="60" t="s">
        <v>220</v>
      </c>
      <c r="K202" s="66" t="s">
        <v>47</v>
      </c>
      <c r="L202" s="524">
        <v>24834134</v>
      </c>
      <c r="M202" s="279">
        <v>45402</v>
      </c>
      <c r="N202" s="308">
        <f t="shared" si="34"/>
        <v>45421</v>
      </c>
      <c r="O202" s="391">
        <v>45422</v>
      </c>
      <c r="P202" s="366"/>
      <c r="Q202" s="354">
        <f>+M202-B202</f>
        <v>36</v>
      </c>
      <c r="R202" s="451"/>
    </row>
    <row r="203" spans="1:18" customFormat="1" ht="22.5" hidden="1" x14ac:dyDescent="0.3">
      <c r="A203" s="350" t="s">
        <v>21</v>
      </c>
      <c r="B203" s="351">
        <v>45376</v>
      </c>
      <c r="C203" s="351">
        <v>45390</v>
      </c>
      <c r="D203" s="353">
        <v>32564.799999999999</v>
      </c>
      <c r="E203" s="407">
        <v>18.506</v>
      </c>
      <c r="F203" s="390">
        <v>45390</v>
      </c>
      <c r="G203" s="69">
        <v>45408</v>
      </c>
      <c r="H203" s="37" t="s">
        <v>495</v>
      </c>
      <c r="I203" s="37" t="s">
        <v>496</v>
      </c>
      <c r="J203" s="60" t="s">
        <v>130</v>
      </c>
      <c r="K203" s="66" t="s">
        <v>47</v>
      </c>
      <c r="L203" s="524">
        <v>24836727</v>
      </c>
      <c r="M203" s="279">
        <v>45416</v>
      </c>
      <c r="N203" s="308">
        <f t="shared" si="34"/>
        <v>45435</v>
      </c>
      <c r="O203" s="391">
        <v>45435</v>
      </c>
      <c r="P203" s="366" t="s">
        <v>497</v>
      </c>
      <c r="Q203" s="354">
        <f>+M203-B203</f>
        <v>40</v>
      </c>
      <c r="R203" s="451"/>
    </row>
    <row r="204" spans="1:18" customFormat="1" ht="21" hidden="1" x14ac:dyDescent="0.3">
      <c r="A204" s="396" t="s">
        <v>48</v>
      </c>
      <c r="B204" s="351">
        <v>45383</v>
      </c>
      <c r="C204" s="351">
        <v>45405</v>
      </c>
      <c r="D204" s="353">
        <v>31133.8</v>
      </c>
      <c r="E204" s="407">
        <v>18.03</v>
      </c>
      <c r="F204" s="390">
        <v>45407</v>
      </c>
      <c r="G204" s="69">
        <v>45424</v>
      </c>
      <c r="H204" s="37" t="s">
        <v>498</v>
      </c>
      <c r="I204" s="37" t="s">
        <v>499</v>
      </c>
      <c r="J204" s="60" t="s">
        <v>460</v>
      </c>
      <c r="K204" s="66" t="s">
        <v>47</v>
      </c>
      <c r="L204" s="524">
        <v>24840145</v>
      </c>
      <c r="M204" s="279">
        <v>45427</v>
      </c>
      <c r="N204" s="308">
        <f t="shared" si="34"/>
        <v>45450</v>
      </c>
      <c r="O204" s="398">
        <v>45450</v>
      </c>
      <c r="P204" s="366"/>
      <c r="Q204" s="354">
        <f>+M204-B204</f>
        <v>44</v>
      </c>
      <c r="R204" s="451"/>
    </row>
    <row r="205" spans="1:18" customFormat="1" ht="21" hidden="1" x14ac:dyDescent="0.3">
      <c r="A205" s="396" t="s">
        <v>48</v>
      </c>
      <c r="B205" s="351">
        <v>45412</v>
      </c>
      <c r="C205" s="351">
        <v>45418</v>
      </c>
      <c r="D205" s="353">
        <v>30541.8</v>
      </c>
      <c r="E205" s="407">
        <v>18.106000000000002</v>
      </c>
      <c r="F205" s="390">
        <v>45420</v>
      </c>
      <c r="G205" s="69">
        <v>45445</v>
      </c>
      <c r="H205" s="37" t="s">
        <v>500</v>
      </c>
      <c r="I205" s="37" t="s">
        <v>501</v>
      </c>
      <c r="J205" s="60" t="s">
        <v>460</v>
      </c>
      <c r="K205" s="66" t="s">
        <v>47</v>
      </c>
      <c r="L205" s="524">
        <v>24842853</v>
      </c>
      <c r="M205" s="279">
        <v>45450</v>
      </c>
      <c r="N205" s="308">
        <f t="shared" si="34"/>
        <v>45463</v>
      </c>
      <c r="O205" s="64">
        <v>45463</v>
      </c>
      <c r="P205" s="366"/>
      <c r="Q205" s="354">
        <f>+M205-B205</f>
        <v>38</v>
      </c>
      <c r="R205" s="451"/>
    </row>
    <row r="206" spans="1:18" customFormat="1" ht="21" hidden="1" x14ac:dyDescent="0.3">
      <c r="A206" s="397" t="s">
        <v>317</v>
      </c>
      <c r="B206" s="351">
        <v>45429</v>
      </c>
      <c r="C206" s="351">
        <v>45442</v>
      </c>
      <c r="D206" s="353">
        <v>35545.4</v>
      </c>
      <c r="E206" s="407">
        <v>19.109000000000002</v>
      </c>
      <c r="F206" s="390">
        <v>45443</v>
      </c>
      <c r="G206" s="69">
        <v>45485</v>
      </c>
      <c r="H206" s="37" t="s">
        <v>502</v>
      </c>
      <c r="I206" s="37" t="s">
        <v>503</v>
      </c>
      <c r="J206" s="60" t="s">
        <v>220</v>
      </c>
      <c r="K206" s="59" t="s">
        <v>83</v>
      </c>
      <c r="L206" s="524">
        <v>24848505</v>
      </c>
      <c r="M206" s="279">
        <v>45498</v>
      </c>
      <c r="N206" s="308">
        <f t="shared" si="34"/>
        <v>45487</v>
      </c>
      <c r="O206" s="64">
        <v>45488</v>
      </c>
      <c r="P206" s="366"/>
      <c r="Q206" s="354"/>
      <c r="R206" s="451"/>
    </row>
    <row r="207" spans="1:18" customFormat="1" ht="21" hidden="1" x14ac:dyDescent="0.3">
      <c r="A207" s="396" t="s">
        <v>48</v>
      </c>
      <c r="B207" s="351">
        <v>45450</v>
      </c>
      <c r="C207" s="351">
        <v>45461</v>
      </c>
      <c r="D207" s="353">
        <v>30641.200000000001</v>
      </c>
      <c r="E207" s="407">
        <v>19.099</v>
      </c>
      <c r="F207" s="390">
        <v>45462</v>
      </c>
      <c r="G207" s="69">
        <v>45487</v>
      </c>
      <c r="H207" s="37" t="s">
        <v>504</v>
      </c>
      <c r="I207" s="37" t="s">
        <v>505</v>
      </c>
      <c r="J207" s="60" t="s">
        <v>460</v>
      </c>
      <c r="K207" s="59" t="s">
        <v>83</v>
      </c>
      <c r="L207" s="524">
        <v>24852806</v>
      </c>
      <c r="M207" s="279">
        <v>45490</v>
      </c>
      <c r="N207" s="308">
        <f t="shared" si="34"/>
        <v>45506</v>
      </c>
      <c r="O207" s="64">
        <v>45506</v>
      </c>
      <c r="P207" s="366"/>
      <c r="Q207" s="354">
        <f>+M207-B207</f>
        <v>40</v>
      </c>
      <c r="R207" s="451"/>
    </row>
    <row r="208" spans="1:18" customFormat="1" ht="21" hidden="1" x14ac:dyDescent="0.3">
      <c r="A208" s="396" t="s">
        <v>48</v>
      </c>
      <c r="B208" s="351">
        <v>45450</v>
      </c>
      <c r="C208" s="351">
        <v>45495</v>
      </c>
      <c r="D208" s="353">
        <v>30631.200000000001</v>
      </c>
      <c r="E208" s="407">
        <v>20.655000000000001</v>
      </c>
      <c r="F208" s="390">
        <v>45497</v>
      </c>
      <c r="G208" s="69">
        <v>45514</v>
      </c>
      <c r="H208" s="37" t="s">
        <v>506</v>
      </c>
      <c r="I208" s="37" t="s">
        <v>507</v>
      </c>
      <c r="J208" s="60" t="s">
        <v>460</v>
      </c>
      <c r="K208" s="59" t="s">
        <v>83</v>
      </c>
      <c r="L208" s="524">
        <v>24861695</v>
      </c>
      <c r="M208" s="279">
        <v>45518</v>
      </c>
      <c r="N208" s="308">
        <f t="shared" si="34"/>
        <v>45540</v>
      </c>
      <c r="O208" s="64">
        <v>45540</v>
      </c>
      <c r="P208" s="366"/>
      <c r="Q208" s="354"/>
      <c r="R208" s="451"/>
    </row>
    <row r="209" spans="1:19" customFormat="1" ht="21" hidden="1" x14ac:dyDescent="0.3">
      <c r="A209" s="350" t="s">
        <v>21</v>
      </c>
      <c r="B209" s="351">
        <v>45450</v>
      </c>
      <c r="C209" s="351">
        <v>45462</v>
      </c>
      <c r="D209" s="353">
        <v>32031.3</v>
      </c>
      <c r="E209" s="407">
        <v>19.395</v>
      </c>
      <c r="F209" s="390">
        <v>45463</v>
      </c>
      <c r="G209" s="69">
        <v>45481</v>
      </c>
      <c r="H209" s="37" t="s">
        <v>508</v>
      </c>
      <c r="I209" s="37" t="s">
        <v>509</v>
      </c>
      <c r="J209" s="60" t="s">
        <v>510</v>
      </c>
      <c r="K209" s="59" t="s">
        <v>83</v>
      </c>
      <c r="L209" s="524">
        <v>24853101</v>
      </c>
      <c r="M209" s="279">
        <v>45490</v>
      </c>
      <c r="N209" s="308">
        <f t="shared" si="34"/>
        <v>45507</v>
      </c>
      <c r="O209" s="64">
        <v>45509</v>
      </c>
      <c r="P209" s="366"/>
      <c r="Q209" s="354">
        <f>+M209-B209</f>
        <v>40</v>
      </c>
      <c r="R209" s="451"/>
    </row>
    <row r="210" spans="1:19" customFormat="1" ht="21" hidden="1" x14ac:dyDescent="0.3">
      <c r="A210" s="350" t="s">
        <v>21</v>
      </c>
      <c r="B210" s="351">
        <v>45450</v>
      </c>
      <c r="C210" s="351">
        <v>45481</v>
      </c>
      <c r="D210" s="353">
        <v>30966.5</v>
      </c>
      <c r="E210" s="407">
        <v>19.771999999999998</v>
      </c>
      <c r="F210" s="390">
        <v>45484</v>
      </c>
      <c r="G210" s="69">
        <v>45503</v>
      </c>
      <c r="H210" s="37" t="s">
        <v>511</v>
      </c>
      <c r="I210" s="37" t="s">
        <v>512</v>
      </c>
      <c r="J210" s="60" t="s">
        <v>220</v>
      </c>
      <c r="K210" s="59" t="s">
        <v>83</v>
      </c>
      <c r="L210" s="524">
        <v>24857495</v>
      </c>
      <c r="M210" s="279">
        <v>45511</v>
      </c>
      <c r="N210" s="308">
        <f t="shared" si="34"/>
        <v>45526</v>
      </c>
      <c r="O210" s="279">
        <v>45526</v>
      </c>
      <c r="P210" s="366"/>
      <c r="Q210" s="354"/>
      <c r="R210" s="451"/>
    </row>
    <row r="211" spans="1:19" customFormat="1" ht="21" hidden="1" x14ac:dyDescent="0.3">
      <c r="A211" s="350" t="s">
        <v>21</v>
      </c>
      <c r="B211" s="351">
        <v>45479</v>
      </c>
      <c r="C211" s="351">
        <v>45488</v>
      </c>
      <c r="D211" s="353">
        <v>32140.799999999999</v>
      </c>
      <c r="E211" s="407">
        <v>20.048999999999999</v>
      </c>
      <c r="F211" s="390">
        <v>45491</v>
      </c>
      <c r="G211" s="69">
        <v>45509</v>
      </c>
      <c r="H211" s="37" t="s">
        <v>513</v>
      </c>
      <c r="I211" s="37" t="s">
        <v>514</v>
      </c>
      <c r="J211" s="60" t="s">
        <v>176</v>
      </c>
      <c r="K211" s="59" t="s">
        <v>83</v>
      </c>
      <c r="L211" s="524">
        <v>24862006</v>
      </c>
      <c r="M211" s="279">
        <v>45516</v>
      </c>
      <c r="N211" s="308">
        <f t="shared" si="34"/>
        <v>45533</v>
      </c>
      <c r="O211" s="64">
        <v>45533</v>
      </c>
      <c r="P211" s="366"/>
      <c r="Q211" s="354">
        <f>+M211-B211</f>
        <v>37</v>
      </c>
      <c r="R211" s="451"/>
    </row>
    <row r="212" spans="1:19" customFormat="1" ht="45" hidden="1" x14ac:dyDescent="0.3">
      <c r="A212" s="350" t="s">
        <v>21</v>
      </c>
      <c r="B212" s="351">
        <v>45491</v>
      </c>
      <c r="C212" s="351">
        <v>45510</v>
      </c>
      <c r="D212" s="353">
        <v>33415.4</v>
      </c>
      <c r="E212" s="407">
        <v>21.015999999999998</v>
      </c>
      <c r="F212" s="390">
        <v>45512</v>
      </c>
      <c r="G212" s="69">
        <v>45530</v>
      </c>
      <c r="H212" s="37" t="s">
        <v>515</v>
      </c>
      <c r="I212" s="37" t="s">
        <v>516</v>
      </c>
      <c r="J212" s="60" t="s">
        <v>510</v>
      </c>
      <c r="K212" s="59" t="s">
        <v>83</v>
      </c>
      <c r="L212" s="524">
        <v>24863683</v>
      </c>
      <c r="M212" s="279">
        <v>45534</v>
      </c>
      <c r="N212" s="308">
        <f t="shared" si="34"/>
        <v>45555</v>
      </c>
      <c r="O212" s="64">
        <v>45555</v>
      </c>
      <c r="P212" s="366" t="s">
        <v>517</v>
      </c>
      <c r="Q212" s="354">
        <f>+M212-B212</f>
        <v>43</v>
      </c>
      <c r="R212" s="451"/>
    </row>
    <row r="213" spans="1:19" customFormat="1" ht="21" hidden="1" x14ac:dyDescent="0.35">
      <c r="A213" s="350" t="s">
        <v>21</v>
      </c>
      <c r="B213" s="351">
        <v>45568</v>
      </c>
      <c r="C213" s="351">
        <v>45580</v>
      </c>
      <c r="D213" s="353">
        <v>33978.400000000001</v>
      </c>
      <c r="E213" s="405">
        <v>21.549700000000001</v>
      </c>
      <c r="F213" s="390">
        <v>45566</v>
      </c>
      <c r="G213" s="69">
        <v>45607</v>
      </c>
      <c r="H213" s="37" t="s">
        <v>518</v>
      </c>
      <c r="I213" s="37" t="s">
        <v>519</v>
      </c>
      <c r="J213" s="60" t="s">
        <v>520</v>
      </c>
      <c r="K213" s="59" t="s">
        <v>83</v>
      </c>
      <c r="L213" s="524">
        <v>24879929</v>
      </c>
      <c r="M213" s="279">
        <v>45612</v>
      </c>
      <c r="N213" s="308">
        <f t="shared" si="34"/>
        <v>45625</v>
      </c>
      <c r="O213" s="64">
        <v>45629</v>
      </c>
      <c r="P213" s="366"/>
      <c r="Q213" s="410">
        <f>+M213-B213</f>
        <v>44</v>
      </c>
      <c r="R213" s="410"/>
      <c r="S213" s="412"/>
    </row>
    <row r="214" spans="1:19" customFormat="1" ht="48.75" hidden="1" customHeight="1" x14ac:dyDescent="0.25">
      <c r="A214" s="439" t="s">
        <v>0</v>
      </c>
      <c r="B214" s="456" t="s">
        <v>1</v>
      </c>
      <c r="C214" s="440" t="s">
        <v>4</v>
      </c>
      <c r="D214" s="440" t="s">
        <v>5</v>
      </c>
      <c r="E214" s="481" t="s">
        <v>6</v>
      </c>
      <c r="F214" s="462" t="s">
        <v>7</v>
      </c>
      <c r="G214" s="462" t="s">
        <v>8</v>
      </c>
      <c r="H214" s="439" t="s">
        <v>9</v>
      </c>
      <c r="I214" s="439" t="s">
        <v>10</v>
      </c>
      <c r="J214" s="419" t="s">
        <v>11</v>
      </c>
      <c r="K214" s="419" t="s">
        <v>12</v>
      </c>
      <c r="L214" s="419" t="s">
        <v>13</v>
      </c>
      <c r="M214" s="420" t="s">
        <v>14</v>
      </c>
      <c r="N214" s="420" t="s">
        <v>15</v>
      </c>
      <c r="O214" s="420" t="s">
        <v>16</v>
      </c>
      <c r="P214" s="474" t="s">
        <v>17</v>
      </c>
      <c r="Q214" s="422" t="s">
        <v>18</v>
      </c>
      <c r="R214" s="452" t="s">
        <v>19</v>
      </c>
      <c r="S214" s="432"/>
    </row>
    <row r="215" spans="1:19" ht="18.75" hidden="1" x14ac:dyDescent="0.3">
      <c r="A215" s="425" t="s">
        <v>21</v>
      </c>
      <c r="B215" s="457">
        <v>45600</v>
      </c>
      <c r="C215" s="428">
        <v>45615</v>
      </c>
      <c r="D215" s="424">
        <v>34645.4</v>
      </c>
      <c r="E215" s="443">
        <v>21.3337</v>
      </c>
      <c r="F215" s="465">
        <v>45620</v>
      </c>
      <c r="G215" s="463">
        <v>45653</v>
      </c>
      <c r="H215" s="444" t="s">
        <v>521</v>
      </c>
      <c r="I215" s="444" t="s">
        <v>522</v>
      </c>
      <c r="J215" s="426" t="s">
        <v>220</v>
      </c>
      <c r="K215" s="427" t="s">
        <v>83</v>
      </c>
      <c r="L215" s="527">
        <v>24886482</v>
      </c>
      <c r="M215" s="428">
        <v>45664</v>
      </c>
      <c r="N215" s="429">
        <f t="shared" si="34"/>
        <v>45660</v>
      </c>
      <c r="O215" s="466">
        <v>45660</v>
      </c>
      <c r="P215" s="471">
        <v>21.3217</v>
      </c>
      <c r="Q215" s="430">
        <f t="shared" ref="Q215:Q223" si="35">+E215-P215</f>
        <v>1.2000000000000455E-2</v>
      </c>
      <c r="R215" s="459"/>
      <c r="S215" s="431">
        <f t="shared" ref="S215" si="36">+D215*Q215</f>
        <v>415.7448000000158</v>
      </c>
    </row>
    <row r="216" spans="1:19" ht="18.75" hidden="1" x14ac:dyDescent="0.3">
      <c r="A216" s="442" t="s">
        <v>48</v>
      </c>
      <c r="B216" s="457">
        <v>45610</v>
      </c>
      <c r="C216" s="428">
        <v>45616</v>
      </c>
      <c r="D216" s="424">
        <v>31588.2</v>
      </c>
      <c r="E216" s="443">
        <v>21.858699999999999</v>
      </c>
      <c r="F216" s="465">
        <v>45620</v>
      </c>
      <c r="G216" s="463">
        <v>45655</v>
      </c>
      <c r="H216" s="444" t="s">
        <v>523</v>
      </c>
      <c r="I216" s="444" t="s">
        <v>524</v>
      </c>
      <c r="J216" s="426" t="s">
        <v>525</v>
      </c>
      <c r="K216" s="427" t="s">
        <v>83</v>
      </c>
      <c r="L216" s="527">
        <v>24886704</v>
      </c>
      <c r="M216" s="428">
        <v>45665</v>
      </c>
      <c r="N216" s="429">
        <f t="shared" si="34"/>
        <v>45661</v>
      </c>
      <c r="O216" s="466">
        <v>45663</v>
      </c>
      <c r="P216" s="471">
        <v>21.125</v>
      </c>
      <c r="Q216" s="430">
        <f t="shared" si="35"/>
        <v>0.73369999999999891</v>
      </c>
      <c r="R216" s="459"/>
      <c r="S216" s="431">
        <f t="shared" ref="S216" si="37">+D216*Q216</f>
        <v>23176.262339999965</v>
      </c>
    </row>
    <row r="217" spans="1:19" ht="18.75" hidden="1" x14ac:dyDescent="0.3">
      <c r="A217" s="425" t="s">
        <v>21</v>
      </c>
      <c r="B217" s="457">
        <v>45625</v>
      </c>
      <c r="C217" s="428">
        <v>45636</v>
      </c>
      <c r="D217" s="424">
        <v>32358.400000000001</v>
      </c>
      <c r="E217" s="443">
        <f>20.4917*1.0395</f>
        <v>21.301122150000005</v>
      </c>
      <c r="F217" s="465">
        <v>45638</v>
      </c>
      <c r="G217" s="463">
        <v>45701</v>
      </c>
      <c r="H217" s="444" t="s">
        <v>526</v>
      </c>
      <c r="I217" s="444" t="s">
        <v>527</v>
      </c>
      <c r="J217" s="426" t="s">
        <v>130</v>
      </c>
      <c r="K217" s="427" t="s">
        <v>83</v>
      </c>
      <c r="L217" s="527">
        <v>24891007</v>
      </c>
      <c r="M217" s="428">
        <v>45707</v>
      </c>
      <c r="N217" s="429">
        <f t="shared" si="34"/>
        <v>45681</v>
      </c>
      <c r="O217" s="466">
        <v>45681</v>
      </c>
      <c r="P217" s="470">
        <v>21.218</v>
      </c>
      <c r="Q217" s="430"/>
      <c r="R217" s="460" t="s">
        <v>528</v>
      </c>
      <c r="S217" s="432"/>
    </row>
    <row r="218" spans="1:19" ht="18.75" hidden="1" x14ac:dyDescent="0.3">
      <c r="A218" s="425" t="s">
        <v>21</v>
      </c>
      <c r="B218" s="457">
        <v>45632</v>
      </c>
      <c r="C218" s="428">
        <v>45639</v>
      </c>
      <c r="D218" s="424">
        <v>28143</v>
      </c>
      <c r="E218" s="443">
        <v>21.836600000000001</v>
      </c>
      <c r="F218" s="465">
        <v>45642</v>
      </c>
      <c r="G218" s="463">
        <v>45664</v>
      </c>
      <c r="H218" s="444" t="s">
        <v>529</v>
      </c>
      <c r="I218" s="444" t="s">
        <v>530</v>
      </c>
      <c r="J218" s="426" t="s">
        <v>130</v>
      </c>
      <c r="K218" s="427" t="s">
        <v>83</v>
      </c>
      <c r="L218" s="527">
        <v>24892668</v>
      </c>
      <c r="M218" s="428">
        <v>45672</v>
      </c>
      <c r="N218" s="429">
        <f t="shared" si="34"/>
        <v>45684</v>
      </c>
      <c r="O218" s="466">
        <v>45681</v>
      </c>
      <c r="P218" s="470">
        <v>21.218</v>
      </c>
      <c r="Q218" s="430"/>
      <c r="R218" s="460" t="s">
        <v>531</v>
      </c>
      <c r="S218" s="432"/>
    </row>
    <row r="219" spans="1:19" ht="30" hidden="1" x14ac:dyDescent="0.3">
      <c r="A219" s="425" t="s">
        <v>21</v>
      </c>
      <c r="B219" s="457">
        <v>45639</v>
      </c>
      <c r="C219" s="428">
        <v>45665</v>
      </c>
      <c r="D219" s="424">
        <v>27568.6</v>
      </c>
      <c r="E219" s="443">
        <f>20.4497*1.03545</f>
        <v>21.174641864999998</v>
      </c>
      <c r="F219" s="465">
        <v>45303</v>
      </c>
      <c r="G219" s="463">
        <v>45688</v>
      </c>
      <c r="H219" s="444" t="s">
        <v>532</v>
      </c>
      <c r="I219" s="444" t="s">
        <v>533</v>
      </c>
      <c r="J219" s="426" t="s">
        <v>220</v>
      </c>
      <c r="K219" s="427" t="s">
        <v>83</v>
      </c>
      <c r="L219" s="527">
        <v>25895613</v>
      </c>
      <c r="M219" s="428">
        <v>45694</v>
      </c>
      <c r="N219" s="429">
        <f t="shared" ref="N219:N220" si="38">+C219+45</f>
        <v>45710</v>
      </c>
      <c r="O219" s="466">
        <v>45712</v>
      </c>
      <c r="P219" s="472">
        <v>21.045000000000002</v>
      </c>
      <c r="Q219" s="430"/>
      <c r="R219" s="460" t="s">
        <v>534</v>
      </c>
      <c r="S219" s="432"/>
    </row>
    <row r="220" spans="1:19" ht="30" hidden="1" x14ac:dyDescent="0.3">
      <c r="A220" s="442" t="s">
        <v>48</v>
      </c>
      <c r="B220" s="457">
        <v>45644</v>
      </c>
      <c r="C220" s="428">
        <v>45671</v>
      </c>
      <c r="D220" s="424">
        <v>28780.6</v>
      </c>
      <c r="E220" s="443">
        <f>20.4978*1.0395</f>
        <v>21.307463100000003</v>
      </c>
      <c r="F220" s="465">
        <v>45673</v>
      </c>
      <c r="G220" s="463">
        <v>45703</v>
      </c>
      <c r="H220" s="444" t="s">
        <v>535</v>
      </c>
      <c r="I220" s="444" t="s">
        <v>536</v>
      </c>
      <c r="J220" s="426" t="s">
        <v>460</v>
      </c>
      <c r="K220" s="427" t="s">
        <v>83</v>
      </c>
      <c r="L220" s="527">
        <v>25896178</v>
      </c>
      <c r="M220" s="428">
        <v>45707</v>
      </c>
      <c r="N220" s="429">
        <f t="shared" si="38"/>
        <v>45716</v>
      </c>
      <c r="O220" s="466">
        <v>45716</v>
      </c>
      <c r="P220" s="470">
        <v>21.531500000000001</v>
      </c>
      <c r="Q220" s="430">
        <f t="shared" si="35"/>
        <v>-0.22403689999999798</v>
      </c>
      <c r="R220" s="460" t="s">
        <v>534</v>
      </c>
      <c r="S220" s="432"/>
    </row>
    <row r="221" spans="1:19" ht="18.75" hidden="1" x14ac:dyDescent="0.3">
      <c r="A221" s="425" t="s">
        <v>21</v>
      </c>
      <c r="B221" s="457">
        <v>45644</v>
      </c>
      <c r="C221" s="428">
        <v>45665</v>
      </c>
      <c r="D221" s="424">
        <v>31739.200000000001</v>
      </c>
      <c r="E221" s="443">
        <f>20.4497*1.03545</f>
        <v>21.174641864999998</v>
      </c>
      <c r="F221" s="465">
        <v>45669</v>
      </c>
      <c r="G221" s="463">
        <v>45688</v>
      </c>
      <c r="H221" s="444" t="s">
        <v>537</v>
      </c>
      <c r="I221" s="444" t="s">
        <v>538</v>
      </c>
      <c r="J221" s="426" t="s">
        <v>130</v>
      </c>
      <c r="K221" s="427" t="s">
        <v>83</v>
      </c>
      <c r="L221" s="527">
        <v>25896046</v>
      </c>
      <c r="M221" s="428">
        <v>45694</v>
      </c>
      <c r="N221" s="429">
        <f t="shared" ref="N221:N224" si="39">+C221+45</f>
        <v>45710</v>
      </c>
      <c r="O221" s="466">
        <v>45712</v>
      </c>
      <c r="P221" s="470">
        <v>21.531500000000001</v>
      </c>
      <c r="Q221" s="430">
        <f t="shared" si="35"/>
        <v>-0.35685813500000307</v>
      </c>
      <c r="R221" s="459"/>
      <c r="S221" s="432"/>
    </row>
    <row r="222" spans="1:19" ht="18.75" hidden="1" x14ac:dyDescent="0.3">
      <c r="A222" s="442" t="s">
        <v>48</v>
      </c>
      <c r="B222" s="457">
        <v>45666</v>
      </c>
      <c r="C222" s="428">
        <v>45679</v>
      </c>
      <c r="D222" s="424">
        <v>31106.2</v>
      </c>
      <c r="E222" s="443">
        <f>20.4722*1.0395</f>
        <v>21.280851900000002</v>
      </c>
      <c r="F222" s="465">
        <v>45683</v>
      </c>
      <c r="G222" s="463">
        <v>45719</v>
      </c>
      <c r="H222" s="444" t="s">
        <v>539</v>
      </c>
      <c r="I222" s="444" t="s">
        <v>540</v>
      </c>
      <c r="J222" s="426" t="s">
        <v>460</v>
      </c>
      <c r="K222" s="427" t="s">
        <v>83</v>
      </c>
      <c r="L222" s="527">
        <v>25897690</v>
      </c>
      <c r="M222" s="428">
        <v>45722</v>
      </c>
      <c r="N222" s="429">
        <f t="shared" si="39"/>
        <v>45724</v>
      </c>
      <c r="O222" s="466">
        <v>45726</v>
      </c>
      <c r="P222" s="472">
        <v>21.352599999999999</v>
      </c>
      <c r="Q222" s="430">
        <f t="shared" si="35"/>
        <v>-7.1748099999997095E-2</v>
      </c>
      <c r="R222" s="459"/>
      <c r="S222" s="432"/>
    </row>
    <row r="223" spans="1:19" ht="18.75" hidden="1" x14ac:dyDescent="0.3">
      <c r="A223" s="425" t="s">
        <v>21</v>
      </c>
      <c r="B223" s="457">
        <v>45667</v>
      </c>
      <c r="C223" s="428">
        <v>45693</v>
      </c>
      <c r="D223" s="424">
        <v>33678</v>
      </c>
      <c r="E223" s="443">
        <f>20.4722*1.0395</f>
        <v>21.280851900000002</v>
      </c>
      <c r="F223" s="465">
        <v>45690</v>
      </c>
      <c r="G223" s="463">
        <v>45720</v>
      </c>
      <c r="H223" s="444" t="s">
        <v>541</v>
      </c>
      <c r="I223" s="444" t="s">
        <v>542</v>
      </c>
      <c r="J223" s="426" t="s">
        <v>220</v>
      </c>
      <c r="K223" s="427" t="s">
        <v>83</v>
      </c>
      <c r="L223" s="527">
        <v>25101875</v>
      </c>
      <c r="M223" s="428">
        <v>45723</v>
      </c>
      <c r="N223" s="429">
        <f t="shared" si="39"/>
        <v>45738</v>
      </c>
      <c r="O223" s="466">
        <v>45740</v>
      </c>
      <c r="P223" s="471">
        <v>21.813199999999998</v>
      </c>
      <c r="Q223" s="430">
        <f t="shared" si="35"/>
        <v>-0.53234809999999655</v>
      </c>
      <c r="R223" s="459"/>
      <c r="S223" s="432"/>
    </row>
    <row r="224" spans="1:19" ht="18.75" hidden="1" x14ac:dyDescent="0.3">
      <c r="A224" s="442" t="s">
        <v>48</v>
      </c>
      <c r="B224" s="457">
        <v>45672</v>
      </c>
      <c r="C224" s="428">
        <v>45698</v>
      </c>
      <c r="D224" s="424">
        <v>27823</v>
      </c>
      <c r="E224" s="443">
        <v>21.132899999999999</v>
      </c>
      <c r="F224" s="465">
        <v>45725</v>
      </c>
      <c r="G224" s="463">
        <v>45744</v>
      </c>
      <c r="H224" s="444" t="s">
        <v>543</v>
      </c>
      <c r="I224" s="444" t="s">
        <v>544</v>
      </c>
      <c r="J224" s="426" t="s">
        <v>460</v>
      </c>
      <c r="K224" s="427" t="s">
        <v>83</v>
      </c>
      <c r="L224" s="527">
        <v>25102629</v>
      </c>
      <c r="M224" s="428">
        <v>45750</v>
      </c>
      <c r="N224" s="429">
        <f t="shared" si="39"/>
        <v>45743</v>
      </c>
      <c r="O224" s="466">
        <v>45743</v>
      </c>
      <c r="P224" s="471">
        <v>21.978400000000001</v>
      </c>
      <c r="Q224" s="430">
        <f t="shared" ref="Q224" si="40">+E224-P224</f>
        <v>-0.84550000000000125</v>
      </c>
      <c r="R224" s="459"/>
      <c r="S224" s="432"/>
    </row>
    <row r="225" spans="1:19" ht="18.75" hidden="1" x14ac:dyDescent="0.3">
      <c r="A225" s="425" t="s">
        <v>21</v>
      </c>
      <c r="B225" s="457">
        <v>45678</v>
      </c>
      <c r="C225" s="428">
        <v>45721</v>
      </c>
      <c r="D225" s="424">
        <v>32720.400000000001</v>
      </c>
      <c r="E225" s="443">
        <v>20.918800000000001</v>
      </c>
      <c r="F225" s="465">
        <v>45725</v>
      </c>
      <c r="G225" s="463">
        <v>45743</v>
      </c>
      <c r="H225" s="444" t="s">
        <v>545</v>
      </c>
      <c r="I225" s="444" t="s">
        <v>546</v>
      </c>
      <c r="J225" s="426" t="s">
        <v>220</v>
      </c>
      <c r="K225" s="427" t="s">
        <v>83</v>
      </c>
      <c r="L225" s="527">
        <v>25108782</v>
      </c>
      <c r="M225" s="428">
        <v>45750</v>
      </c>
      <c r="N225" s="429">
        <f t="shared" ref="N225:N230" si="41">+C225+45</f>
        <v>45766</v>
      </c>
      <c r="O225" s="466">
        <v>45768</v>
      </c>
      <c r="P225" s="471">
        <v>22.759</v>
      </c>
      <c r="Q225" s="430">
        <f t="shared" ref="Q225" si="42">+E225-P225</f>
        <v>-1.8401999999999994</v>
      </c>
      <c r="R225" s="459"/>
      <c r="S225" s="432"/>
    </row>
    <row r="226" spans="1:19" ht="18.75" hidden="1" x14ac:dyDescent="0.3">
      <c r="A226" s="425" t="s">
        <v>21</v>
      </c>
      <c r="B226" s="457">
        <v>45695</v>
      </c>
      <c r="C226" s="428">
        <v>45702</v>
      </c>
      <c r="D226" s="424">
        <v>32590.799999999999</v>
      </c>
      <c r="E226" s="443">
        <v>21.132899999999999</v>
      </c>
      <c r="F226" s="465">
        <v>45706</v>
      </c>
      <c r="G226" s="463">
        <v>45743</v>
      </c>
      <c r="H226" s="444" t="s">
        <v>547</v>
      </c>
      <c r="I226" s="444" t="s">
        <v>548</v>
      </c>
      <c r="J226" s="426" t="s">
        <v>220</v>
      </c>
      <c r="K226" s="427" t="s">
        <v>83</v>
      </c>
      <c r="L226" s="527">
        <v>25105961</v>
      </c>
      <c r="M226" s="428">
        <v>45750</v>
      </c>
      <c r="N226" s="429">
        <f t="shared" si="41"/>
        <v>45747</v>
      </c>
      <c r="O226" s="466">
        <v>45747</v>
      </c>
      <c r="P226" s="471">
        <v>22.13</v>
      </c>
      <c r="Q226" s="430">
        <f t="shared" ref="Q226:Q229" si="43">+E226-P226</f>
        <v>-0.99709999999999965</v>
      </c>
      <c r="R226" s="459"/>
      <c r="S226" s="432"/>
    </row>
    <row r="227" spans="1:19" ht="18.75" hidden="1" x14ac:dyDescent="0.3">
      <c r="A227" s="425" t="s">
        <v>21</v>
      </c>
      <c r="B227" s="457">
        <v>45695</v>
      </c>
      <c r="C227" s="428">
        <v>45716</v>
      </c>
      <c r="D227" s="424">
        <v>33822</v>
      </c>
      <c r="E227" s="443">
        <v>21.175000000000001</v>
      </c>
      <c r="F227" s="465">
        <v>45719</v>
      </c>
      <c r="G227" s="463">
        <v>45751</v>
      </c>
      <c r="H227" s="444" t="s">
        <v>549</v>
      </c>
      <c r="I227" s="444" t="s">
        <v>550</v>
      </c>
      <c r="J227" s="426" t="s">
        <v>551</v>
      </c>
      <c r="K227" s="427" t="s">
        <v>83</v>
      </c>
      <c r="L227" s="527">
        <v>25107291</v>
      </c>
      <c r="M227" s="428">
        <v>45756</v>
      </c>
      <c r="N227" s="429">
        <f t="shared" si="41"/>
        <v>45761</v>
      </c>
      <c r="O227" s="466">
        <v>45761</v>
      </c>
      <c r="P227" s="472">
        <v>22.978999999999999</v>
      </c>
      <c r="Q227" s="430">
        <f t="shared" si="43"/>
        <v>-1.8039999999999985</v>
      </c>
      <c r="R227" s="459"/>
      <c r="S227" s="432"/>
    </row>
    <row r="228" spans="1:19" ht="18.75" hidden="1" x14ac:dyDescent="0.3">
      <c r="A228" s="425" t="s">
        <v>21</v>
      </c>
      <c r="B228" s="457">
        <v>45695</v>
      </c>
      <c r="C228" s="428">
        <v>45702</v>
      </c>
      <c r="D228" s="424">
        <v>27738</v>
      </c>
      <c r="E228" s="443">
        <v>21.132899999999999</v>
      </c>
      <c r="F228" s="465">
        <v>45706</v>
      </c>
      <c r="G228" s="463">
        <v>45743</v>
      </c>
      <c r="H228" s="444" t="s">
        <v>552</v>
      </c>
      <c r="I228" s="444" t="s">
        <v>553</v>
      </c>
      <c r="J228" s="426" t="s">
        <v>220</v>
      </c>
      <c r="K228" s="427" t="s">
        <v>83</v>
      </c>
      <c r="L228" s="527">
        <v>25104050</v>
      </c>
      <c r="M228" s="428">
        <v>45751</v>
      </c>
      <c r="N228" s="429">
        <f t="shared" si="41"/>
        <v>45747</v>
      </c>
      <c r="O228" s="466">
        <v>45747</v>
      </c>
      <c r="P228" s="471">
        <v>22.125</v>
      </c>
      <c r="Q228" s="430">
        <f t="shared" si="43"/>
        <v>-0.99210000000000065</v>
      </c>
      <c r="R228" s="459"/>
      <c r="S228" s="432"/>
    </row>
    <row r="229" spans="1:19" ht="18.75" hidden="1" x14ac:dyDescent="0.3">
      <c r="A229" s="425" t="s">
        <v>21</v>
      </c>
      <c r="B229" s="457">
        <v>45695</v>
      </c>
      <c r="C229" s="428">
        <v>45742</v>
      </c>
      <c r="D229" s="424">
        <v>27738</v>
      </c>
      <c r="E229" s="443">
        <v>21.62</v>
      </c>
      <c r="F229" s="465">
        <v>45745</v>
      </c>
      <c r="G229" s="463">
        <v>45764</v>
      </c>
      <c r="H229" s="444" t="s">
        <v>554</v>
      </c>
      <c r="I229" s="444" t="s">
        <v>555</v>
      </c>
      <c r="J229" s="426" t="s">
        <v>220</v>
      </c>
      <c r="K229" s="427" t="s">
        <v>83</v>
      </c>
      <c r="L229" s="527">
        <v>25113169</v>
      </c>
      <c r="M229" s="428">
        <v>45770</v>
      </c>
      <c r="N229" s="429">
        <f t="shared" si="41"/>
        <v>45787</v>
      </c>
      <c r="O229" s="466">
        <v>45789</v>
      </c>
      <c r="P229" s="471">
        <v>21.9161</v>
      </c>
      <c r="Q229" s="430">
        <f t="shared" si="43"/>
        <v>-0.29609999999999914</v>
      </c>
      <c r="R229" s="459"/>
      <c r="S229" s="432"/>
    </row>
    <row r="230" spans="1:19" ht="18.75" hidden="1" x14ac:dyDescent="0.3">
      <c r="A230" s="442" t="s">
        <v>48</v>
      </c>
      <c r="B230" s="490">
        <v>45768</v>
      </c>
      <c r="C230" s="428">
        <v>45772</v>
      </c>
      <c r="D230" s="424">
        <v>26159.8</v>
      </c>
      <c r="E230" s="443">
        <v>21.667000000000002</v>
      </c>
      <c r="F230" s="465"/>
      <c r="G230" s="491">
        <v>45814</v>
      </c>
      <c r="H230" s="444" t="s">
        <v>556</v>
      </c>
      <c r="I230" s="444" t="s">
        <v>557</v>
      </c>
      <c r="J230" s="489" t="s">
        <v>460</v>
      </c>
      <c r="K230" s="427" t="s">
        <v>83</v>
      </c>
      <c r="L230" s="527">
        <v>25119925</v>
      </c>
      <c r="M230" s="428">
        <v>45833</v>
      </c>
      <c r="N230" s="429">
        <f t="shared" si="41"/>
        <v>45817</v>
      </c>
      <c r="O230" s="466">
        <v>45817</v>
      </c>
      <c r="P230" s="471">
        <v>21.799900000000001</v>
      </c>
      <c r="Q230" s="430">
        <f t="shared" ref="Q230:Q236" si="44">+E230-P230</f>
        <v>-0.13289999999999935</v>
      </c>
      <c r="R230" s="459" t="s">
        <v>558</v>
      </c>
      <c r="S230" s="432"/>
    </row>
    <row r="231" spans="1:19" ht="18.75" hidden="1" x14ac:dyDescent="0.3">
      <c r="A231" s="442" t="s">
        <v>48</v>
      </c>
      <c r="B231" s="457">
        <v>45716</v>
      </c>
      <c r="C231" s="428">
        <v>45723</v>
      </c>
      <c r="D231" s="424">
        <v>33230.199999999997</v>
      </c>
      <c r="E231" s="443">
        <v>21.62</v>
      </c>
      <c r="F231" s="465">
        <v>45726</v>
      </c>
      <c r="G231" s="463">
        <v>45765</v>
      </c>
      <c r="H231" s="444" t="s">
        <v>559</v>
      </c>
      <c r="I231" s="444" t="s">
        <v>560</v>
      </c>
      <c r="J231" s="426" t="s">
        <v>460</v>
      </c>
      <c r="K231" s="427" t="s">
        <v>83</v>
      </c>
      <c r="L231" s="527">
        <v>25109093</v>
      </c>
      <c r="M231" s="428">
        <v>45772</v>
      </c>
      <c r="N231" s="429">
        <f t="shared" ref="N231" si="45">+C231+45</f>
        <v>45768</v>
      </c>
      <c r="O231" s="466">
        <v>45769</v>
      </c>
      <c r="P231" s="471">
        <v>22.54</v>
      </c>
      <c r="Q231" s="430">
        <f t="shared" si="44"/>
        <v>-0.91999999999999815</v>
      </c>
      <c r="R231" s="484"/>
      <c r="S231" s="432"/>
    </row>
    <row r="232" spans="1:19" ht="18.75" hidden="1" x14ac:dyDescent="0.3">
      <c r="A232" s="442" t="s">
        <v>48</v>
      </c>
      <c r="B232" s="457">
        <v>45740</v>
      </c>
      <c r="C232" s="428">
        <v>45747</v>
      </c>
      <c r="D232" s="424">
        <v>30512.2</v>
      </c>
      <c r="E232" s="443">
        <v>22.229900000000001</v>
      </c>
      <c r="F232" s="465">
        <v>45754</v>
      </c>
      <c r="G232" s="463">
        <v>45786</v>
      </c>
      <c r="H232" s="444" t="s">
        <v>561</v>
      </c>
      <c r="I232" s="444" t="s">
        <v>562</v>
      </c>
      <c r="J232" s="426" t="s">
        <v>460</v>
      </c>
      <c r="K232" s="427" t="s">
        <v>83</v>
      </c>
      <c r="L232" s="527">
        <v>25113574</v>
      </c>
      <c r="M232" s="428">
        <v>45792</v>
      </c>
      <c r="N232" s="429">
        <f t="shared" ref="N232:N233" si="46">+C232+45</f>
        <v>45792</v>
      </c>
      <c r="O232" s="466">
        <v>45792</v>
      </c>
      <c r="P232" s="471">
        <v>21.762</v>
      </c>
      <c r="Q232" s="430">
        <f t="shared" ref="Q232" si="47">+E232-P232</f>
        <v>0.4679000000000002</v>
      </c>
      <c r="R232" s="459"/>
      <c r="S232" s="432"/>
    </row>
    <row r="233" spans="1:19" ht="18.75" hidden="1" x14ac:dyDescent="0.3">
      <c r="A233" s="425" t="s">
        <v>21</v>
      </c>
      <c r="B233" s="490">
        <v>45791</v>
      </c>
      <c r="C233" s="428">
        <v>45813</v>
      </c>
      <c r="D233" s="424">
        <v>31157.200000000001</v>
      </c>
      <c r="E233" s="443"/>
      <c r="F233" s="465">
        <v>45815</v>
      </c>
      <c r="G233" s="491">
        <v>45838</v>
      </c>
      <c r="H233" s="444" t="s">
        <v>563</v>
      </c>
      <c r="I233" s="444" t="s">
        <v>564</v>
      </c>
      <c r="J233" s="489" t="s">
        <v>176</v>
      </c>
      <c r="K233" s="427" t="s">
        <v>83</v>
      </c>
      <c r="L233" s="527">
        <v>25130094</v>
      </c>
      <c r="M233" s="428">
        <v>45842</v>
      </c>
      <c r="N233" s="429">
        <f t="shared" si="46"/>
        <v>45858</v>
      </c>
      <c r="O233" s="466">
        <v>45859</v>
      </c>
      <c r="P233" s="471">
        <v>21.825800000000001</v>
      </c>
      <c r="Q233" s="430">
        <f t="shared" si="44"/>
        <v>-21.825800000000001</v>
      </c>
      <c r="R233" s="459" t="s">
        <v>565</v>
      </c>
      <c r="S233" s="432"/>
    </row>
    <row r="234" spans="1:19" ht="18.75" hidden="1" x14ac:dyDescent="0.3">
      <c r="A234" s="425" t="s">
        <v>21</v>
      </c>
      <c r="B234" s="457">
        <v>45791</v>
      </c>
      <c r="C234" s="428">
        <v>45807</v>
      </c>
      <c r="D234" s="424">
        <v>26154.400000000001</v>
      </c>
      <c r="E234" s="443">
        <v>21.460999999999999</v>
      </c>
      <c r="F234" s="465">
        <v>45808</v>
      </c>
      <c r="G234" s="463">
        <v>45827</v>
      </c>
      <c r="H234" s="444" t="s">
        <v>566</v>
      </c>
      <c r="I234" s="444" t="s">
        <v>567</v>
      </c>
      <c r="J234" s="426" t="s">
        <v>220</v>
      </c>
      <c r="K234" s="427" t="s">
        <v>83</v>
      </c>
      <c r="L234" s="527">
        <v>25128001</v>
      </c>
      <c r="M234" s="428">
        <v>45836</v>
      </c>
      <c r="N234" s="429">
        <f t="shared" ref="N234" si="48">+C234+45</f>
        <v>45852</v>
      </c>
      <c r="O234" s="466">
        <v>45852</v>
      </c>
      <c r="P234" s="471">
        <v>21.907399999999999</v>
      </c>
      <c r="Q234" s="430">
        <f t="shared" si="44"/>
        <v>-0.44640000000000057</v>
      </c>
      <c r="R234" s="459" t="s">
        <v>565</v>
      </c>
      <c r="S234" s="432"/>
    </row>
    <row r="235" spans="1:19" ht="18.75" hidden="1" x14ac:dyDescent="0.3">
      <c r="A235" s="425" t="s">
        <v>21</v>
      </c>
      <c r="B235" s="457">
        <v>45840</v>
      </c>
      <c r="C235" s="428">
        <v>45860</v>
      </c>
      <c r="D235" s="424">
        <v>30163.8</v>
      </c>
      <c r="E235" s="443">
        <v>21.250299999999999</v>
      </c>
      <c r="F235" s="465"/>
      <c r="G235" s="463">
        <v>45877</v>
      </c>
      <c r="H235" s="444" t="s">
        <v>568</v>
      </c>
      <c r="I235" s="444" t="s">
        <v>569</v>
      </c>
      <c r="J235" s="426" t="s">
        <v>570</v>
      </c>
      <c r="K235" s="427" t="s">
        <v>83</v>
      </c>
      <c r="L235" s="527">
        <v>25139916</v>
      </c>
      <c r="M235" s="428">
        <v>45889</v>
      </c>
      <c r="N235" s="429">
        <f t="shared" ref="N235:N240" si="49">+C235+45</f>
        <v>45905</v>
      </c>
      <c r="O235" s="466">
        <v>45905</v>
      </c>
      <c r="P235" s="471">
        <v>21.954999999999998</v>
      </c>
      <c r="Q235" s="430">
        <f t="shared" si="44"/>
        <v>-0.70469999999999899</v>
      </c>
      <c r="R235" s="459" t="s">
        <v>565</v>
      </c>
      <c r="S235" s="432"/>
    </row>
    <row r="236" spans="1:19" ht="18.75" hidden="1" x14ac:dyDescent="0.3">
      <c r="A236" s="425" t="s">
        <v>21</v>
      </c>
      <c r="B236" s="457">
        <v>45840</v>
      </c>
      <c r="C236" s="428">
        <v>45856</v>
      </c>
      <c r="D236" s="424">
        <v>24096.45</v>
      </c>
      <c r="E236" s="443">
        <v>22.151700000000002</v>
      </c>
      <c r="F236" s="465"/>
      <c r="G236" s="463">
        <v>45883</v>
      </c>
      <c r="H236" s="444" t="s">
        <v>571</v>
      </c>
      <c r="I236" s="444" t="s">
        <v>572</v>
      </c>
      <c r="J236" s="426" t="s">
        <v>220</v>
      </c>
      <c r="K236" s="427" t="s">
        <v>83</v>
      </c>
      <c r="L236" s="527" t="s">
        <v>573</v>
      </c>
      <c r="M236" s="428">
        <v>45877</v>
      </c>
      <c r="N236" s="429">
        <f t="shared" si="49"/>
        <v>45901</v>
      </c>
      <c r="O236" s="466">
        <v>45901</v>
      </c>
      <c r="P236" s="471">
        <v>21.854700000000001</v>
      </c>
      <c r="Q236" s="430">
        <f t="shared" si="44"/>
        <v>0.2970000000000006</v>
      </c>
      <c r="R236" s="459" t="s">
        <v>565</v>
      </c>
      <c r="S236" s="432"/>
    </row>
    <row r="237" spans="1:19" ht="18.75" hidden="1" x14ac:dyDescent="0.3">
      <c r="A237" s="425" t="s">
        <v>21</v>
      </c>
      <c r="B237" s="457">
        <v>45876</v>
      </c>
      <c r="C237" s="428">
        <v>45897</v>
      </c>
      <c r="D237" s="424">
        <v>24936.400000000001</v>
      </c>
      <c r="E237" s="443">
        <v>21.483499999999999</v>
      </c>
      <c r="F237" s="465"/>
      <c r="G237" s="463">
        <v>45918</v>
      </c>
      <c r="H237" s="444" t="s">
        <v>574</v>
      </c>
      <c r="I237" s="444" t="s">
        <v>575</v>
      </c>
      <c r="J237" s="426" t="s">
        <v>220</v>
      </c>
      <c r="K237" s="427" t="s">
        <v>83</v>
      </c>
      <c r="L237" s="527">
        <v>25149184</v>
      </c>
      <c r="M237" s="428">
        <v>45925</v>
      </c>
      <c r="N237" s="429">
        <f t="shared" si="49"/>
        <v>45942</v>
      </c>
      <c r="O237" s="466">
        <v>45940</v>
      </c>
      <c r="P237" s="471">
        <v>21.400700000000001</v>
      </c>
      <c r="Q237" s="430"/>
      <c r="R237" s="459"/>
      <c r="S237" s="432"/>
    </row>
    <row r="238" spans="1:19" ht="18.75" hidden="1" x14ac:dyDescent="0.3">
      <c r="A238" s="425" t="s">
        <v>21</v>
      </c>
      <c r="B238" s="457">
        <v>45876</v>
      </c>
      <c r="C238" s="428">
        <v>45897</v>
      </c>
      <c r="D238" s="424">
        <v>29458</v>
      </c>
      <c r="E238" s="443">
        <v>21.483499999999999</v>
      </c>
      <c r="F238" s="465"/>
      <c r="G238" s="463">
        <v>45918</v>
      </c>
      <c r="H238" s="444" t="s">
        <v>576</v>
      </c>
      <c r="I238" s="444" t="s">
        <v>577</v>
      </c>
      <c r="J238" s="426" t="s">
        <v>570</v>
      </c>
      <c r="K238" s="427" t="s">
        <v>83</v>
      </c>
      <c r="L238" s="527">
        <v>25149178</v>
      </c>
      <c r="M238" s="428">
        <v>45926</v>
      </c>
      <c r="N238" s="429">
        <f t="shared" si="49"/>
        <v>45942</v>
      </c>
      <c r="O238" s="466">
        <v>45940</v>
      </c>
      <c r="P238" s="471">
        <v>21.400700000000001</v>
      </c>
      <c r="Q238" s="430"/>
      <c r="R238" s="459"/>
      <c r="S238" s="432"/>
    </row>
    <row r="239" spans="1:19" ht="18.75" hidden="1" x14ac:dyDescent="0.3">
      <c r="A239" s="425" t="s">
        <v>21</v>
      </c>
      <c r="B239" s="457">
        <v>45908</v>
      </c>
      <c r="C239" s="428">
        <v>45917</v>
      </c>
      <c r="D239" s="424">
        <v>28373.8</v>
      </c>
      <c r="E239" s="443">
        <v>21.6</v>
      </c>
      <c r="F239" s="465"/>
      <c r="G239" s="463">
        <v>45941</v>
      </c>
      <c r="H239" s="444" t="s">
        <v>578</v>
      </c>
      <c r="I239" s="444" t="s">
        <v>579</v>
      </c>
      <c r="J239" s="426" t="s">
        <v>570</v>
      </c>
      <c r="K239" s="427" t="s">
        <v>83</v>
      </c>
      <c r="L239" s="527">
        <v>25154208</v>
      </c>
      <c r="M239" s="428">
        <v>45946</v>
      </c>
      <c r="N239" s="429">
        <f t="shared" si="49"/>
        <v>45962</v>
      </c>
      <c r="O239" s="466">
        <v>45964</v>
      </c>
      <c r="P239" s="471">
        <v>21.358000000000001</v>
      </c>
      <c r="Q239" s="430"/>
      <c r="R239" s="459"/>
      <c r="S239" s="432"/>
    </row>
    <row r="240" spans="1:19" ht="18.75" hidden="1" x14ac:dyDescent="0.3">
      <c r="A240" s="425" t="s">
        <v>21</v>
      </c>
      <c r="B240" s="457">
        <v>45939</v>
      </c>
      <c r="C240" s="428">
        <v>45950</v>
      </c>
      <c r="D240" s="424">
        <v>29447.9</v>
      </c>
      <c r="E240" s="443"/>
      <c r="F240" s="465">
        <v>45952</v>
      </c>
      <c r="G240" s="463">
        <v>45976</v>
      </c>
      <c r="H240" s="444" t="s">
        <v>580</v>
      </c>
      <c r="I240" s="444" t="s">
        <v>581</v>
      </c>
      <c r="J240" s="426" t="s">
        <v>570</v>
      </c>
      <c r="K240" s="427" t="s">
        <v>83</v>
      </c>
      <c r="L240" s="527">
        <v>25161340</v>
      </c>
      <c r="M240" s="428">
        <f>+G240+6</f>
        <v>45982</v>
      </c>
      <c r="N240" s="429">
        <f t="shared" si="49"/>
        <v>45995</v>
      </c>
      <c r="O240" s="466">
        <f>+C240+45</f>
        <v>45995</v>
      </c>
      <c r="P240" s="471">
        <v>21.288</v>
      </c>
      <c r="Q240" s="430"/>
      <c r="R240" s="520"/>
      <c r="S240" s="432"/>
    </row>
    <row r="241" spans="1:19" ht="18.75" hidden="1" x14ac:dyDescent="0.3">
      <c r="A241" s="425" t="s">
        <v>48</v>
      </c>
      <c r="B241" s="457">
        <v>45947</v>
      </c>
      <c r="C241" s="428">
        <v>45960</v>
      </c>
      <c r="D241" s="424">
        <v>25565.4</v>
      </c>
      <c r="E241" s="443"/>
      <c r="F241" s="465">
        <v>45965</v>
      </c>
      <c r="G241" s="463">
        <v>46015</v>
      </c>
      <c r="H241" s="444" t="s">
        <v>582</v>
      </c>
      <c r="I241" s="444" t="s">
        <v>583</v>
      </c>
      <c r="J241" s="426" t="s">
        <v>525</v>
      </c>
      <c r="K241" s="427" t="s">
        <v>83</v>
      </c>
      <c r="L241" s="527">
        <v>25163880</v>
      </c>
      <c r="M241" s="428">
        <v>46024</v>
      </c>
      <c r="N241" s="429">
        <f t="shared" ref="N241" si="50">+C241+45</f>
        <v>46005</v>
      </c>
      <c r="O241" s="466">
        <f t="shared" ref="O241:O250" si="51">+C241+45</f>
        <v>46005</v>
      </c>
      <c r="P241" s="471">
        <v>21.21</v>
      </c>
      <c r="Q241" s="430"/>
      <c r="R241" s="520"/>
      <c r="S241" s="432"/>
    </row>
    <row r="242" spans="1:19" ht="18.75" hidden="1" x14ac:dyDescent="0.3">
      <c r="A242" s="425" t="s">
        <v>21</v>
      </c>
      <c r="B242" s="457">
        <v>45960</v>
      </c>
      <c r="C242" s="428">
        <v>45973</v>
      </c>
      <c r="D242" s="424">
        <v>28212.400000000001</v>
      </c>
      <c r="E242" s="443"/>
      <c r="F242" s="465">
        <v>45976</v>
      </c>
      <c r="G242" s="463">
        <v>45997</v>
      </c>
      <c r="H242" s="444" t="s">
        <v>584</v>
      </c>
      <c r="I242" s="444" t="s">
        <v>585</v>
      </c>
      <c r="J242" s="426" t="s">
        <v>570</v>
      </c>
      <c r="K242" s="427" t="s">
        <v>83</v>
      </c>
      <c r="L242" s="527">
        <v>25166301</v>
      </c>
      <c r="M242" s="428">
        <v>46003</v>
      </c>
      <c r="N242" s="429">
        <f t="shared" ref="N242" si="52">+C242+45</f>
        <v>46018</v>
      </c>
      <c r="O242" s="466">
        <f t="shared" si="51"/>
        <v>46018</v>
      </c>
      <c r="P242" s="471">
        <v>21.093800000000002</v>
      </c>
      <c r="Q242" s="430"/>
      <c r="R242" s="520"/>
      <c r="S242" s="432"/>
    </row>
    <row r="243" spans="1:19" ht="18.75" hidden="1" x14ac:dyDescent="0.3">
      <c r="A243" s="425" t="s">
        <v>48</v>
      </c>
      <c r="B243" s="457">
        <v>45961</v>
      </c>
      <c r="C243" s="428">
        <v>45978</v>
      </c>
      <c r="D243" s="424">
        <v>27873</v>
      </c>
      <c r="E243" s="443"/>
      <c r="F243" s="465">
        <v>45979</v>
      </c>
      <c r="G243" s="463">
        <v>46015</v>
      </c>
      <c r="H243" s="444" t="s">
        <v>586</v>
      </c>
      <c r="I243" s="444" t="s">
        <v>587</v>
      </c>
      <c r="J243" s="426" t="s">
        <v>525</v>
      </c>
      <c r="K243" s="427" t="s">
        <v>83</v>
      </c>
      <c r="L243" s="527">
        <v>25167280</v>
      </c>
      <c r="M243" s="428">
        <v>46386</v>
      </c>
      <c r="N243" s="532">
        <f>+C243+45</f>
        <v>46023</v>
      </c>
      <c r="O243" s="466">
        <f t="shared" si="51"/>
        <v>46023</v>
      </c>
      <c r="P243" s="471">
        <v>21.062000000000001</v>
      </c>
      <c r="Q243" s="430"/>
      <c r="R243" s="520" t="s">
        <v>588</v>
      </c>
      <c r="S243" s="432"/>
    </row>
    <row r="244" spans="1:19" ht="18.75" hidden="1" x14ac:dyDescent="0.3">
      <c r="A244" s="425" t="s">
        <v>21</v>
      </c>
      <c r="B244" s="457">
        <v>45971</v>
      </c>
      <c r="C244" s="428">
        <v>45980</v>
      </c>
      <c r="D244" s="424">
        <v>26210</v>
      </c>
      <c r="E244" s="443"/>
      <c r="F244" s="465"/>
      <c r="G244" s="463">
        <v>45997</v>
      </c>
      <c r="H244" s="444" t="s">
        <v>589</v>
      </c>
      <c r="I244" s="444" t="s">
        <v>590</v>
      </c>
      <c r="J244" s="426" t="s">
        <v>570</v>
      </c>
      <c r="K244" s="427" t="s">
        <v>83</v>
      </c>
      <c r="L244" s="527">
        <v>25167254</v>
      </c>
      <c r="M244" s="428">
        <v>46004</v>
      </c>
      <c r="N244" s="532">
        <f t="shared" ref="N244:N253" si="53">+C244+45</f>
        <v>46025</v>
      </c>
      <c r="O244" s="466">
        <f t="shared" si="51"/>
        <v>46025</v>
      </c>
      <c r="P244" s="471">
        <v>21.0288</v>
      </c>
      <c r="Q244" s="430"/>
      <c r="R244" s="521">
        <v>105632</v>
      </c>
      <c r="S244" s="432"/>
    </row>
    <row r="245" spans="1:19" ht="18.75" hidden="1" x14ac:dyDescent="0.3">
      <c r="A245" s="425" t="s">
        <v>21</v>
      </c>
      <c r="B245" s="457">
        <v>45985</v>
      </c>
      <c r="C245" s="428">
        <v>45996</v>
      </c>
      <c r="D245" s="424">
        <v>23849</v>
      </c>
      <c r="E245" s="443"/>
      <c r="F245" s="465">
        <v>45999</v>
      </c>
      <c r="G245" s="463">
        <v>46018</v>
      </c>
      <c r="H245" s="444" t="s">
        <v>591</v>
      </c>
      <c r="I245" s="518" t="s">
        <v>592</v>
      </c>
      <c r="J245" s="426" t="s">
        <v>570</v>
      </c>
      <c r="K245" s="427" t="s">
        <v>83</v>
      </c>
      <c r="L245" s="527">
        <v>25172705</v>
      </c>
      <c r="M245" s="428">
        <v>46024</v>
      </c>
      <c r="N245" s="532">
        <f t="shared" si="53"/>
        <v>46041</v>
      </c>
      <c r="O245" s="466">
        <f t="shared" si="51"/>
        <v>46041</v>
      </c>
      <c r="P245" s="471">
        <v>20.558299999999999</v>
      </c>
      <c r="Q245" s="430"/>
      <c r="R245" s="520" t="s">
        <v>588</v>
      </c>
      <c r="S245" s="432"/>
    </row>
    <row r="246" spans="1:19" ht="18.75" hidden="1" x14ac:dyDescent="0.3">
      <c r="A246" s="425" t="s">
        <v>48</v>
      </c>
      <c r="B246" s="457">
        <v>45985</v>
      </c>
      <c r="C246" s="428">
        <v>45994</v>
      </c>
      <c r="D246" s="424">
        <v>24084</v>
      </c>
      <c r="E246" s="443"/>
      <c r="F246" s="465">
        <v>45997</v>
      </c>
      <c r="G246" s="463">
        <v>45664</v>
      </c>
      <c r="H246" s="444" t="s">
        <v>593</v>
      </c>
      <c r="I246" s="518" t="s">
        <v>594</v>
      </c>
      <c r="J246" s="426" t="s">
        <v>525</v>
      </c>
      <c r="K246" s="427" t="s">
        <v>83</v>
      </c>
      <c r="L246" s="527">
        <v>25171992</v>
      </c>
      <c r="M246" s="428">
        <v>46042</v>
      </c>
      <c r="N246" s="532">
        <f>+C246+45</f>
        <v>46039</v>
      </c>
      <c r="O246" s="466">
        <f t="shared" si="51"/>
        <v>46039</v>
      </c>
      <c r="P246" s="471">
        <v>20.53</v>
      </c>
      <c r="Q246" s="430"/>
      <c r="R246" s="521">
        <v>105632</v>
      </c>
      <c r="S246" s="432"/>
    </row>
    <row r="247" spans="1:19" ht="18.75" hidden="1" x14ac:dyDescent="0.3">
      <c r="A247" s="425" t="s">
        <v>21</v>
      </c>
      <c r="B247" s="457">
        <v>46024</v>
      </c>
      <c r="C247" s="428">
        <v>46037</v>
      </c>
      <c r="D247" s="424">
        <v>26930.799999999999</v>
      </c>
      <c r="E247" s="443"/>
      <c r="F247" s="465">
        <v>46040</v>
      </c>
      <c r="G247" s="463">
        <v>46068</v>
      </c>
      <c r="H247" s="444" t="s">
        <v>595</v>
      </c>
      <c r="I247" s="518" t="s">
        <v>596</v>
      </c>
      <c r="J247" s="426" t="s">
        <v>570</v>
      </c>
      <c r="K247" s="427" t="s">
        <v>83</v>
      </c>
      <c r="L247" s="527">
        <v>26179774</v>
      </c>
      <c r="M247" s="428">
        <f>+G247+6</f>
        <v>46074</v>
      </c>
      <c r="N247" s="532">
        <f t="shared" si="53"/>
        <v>46082</v>
      </c>
      <c r="O247" s="466">
        <f t="shared" si="51"/>
        <v>46082</v>
      </c>
      <c r="P247" s="471">
        <v>20.289400000000001</v>
      </c>
      <c r="Q247" s="430"/>
      <c r="R247" s="520" t="s">
        <v>981</v>
      </c>
      <c r="S247" s="432"/>
    </row>
    <row r="248" spans="1:19" ht="18.75" hidden="1" x14ac:dyDescent="0.3">
      <c r="A248" s="425" t="s">
        <v>21</v>
      </c>
      <c r="B248" s="457">
        <v>46044</v>
      </c>
      <c r="C248" s="428">
        <v>46063</v>
      </c>
      <c r="D248" s="424">
        <v>27065.599999999999</v>
      </c>
      <c r="E248" s="443"/>
      <c r="F248" s="465">
        <v>46062</v>
      </c>
      <c r="G248" s="463">
        <v>46088</v>
      </c>
      <c r="H248" s="444" t="s">
        <v>994</v>
      </c>
      <c r="I248" s="518" t="s">
        <v>995</v>
      </c>
      <c r="J248" s="426" t="s">
        <v>220</v>
      </c>
      <c r="K248" s="427" t="s">
        <v>83</v>
      </c>
      <c r="L248" s="527">
        <v>26185749</v>
      </c>
      <c r="M248" s="428">
        <f t="shared" ref="M248:M257" si="54">+G248+6</f>
        <v>46094</v>
      </c>
      <c r="N248" s="532">
        <f t="shared" si="53"/>
        <v>46108</v>
      </c>
      <c r="O248" s="466">
        <f t="shared" si="51"/>
        <v>46108</v>
      </c>
      <c r="P248" s="471">
        <v>20.789899999999999</v>
      </c>
      <c r="Q248" s="430"/>
      <c r="R248" s="520"/>
      <c r="S248" s="432"/>
    </row>
    <row r="249" spans="1:19" ht="18.75" x14ac:dyDescent="0.3">
      <c r="A249" s="425" t="s">
        <v>48</v>
      </c>
      <c r="B249" s="457">
        <v>46050</v>
      </c>
      <c r="C249" s="428">
        <v>46073</v>
      </c>
      <c r="D249" s="424">
        <v>23678.799999999999</v>
      </c>
      <c r="E249" s="443"/>
      <c r="F249" s="465">
        <f>+G249-20</f>
        <v>46107</v>
      </c>
      <c r="G249" s="463">
        <v>46127</v>
      </c>
      <c r="H249" s="444" t="s">
        <v>1001</v>
      </c>
      <c r="I249" s="517" t="s">
        <v>1000</v>
      </c>
      <c r="J249" s="426" t="s">
        <v>525</v>
      </c>
      <c r="K249" s="427" t="s">
        <v>83</v>
      </c>
      <c r="L249" s="527">
        <v>26188513</v>
      </c>
      <c r="M249" s="428">
        <f t="shared" si="54"/>
        <v>46133</v>
      </c>
      <c r="N249" s="532">
        <f>+C249+45</f>
        <v>46118</v>
      </c>
      <c r="O249" s="466">
        <f t="shared" si="51"/>
        <v>46118</v>
      </c>
      <c r="P249" s="471">
        <v>20.57</v>
      </c>
      <c r="Q249" s="430"/>
      <c r="R249" s="520"/>
      <c r="S249" s="432"/>
    </row>
    <row r="250" spans="1:19" ht="18.75" x14ac:dyDescent="0.3">
      <c r="A250" s="425" t="s">
        <v>21</v>
      </c>
      <c r="B250" s="457">
        <v>46070</v>
      </c>
      <c r="C250" s="428">
        <v>46086</v>
      </c>
      <c r="D250" s="424">
        <v>25887.599999999999</v>
      </c>
      <c r="E250" s="443"/>
      <c r="F250" s="465">
        <f t="shared" ref="F250" si="55">+G250-20</f>
        <v>46091</v>
      </c>
      <c r="G250" s="463">
        <v>46111</v>
      </c>
      <c r="H250" s="444" t="s">
        <v>1002</v>
      </c>
      <c r="I250" s="517" t="s">
        <v>1004</v>
      </c>
      <c r="J250" s="426" t="s">
        <v>570</v>
      </c>
      <c r="K250" s="427" t="s">
        <v>83</v>
      </c>
      <c r="L250" s="527">
        <v>26191742</v>
      </c>
      <c r="M250" s="428">
        <f t="shared" si="54"/>
        <v>46117</v>
      </c>
      <c r="N250" s="532">
        <f t="shared" si="53"/>
        <v>46131</v>
      </c>
      <c r="O250" s="466">
        <f t="shared" si="51"/>
        <v>46131</v>
      </c>
      <c r="P250" s="471">
        <v>20.393799999999999</v>
      </c>
      <c r="Q250" s="430"/>
      <c r="R250" s="520"/>
      <c r="S250" s="432"/>
    </row>
    <row r="251" spans="1:19" ht="18.75" x14ac:dyDescent="0.3">
      <c r="A251" s="425" t="s">
        <v>48</v>
      </c>
      <c r="B251" s="457">
        <v>46072</v>
      </c>
      <c r="C251" s="428">
        <v>46111</v>
      </c>
      <c r="D251" s="424">
        <v>25147.200000000001</v>
      </c>
      <c r="E251" s="443"/>
      <c r="F251" s="465">
        <v>46112</v>
      </c>
      <c r="G251" s="463">
        <v>46155</v>
      </c>
      <c r="H251" s="444" t="s">
        <v>1003</v>
      </c>
      <c r="I251" s="517" t="s">
        <v>1005</v>
      </c>
      <c r="J251" s="426" t="s">
        <v>525</v>
      </c>
      <c r="K251" s="427" t="s">
        <v>83</v>
      </c>
      <c r="L251" s="527">
        <v>26197170</v>
      </c>
      <c r="M251" s="428">
        <f t="shared" si="54"/>
        <v>46161</v>
      </c>
      <c r="N251" s="532">
        <f t="shared" si="53"/>
        <v>46156</v>
      </c>
      <c r="O251" s="466">
        <v>46155</v>
      </c>
      <c r="P251" s="471">
        <v>20.170000000000002</v>
      </c>
      <c r="Q251" s="430"/>
      <c r="R251" s="520"/>
      <c r="S251" s="432"/>
    </row>
    <row r="252" spans="1:19" ht="18.75" x14ac:dyDescent="0.3">
      <c r="A252" s="425" t="s">
        <v>21</v>
      </c>
      <c r="B252" s="457">
        <v>46094</v>
      </c>
      <c r="C252" s="428">
        <v>46111</v>
      </c>
      <c r="D252" s="424">
        <v>26916.6</v>
      </c>
      <c r="E252" s="443"/>
      <c r="F252" s="465" t="s">
        <v>1021</v>
      </c>
      <c r="G252" s="463">
        <v>46130</v>
      </c>
      <c r="H252" s="444" t="s">
        <v>1013</v>
      </c>
      <c r="I252" s="517" t="s">
        <v>1014</v>
      </c>
      <c r="J252" s="426" t="s">
        <v>570</v>
      </c>
      <c r="K252" s="427" t="s">
        <v>83</v>
      </c>
      <c r="L252" s="527">
        <v>26197157</v>
      </c>
      <c r="M252" s="428">
        <f t="shared" si="54"/>
        <v>46136</v>
      </c>
      <c r="N252" s="532">
        <f t="shared" si="53"/>
        <v>46156</v>
      </c>
      <c r="O252" s="466">
        <v>46155</v>
      </c>
      <c r="P252" s="471">
        <v>20.170000000000002</v>
      </c>
      <c r="Q252" s="430"/>
      <c r="R252" s="520"/>
      <c r="S252" s="432"/>
    </row>
    <row r="253" spans="1:19" ht="18.75" x14ac:dyDescent="0.3">
      <c r="A253" s="425" t="s">
        <v>48</v>
      </c>
      <c r="B253" s="457">
        <v>46104</v>
      </c>
      <c r="C253" s="428">
        <v>46120</v>
      </c>
      <c r="D253" s="424">
        <v>28311.599999999999</v>
      </c>
      <c r="E253" s="443"/>
      <c r="F253" s="465">
        <v>46124</v>
      </c>
      <c r="G253" s="463">
        <v>46155</v>
      </c>
      <c r="H253" s="444" t="s">
        <v>1016</v>
      </c>
      <c r="I253" s="517" t="s">
        <v>1017</v>
      </c>
      <c r="J253" s="426" t="s">
        <v>460</v>
      </c>
      <c r="K253" s="427" t="s">
        <v>83</v>
      </c>
      <c r="L253" s="527">
        <v>26199180</v>
      </c>
      <c r="M253" s="428">
        <f t="shared" si="54"/>
        <v>46161</v>
      </c>
      <c r="N253" s="532">
        <f t="shared" si="53"/>
        <v>46165</v>
      </c>
      <c r="O253" s="466">
        <v>46168</v>
      </c>
      <c r="P253" s="471">
        <v>20.142800000000001</v>
      </c>
      <c r="Q253" s="430"/>
      <c r="R253" s="520"/>
      <c r="S253" s="432"/>
    </row>
    <row r="254" spans="1:19" ht="18.75" x14ac:dyDescent="0.3">
      <c r="A254" s="425" t="s">
        <v>21</v>
      </c>
      <c r="B254" s="457">
        <v>46106</v>
      </c>
      <c r="C254" s="428">
        <v>46114</v>
      </c>
      <c r="D254" s="424">
        <v>25223.8</v>
      </c>
      <c r="E254" s="443"/>
      <c r="F254" s="465">
        <v>46119</v>
      </c>
      <c r="G254" s="463">
        <v>46136</v>
      </c>
      <c r="H254" s="444" t="s">
        <v>1019</v>
      </c>
      <c r="I254" s="517" t="s">
        <v>1018</v>
      </c>
      <c r="J254" s="426" t="s">
        <v>1020</v>
      </c>
      <c r="K254" s="427" t="s">
        <v>83</v>
      </c>
      <c r="L254" s="527">
        <v>26198009</v>
      </c>
      <c r="M254" s="428">
        <f t="shared" si="54"/>
        <v>46142</v>
      </c>
      <c r="N254" s="532">
        <f t="shared" ref="N254:N258" si="56">+C254+45</f>
        <v>46159</v>
      </c>
      <c r="O254" s="466">
        <v>46164</v>
      </c>
      <c r="P254" s="471">
        <v>20.134899999999998</v>
      </c>
      <c r="Q254" s="430"/>
      <c r="R254" s="520"/>
      <c r="S254" s="432"/>
    </row>
    <row r="255" spans="1:19" ht="18.75" x14ac:dyDescent="0.3">
      <c r="A255" s="425" t="s">
        <v>21</v>
      </c>
      <c r="B255" s="457">
        <v>46140</v>
      </c>
      <c r="C255" s="428">
        <v>46148</v>
      </c>
      <c r="D255" s="424">
        <v>28365.7</v>
      </c>
      <c r="E255" s="443"/>
      <c r="F255" s="465">
        <v>46155</v>
      </c>
      <c r="G255" s="463">
        <v>46179</v>
      </c>
      <c r="H255" s="444" t="s">
        <v>1048</v>
      </c>
      <c r="I255" s="517" t="s">
        <v>1049</v>
      </c>
      <c r="J255" s="426" t="s">
        <v>570</v>
      </c>
      <c r="K255" s="427" t="s">
        <v>83</v>
      </c>
      <c r="L255" s="527">
        <v>26207596</v>
      </c>
      <c r="M255" s="428">
        <f t="shared" si="54"/>
        <v>46185</v>
      </c>
      <c r="N255" s="532">
        <f t="shared" si="56"/>
        <v>46193</v>
      </c>
      <c r="O255" s="466"/>
      <c r="P255" s="471"/>
      <c r="Q255" s="430"/>
      <c r="R255" s="520"/>
      <c r="S255" s="432"/>
    </row>
    <row r="256" spans="1:19" ht="18.75" x14ac:dyDescent="0.3">
      <c r="A256" s="425" t="s">
        <v>21</v>
      </c>
      <c r="B256" s="457">
        <v>46154</v>
      </c>
      <c r="C256" s="428">
        <v>46171</v>
      </c>
      <c r="D256" s="424">
        <v>23233</v>
      </c>
      <c r="E256" s="443"/>
      <c r="F256" s="465">
        <v>46181</v>
      </c>
      <c r="G256" s="463">
        <v>46200</v>
      </c>
      <c r="H256" s="444" t="s">
        <v>1051</v>
      </c>
      <c r="I256" s="517" t="s">
        <v>1053</v>
      </c>
      <c r="J256" s="426" t="s">
        <v>1055</v>
      </c>
      <c r="K256" s="427" t="s">
        <v>83</v>
      </c>
      <c r="L256" s="527">
        <v>26212261</v>
      </c>
      <c r="M256" s="428">
        <f t="shared" si="54"/>
        <v>46206</v>
      </c>
      <c r="N256" s="532">
        <f t="shared" si="56"/>
        <v>46216</v>
      </c>
      <c r="O256" s="466"/>
      <c r="P256" s="471"/>
      <c r="Q256" s="430"/>
      <c r="R256" s="520"/>
      <c r="S256" s="432"/>
    </row>
    <row r="257" spans="1:22" ht="18.75" x14ac:dyDescent="0.3">
      <c r="A257" s="425" t="s">
        <v>48</v>
      </c>
      <c r="B257" s="457">
        <v>46154</v>
      </c>
      <c r="C257" s="428">
        <v>46171</v>
      </c>
      <c r="D257" s="424">
        <v>23346</v>
      </c>
      <c r="E257" s="443"/>
      <c r="F257" s="465">
        <v>46179</v>
      </c>
      <c r="G257" s="463">
        <v>46218</v>
      </c>
      <c r="H257" s="444" t="s">
        <v>1052</v>
      </c>
      <c r="I257" s="517" t="s">
        <v>1054</v>
      </c>
      <c r="J257" s="426" t="s">
        <v>1056</v>
      </c>
      <c r="K257" s="427" t="s">
        <v>83</v>
      </c>
      <c r="L257" s="527">
        <v>26212234</v>
      </c>
      <c r="M257" s="428">
        <f t="shared" si="54"/>
        <v>46224</v>
      </c>
      <c r="N257" s="532">
        <f>+C257+45</f>
        <v>46216</v>
      </c>
      <c r="O257" s="466"/>
      <c r="P257" s="471"/>
      <c r="Q257" s="430"/>
      <c r="R257" s="520"/>
      <c r="S257" s="432"/>
    </row>
    <row r="258" spans="1:22" ht="18.75" x14ac:dyDescent="0.3">
      <c r="A258" s="425" t="s">
        <v>21</v>
      </c>
      <c r="B258" s="457">
        <v>46174</v>
      </c>
      <c r="C258" s="428">
        <v>46176</v>
      </c>
      <c r="D258" s="424">
        <v>29103.7</v>
      </c>
      <c r="E258" s="443"/>
      <c r="F258" s="465">
        <v>46195</v>
      </c>
      <c r="G258" s="463">
        <v>46214</v>
      </c>
      <c r="H258" s="444" t="s">
        <v>1059</v>
      </c>
      <c r="I258" s="517" t="s">
        <v>1060</v>
      </c>
      <c r="J258" s="426" t="s">
        <v>199</v>
      </c>
      <c r="K258" s="427" t="s">
        <v>26</v>
      </c>
      <c r="L258" s="527"/>
      <c r="M258" s="428"/>
      <c r="N258" s="532">
        <f t="shared" si="56"/>
        <v>46221</v>
      </c>
      <c r="O258" s="466"/>
      <c r="P258" s="471"/>
      <c r="Q258" s="430"/>
      <c r="R258" s="520"/>
      <c r="S258" s="432"/>
    </row>
    <row r="259" spans="1:22" ht="16.5" thickBot="1" x14ac:dyDescent="0.3">
      <c r="H259"/>
    </row>
    <row r="260" spans="1:22" ht="32.25" customHeight="1" thickBot="1" x14ac:dyDescent="0.3">
      <c r="A260" s="547" t="s">
        <v>597</v>
      </c>
      <c r="B260" s="548"/>
      <c r="C260" s="549"/>
      <c r="D260" s="549"/>
      <c r="E260" s="550"/>
      <c r="F260" s="551"/>
      <c r="G260" s="551"/>
      <c r="H260" s="549"/>
      <c r="I260" s="552"/>
    </row>
    <row r="261" spans="1:22" customFormat="1" ht="42" customHeight="1" x14ac:dyDescent="0.25">
      <c r="A261" s="439" t="s">
        <v>0</v>
      </c>
      <c r="B261" s="456" t="s">
        <v>1</v>
      </c>
      <c r="C261" s="440" t="s">
        <v>4</v>
      </c>
      <c r="D261" s="440" t="s">
        <v>5</v>
      </c>
      <c r="E261" s="481" t="s">
        <v>598</v>
      </c>
      <c r="F261" s="462" t="s">
        <v>7</v>
      </c>
      <c r="G261" s="462" t="s">
        <v>8</v>
      </c>
      <c r="H261" s="439" t="s">
        <v>9</v>
      </c>
      <c r="I261" s="439" t="s">
        <v>10</v>
      </c>
      <c r="J261" s="419" t="s">
        <v>11</v>
      </c>
      <c r="K261" s="419" t="s">
        <v>12</v>
      </c>
      <c r="L261" s="419" t="s">
        <v>13</v>
      </c>
      <c r="M261" s="420" t="s">
        <v>14</v>
      </c>
      <c r="O261" s="474" t="s">
        <v>599</v>
      </c>
      <c r="P261" s="420" t="s">
        <v>600</v>
      </c>
      <c r="Q261" s="474" t="s">
        <v>601</v>
      </c>
      <c r="R261" s="474" t="s">
        <v>996</v>
      </c>
      <c r="U261" s="421"/>
      <c r="V261" s="421"/>
    </row>
    <row r="262" spans="1:22" ht="21" hidden="1" customHeight="1" x14ac:dyDescent="0.3">
      <c r="A262" s="425" t="s">
        <v>317</v>
      </c>
      <c r="B262" s="457"/>
      <c r="C262" s="428"/>
      <c r="D262" s="511"/>
      <c r="E262" s="443"/>
      <c r="F262" s="465"/>
      <c r="G262" s="463">
        <v>45877</v>
      </c>
      <c r="H262" s="444" t="s">
        <v>602</v>
      </c>
      <c r="I262" s="444">
        <v>1</v>
      </c>
      <c r="J262" s="426" t="s">
        <v>603</v>
      </c>
      <c r="K262" s="427" t="s">
        <v>83</v>
      </c>
      <c r="L262" s="527"/>
      <c r="M262" s="428">
        <v>45909</v>
      </c>
      <c r="N262" s="429">
        <f t="shared" ref="N262" si="57">+G262-10</f>
        <v>45867</v>
      </c>
      <c r="O262" s="471">
        <v>18.780999999999999</v>
      </c>
      <c r="P262" s="429">
        <f t="shared" ref="P262:P267" si="58">+G262-10</f>
        <v>45867</v>
      </c>
      <c r="Q262" s="471"/>
      <c r="R262"/>
      <c r="S262"/>
      <c r="T262"/>
    </row>
    <row r="263" spans="1:22" ht="21" hidden="1" x14ac:dyDescent="0.35">
      <c r="A263" s="425" t="s">
        <v>317</v>
      </c>
      <c r="B263" s="457"/>
      <c r="C263" s="428">
        <v>45912</v>
      </c>
      <c r="D263" s="511">
        <v>21120</v>
      </c>
      <c r="E263" s="443"/>
      <c r="F263" s="465"/>
      <c r="G263" s="463">
        <v>45948</v>
      </c>
      <c r="H263" s="444" t="s">
        <v>604</v>
      </c>
      <c r="I263" s="513">
        <v>2</v>
      </c>
      <c r="J263" s="426" t="s">
        <v>605</v>
      </c>
      <c r="K263" s="427" t="s">
        <v>83</v>
      </c>
      <c r="L263" s="527" t="s">
        <v>606</v>
      </c>
      <c r="M263" s="428">
        <v>45962</v>
      </c>
      <c r="N263"/>
      <c r="O263" s="512">
        <v>18.436</v>
      </c>
      <c r="P263" s="435">
        <f t="shared" si="58"/>
        <v>45938</v>
      </c>
      <c r="Q263" s="512">
        <v>18.399999999999999</v>
      </c>
      <c r="R263"/>
      <c r="S263"/>
      <c r="T263"/>
    </row>
    <row r="264" spans="1:22" ht="21" hidden="1" x14ac:dyDescent="0.35">
      <c r="A264" s="425" t="s">
        <v>317</v>
      </c>
      <c r="B264" s="457"/>
      <c r="C264" s="428"/>
      <c r="D264" s="511">
        <v>21120</v>
      </c>
      <c r="E264" s="443"/>
      <c r="F264" s="465">
        <v>45952</v>
      </c>
      <c r="G264" s="463">
        <v>45976</v>
      </c>
      <c r="H264" s="444" t="s">
        <v>607</v>
      </c>
      <c r="I264" s="513">
        <v>3</v>
      </c>
      <c r="J264" s="426" t="s">
        <v>608</v>
      </c>
      <c r="K264" s="427" t="s">
        <v>83</v>
      </c>
      <c r="L264" s="527" t="s">
        <v>609</v>
      </c>
      <c r="M264" s="428"/>
      <c r="N264"/>
      <c r="O264" s="512">
        <v>18.413</v>
      </c>
      <c r="P264" s="435">
        <f t="shared" si="58"/>
        <v>45966</v>
      </c>
      <c r="Q264" s="512">
        <v>18.522500000000001</v>
      </c>
      <c r="R264"/>
      <c r="S264"/>
      <c r="T264"/>
    </row>
    <row r="265" spans="1:22" ht="21" hidden="1" x14ac:dyDescent="0.35">
      <c r="A265" s="425" t="s">
        <v>317</v>
      </c>
      <c r="B265" s="457"/>
      <c r="C265" s="428"/>
      <c r="D265" s="511">
        <v>21120</v>
      </c>
      <c r="E265" s="443"/>
      <c r="F265" s="465">
        <v>45957</v>
      </c>
      <c r="G265" s="463">
        <v>45986</v>
      </c>
      <c r="H265" s="444" t="s">
        <v>610</v>
      </c>
      <c r="I265" s="513">
        <v>4</v>
      </c>
      <c r="J265" s="426" t="s">
        <v>611</v>
      </c>
      <c r="K265" s="427" t="s">
        <v>83</v>
      </c>
      <c r="L265" s="527" t="s">
        <v>612</v>
      </c>
      <c r="M265" s="428"/>
      <c r="N265"/>
      <c r="O265" s="512">
        <v>18.413</v>
      </c>
      <c r="P265" s="429">
        <f t="shared" si="58"/>
        <v>45976</v>
      </c>
      <c r="Q265" s="512">
        <v>18.398800000000001</v>
      </c>
      <c r="R265"/>
      <c r="S265"/>
      <c r="T265"/>
    </row>
    <row r="266" spans="1:22" ht="21" hidden="1" x14ac:dyDescent="0.35">
      <c r="A266" s="425" t="s">
        <v>317</v>
      </c>
      <c r="B266" s="457"/>
      <c r="C266" s="428"/>
      <c r="D266" s="511">
        <v>21120</v>
      </c>
      <c r="E266" s="443"/>
      <c r="F266" s="465">
        <v>45970</v>
      </c>
      <c r="G266" s="463">
        <v>45994</v>
      </c>
      <c r="H266" s="444" t="s">
        <v>613</v>
      </c>
      <c r="I266" s="513">
        <v>5</v>
      </c>
      <c r="J266" s="426" t="s">
        <v>614</v>
      </c>
      <c r="K266" s="427" t="s">
        <v>83</v>
      </c>
      <c r="L266" s="527"/>
      <c r="M266" s="428"/>
      <c r="N266"/>
      <c r="O266" s="512">
        <v>18.469000000000001</v>
      </c>
      <c r="P266" s="429">
        <f t="shared" si="58"/>
        <v>45984</v>
      </c>
      <c r="Q266" s="512">
        <v>18.535</v>
      </c>
      <c r="R266"/>
      <c r="S266"/>
      <c r="T266"/>
    </row>
    <row r="267" spans="1:22" ht="21" hidden="1" x14ac:dyDescent="0.35">
      <c r="A267" s="425" t="s">
        <v>317</v>
      </c>
      <c r="B267" s="457"/>
      <c r="C267" s="428"/>
      <c r="D267" s="511">
        <v>21120</v>
      </c>
      <c r="E267" s="443"/>
      <c r="F267" s="465">
        <v>45980</v>
      </c>
      <c r="G267" s="463">
        <v>46008</v>
      </c>
      <c r="H267" s="444" t="s">
        <v>615</v>
      </c>
      <c r="I267" s="513">
        <v>6</v>
      </c>
      <c r="J267" s="426" t="s">
        <v>603</v>
      </c>
      <c r="K267" s="427" t="s">
        <v>83</v>
      </c>
      <c r="L267" s="527"/>
      <c r="M267" s="428"/>
      <c r="N267"/>
      <c r="O267" s="512">
        <v>18.358799999999999</v>
      </c>
      <c r="P267" s="429">
        <f t="shared" si="58"/>
        <v>45998</v>
      </c>
      <c r="Q267" s="512">
        <v>18.285799999999998</v>
      </c>
      <c r="R267"/>
      <c r="S267"/>
      <c r="T267"/>
    </row>
    <row r="268" spans="1:22" ht="21" hidden="1" x14ac:dyDescent="0.35">
      <c r="A268" s="425" t="s">
        <v>317</v>
      </c>
      <c r="B268" s="457">
        <v>45967</v>
      </c>
      <c r="C268" s="428">
        <v>45992</v>
      </c>
      <c r="D268" s="511">
        <v>21120</v>
      </c>
      <c r="E268" s="443"/>
      <c r="F268" s="515">
        <v>45999</v>
      </c>
      <c r="G268" s="463">
        <v>46030</v>
      </c>
      <c r="H268" s="444" t="s">
        <v>616</v>
      </c>
      <c r="I268" s="519">
        <v>7</v>
      </c>
      <c r="J268" s="426" t="s">
        <v>617</v>
      </c>
      <c r="K268" s="427" t="s">
        <v>83</v>
      </c>
      <c r="L268" s="531" t="s">
        <v>983</v>
      </c>
      <c r="M268" s="428">
        <v>46038</v>
      </c>
      <c r="N268"/>
      <c r="O268" s="512">
        <v>18.339099999999998</v>
      </c>
      <c r="P268" s="429">
        <f t="shared" ref="P268:P269" si="59">+G268-10</f>
        <v>46020</v>
      </c>
      <c r="Q268" s="471">
        <v>17.989999999999998</v>
      </c>
      <c r="R268" s="471">
        <f>IFERROR(AVERAGE(O268,Q268),"")</f>
        <v>18.164549999999998</v>
      </c>
      <c r="S268"/>
      <c r="T268"/>
    </row>
    <row r="269" spans="1:22" ht="21" hidden="1" x14ac:dyDescent="0.35">
      <c r="A269" s="425" t="s">
        <v>317</v>
      </c>
      <c r="B269" s="457">
        <v>45967</v>
      </c>
      <c r="C269" s="428">
        <v>45992</v>
      </c>
      <c r="D269" s="511">
        <v>21120</v>
      </c>
      <c r="E269" s="443"/>
      <c r="F269" s="515">
        <v>45999</v>
      </c>
      <c r="G269" s="463">
        <v>46030</v>
      </c>
      <c r="H269" s="444" t="s">
        <v>618</v>
      </c>
      <c r="I269" s="519">
        <v>8</v>
      </c>
      <c r="J269" s="426" t="s">
        <v>621</v>
      </c>
      <c r="K269" s="427" t="s">
        <v>83</v>
      </c>
      <c r="L269" s="531" t="s">
        <v>984</v>
      </c>
      <c r="M269" s="428">
        <v>46038</v>
      </c>
      <c r="N269"/>
      <c r="O269" s="512">
        <v>18.339099999999998</v>
      </c>
      <c r="P269" s="429">
        <f t="shared" si="59"/>
        <v>46020</v>
      </c>
      <c r="Q269" s="471">
        <v>17.989999999999998</v>
      </c>
      <c r="R269" s="471">
        <f t="shared" ref="R269:R290" si="60">IFERROR(AVERAGE(O269,Q269),"")</f>
        <v>18.164549999999998</v>
      </c>
      <c r="S269"/>
      <c r="T269"/>
    </row>
    <row r="270" spans="1:22" ht="21" hidden="1" x14ac:dyDescent="0.35">
      <c r="A270" s="425" t="s">
        <v>317</v>
      </c>
      <c r="B270" s="457">
        <v>45971</v>
      </c>
      <c r="C270" s="428">
        <v>45999</v>
      </c>
      <c r="D270" s="511">
        <v>21120</v>
      </c>
      <c r="E270" s="443"/>
      <c r="F270" s="515">
        <v>46006</v>
      </c>
      <c r="G270" s="463">
        <v>46035</v>
      </c>
      <c r="H270" s="444" t="s">
        <v>619</v>
      </c>
      <c r="I270" s="519">
        <v>9</v>
      </c>
      <c r="J270" s="426" t="s">
        <v>982</v>
      </c>
      <c r="K270" s="427" t="s">
        <v>83</v>
      </c>
      <c r="L270" s="527" t="s">
        <v>985</v>
      </c>
      <c r="M270" s="428"/>
      <c r="N270"/>
      <c r="O270" s="512">
        <v>18.045000000000002</v>
      </c>
      <c r="P270" s="429">
        <f t="shared" ref="P270:P271" si="61">+G270-10</f>
        <v>46025</v>
      </c>
      <c r="Q270" s="471">
        <v>17.919799999999999</v>
      </c>
      <c r="R270" s="471">
        <f t="shared" si="60"/>
        <v>17.982399999999998</v>
      </c>
      <c r="S270"/>
      <c r="T270"/>
    </row>
    <row r="271" spans="1:22" ht="21" hidden="1" x14ac:dyDescent="0.35">
      <c r="A271" s="425" t="s">
        <v>317</v>
      </c>
      <c r="B271" s="457">
        <v>45971</v>
      </c>
      <c r="C271" s="428">
        <v>45999</v>
      </c>
      <c r="D271" s="511">
        <v>21120</v>
      </c>
      <c r="E271" s="443"/>
      <c r="F271" s="515">
        <v>46006</v>
      </c>
      <c r="G271" s="463">
        <v>46035</v>
      </c>
      <c r="H271" s="444" t="s">
        <v>620</v>
      </c>
      <c r="I271" s="519">
        <v>10</v>
      </c>
      <c r="J271" s="426" t="s">
        <v>603</v>
      </c>
      <c r="K271" s="427" t="s">
        <v>83</v>
      </c>
      <c r="L271" s="531" t="s">
        <v>986</v>
      </c>
      <c r="M271" s="428">
        <v>46043</v>
      </c>
      <c r="N271"/>
      <c r="O271" s="512">
        <v>18.045000000000002</v>
      </c>
      <c r="P271" s="429">
        <f t="shared" si="61"/>
        <v>46025</v>
      </c>
      <c r="Q271" s="471">
        <v>17.919799999999999</v>
      </c>
      <c r="R271" s="471">
        <f t="shared" si="60"/>
        <v>17.982399999999998</v>
      </c>
      <c r="S271"/>
      <c r="T271"/>
    </row>
    <row r="272" spans="1:22" ht="21" hidden="1" x14ac:dyDescent="0.35">
      <c r="A272" s="425" t="s">
        <v>317</v>
      </c>
      <c r="B272" s="457">
        <v>45989</v>
      </c>
      <c r="C272" s="428">
        <v>46009</v>
      </c>
      <c r="D272" s="511">
        <v>21120</v>
      </c>
      <c r="E272" s="443"/>
      <c r="F272" s="515">
        <v>46013</v>
      </c>
      <c r="G272" s="463">
        <v>46042</v>
      </c>
      <c r="H272" s="444" t="s">
        <v>622</v>
      </c>
      <c r="I272" s="519">
        <v>11</v>
      </c>
      <c r="J272" s="426" t="s">
        <v>627</v>
      </c>
      <c r="K272" s="427" t="s">
        <v>83</v>
      </c>
      <c r="L272" s="531" t="s">
        <v>987</v>
      </c>
      <c r="M272" s="428">
        <f>+G272+10</f>
        <v>46052</v>
      </c>
      <c r="N272"/>
      <c r="O272" s="471">
        <v>17.995000000000001</v>
      </c>
      <c r="P272" s="429">
        <f t="shared" ref="P272:P279" si="62">+G272-10</f>
        <v>46032</v>
      </c>
      <c r="Q272" s="471">
        <v>18.03</v>
      </c>
      <c r="R272" s="471">
        <f t="shared" si="60"/>
        <v>18.012500000000003</v>
      </c>
      <c r="S272"/>
      <c r="T272"/>
    </row>
    <row r="273" spans="1:20" ht="21" hidden="1" x14ac:dyDescent="0.35">
      <c r="A273" s="425" t="s">
        <v>317</v>
      </c>
      <c r="B273" s="457">
        <v>46010</v>
      </c>
      <c r="C273" s="428">
        <v>46017</v>
      </c>
      <c r="D273" s="511">
        <v>21120</v>
      </c>
      <c r="E273" s="443"/>
      <c r="F273" s="515">
        <v>46028</v>
      </c>
      <c r="G273" s="463">
        <v>46058</v>
      </c>
      <c r="H273" s="444" t="s">
        <v>623</v>
      </c>
      <c r="I273" s="519">
        <v>12</v>
      </c>
      <c r="J273" s="426" t="s">
        <v>611</v>
      </c>
      <c r="K273" s="427" t="s">
        <v>83</v>
      </c>
      <c r="L273" s="527" t="s">
        <v>989</v>
      </c>
      <c r="M273" s="428">
        <f t="shared" ref="M273:M276" si="63">+G273+10</f>
        <v>46068</v>
      </c>
      <c r="N273"/>
      <c r="O273" s="471">
        <v>17.995000000000001</v>
      </c>
      <c r="P273" s="429">
        <f t="shared" si="62"/>
        <v>46048</v>
      </c>
      <c r="Q273" s="471">
        <v>17.34</v>
      </c>
      <c r="R273" s="471">
        <f t="shared" si="60"/>
        <v>17.6675</v>
      </c>
      <c r="S273"/>
      <c r="T273"/>
    </row>
    <row r="274" spans="1:20" ht="21" hidden="1" x14ac:dyDescent="0.35">
      <c r="A274" s="425" t="s">
        <v>317</v>
      </c>
      <c r="B274" s="457">
        <v>46010</v>
      </c>
      <c r="C274" s="428">
        <v>46017</v>
      </c>
      <c r="D274" s="511">
        <v>21120</v>
      </c>
      <c r="E274" s="443"/>
      <c r="F274" s="515">
        <v>46028</v>
      </c>
      <c r="G274" s="463">
        <v>46058</v>
      </c>
      <c r="H274" s="444" t="s">
        <v>624</v>
      </c>
      <c r="I274" s="519">
        <v>13</v>
      </c>
      <c r="J274" s="426" t="s">
        <v>621</v>
      </c>
      <c r="K274" s="427" t="s">
        <v>83</v>
      </c>
      <c r="L274" s="527" t="s">
        <v>988</v>
      </c>
      <c r="M274" s="428">
        <f t="shared" si="63"/>
        <v>46068</v>
      </c>
      <c r="N274"/>
      <c r="O274" s="471">
        <v>17.995000000000001</v>
      </c>
      <c r="P274" s="429">
        <f t="shared" si="62"/>
        <v>46048</v>
      </c>
      <c r="Q274" s="471">
        <v>17.34</v>
      </c>
      <c r="R274" s="471">
        <f t="shared" si="60"/>
        <v>17.6675</v>
      </c>
      <c r="S274"/>
      <c r="T274"/>
    </row>
    <row r="275" spans="1:20" ht="21" hidden="1" x14ac:dyDescent="0.35">
      <c r="A275" s="425" t="s">
        <v>317</v>
      </c>
      <c r="B275" s="457">
        <v>46014</v>
      </c>
      <c r="C275" s="428"/>
      <c r="D275" s="511">
        <v>21120</v>
      </c>
      <c r="E275" s="443"/>
      <c r="F275" s="515">
        <v>46035</v>
      </c>
      <c r="G275" s="463">
        <v>46065</v>
      </c>
      <c r="H275" s="444" t="s">
        <v>625</v>
      </c>
      <c r="I275" s="519">
        <v>14</v>
      </c>
      <c r="J275" s="426" t="s">
        <v>603</v>
      </c>
      <c r="K275" s="427" t="s">
        <v>83</v>
      </c>
      <c r="L275" s="527"/>
      <c r="M275" s="428">
        <f t="shared" si="63"/>
        <v>46075</v>
      </c>
      <c r="N275"/>
      <c r="O275" s="471">
        <v>17.9191</v>
      </c>
      <c r="P275" s="429">
        <f t="shared" si="62"/>
        <v>46055</v>
      </c>
      <c r="Q275" s="471">
        <v>17.395</v>
      </c>
      <c r="R275" s="471">
        <f t="shared" si="60"/>
        <v>17.657049999999998</v>
      </c>
      <c r="S275"/>
      <c r="T275"/>
    </row>
    <row r="276" spans="1:20" ht="21" hidden="1" x14ac:dyDescent="0.35">
      <c r="A276" s="425" t="s">
        <v>317</v>
      </c>
      <c r="B276" s="457">
        <v>46014</v>
      </c>
      <c r="C276" s="428"/>
      <c r="D276" s="511">
        <v>21120</v>
      </c>
      <c r="E276" s="443"/>
      <c r="F276" s="515">
        <v>46035</v>
      </c>
      <c r="G276" s="463">
        <v>46065</v>
      </c>
      <c r="H276" s="444" t="s">
        <v>626</v>
      </c>
      <c r="I276" s="519">
        <v>15</v>
      </c>
      <c r="J276" s="426" t="s">
        <v>627</v>
      </c>
      <c r="K276" s="427" t="s">
        <v>83</v>
      </c>
      <c r="L276" s="527"/>
      <c r="M276" s="428">
        <f t="shared" si="63"/>
        <v>46075</v>
      </c>
      <c r="N276"/>
      <c r="O276" s="471">
        <v>17.9191</v>
      </c>
      <c r="P276" s="429">
        <f t="shared" si="62"/>
        <v>46055</v>
      </c>
      <c r="Q276" s="471">
        <v>17.395</v>
      </c>
      <c r="R276" s="471">
        <f t="shared" si="60"/>
        <v>17.657049999999998</v>
      </c>
      <c r="S276"/>
      <c r="T276"/>
    </row>
    <row r="277" spans="1:20" ht="21" hidden="1" x14ac:dyDescent="0.35">
      <c r="A277" s="425" t="s">
        <v>317</v>
      </c>
      <c r="B277" s="457">
        <v>46036</v>
      </c>
      <c r="C277" s="428"/>
      <c r="D277" s="511">
        <v>21120</v>
      </c>
      <c r="E277" s="443"/>
      <c r="F277" s="515">
        <v>46053</v>
      </c>
      <c r="G277" s="463">
        <v>46081</v>
      </c>
      <c r="H277" s="444" t="s">
        <v>990</v>
      </c>
      <c r="I277" s="519">
        <v>16</v>
      </c>
      <c r="J277" s="426" t="s">
        <v>603</v>
      </c>
      <c r="K277" s="427" t="s">
        <v>83</v>
      </c>
      <c r="L277" s="527"/>
      <c r="M277" s="428">
        <f>+G277+10</f>
        <v>46091</v>
      </c>
      <c r="N277"/>
      <c r="O277" s="471">
        <v>17.52</v>
      </c>
      <c r="P277" s="429">
        <f t="shared" si="62"/>
        <v>46071</v>
      </c>
      <c r="Q277" s="471">
        <v>17.8188</v>
      </c>
      <c r="R277" s="471">
        <f t="shared" si="60"/>
        <v>17.6694</v>
      </c>
      <c r="S277"/>
      <c r="T277"/>
    </row>
    <row r="278" spans="1:20" ht="21" hidden="1" x14ac:dyDescent="0.35">
      <c r="A278" s="425" t="s">
        <v>317</v>
      </c>
      <c r="B278" s="457">
        <v>46036</v>
      </c>
      <c r="C278" s="428"/>
      <c r="D278" s="511">
        <v>21120</v>
      </c>
      <c r="E278" s="443"/>
      <c r="F278" s="515">
        <v>46053</v>
      </c>
      <c r="G278" s="463">
        <v>46081</v>
      </c>
      <c r="H278" s="444" t="s">
        <v>991</v>
      </c>
      <c r="I278" s="519">
        <v>17</v>
      </c>
      <c r="J278" s="426" t="s">
        <v>617</v>
      </c>
      <c r="K278" s="427" t="s">
        <v>83</v>
      </c>
      <c r="L278" s="527"/>
      <c r="M278" s="428">
        <f t="shared" ref="M278:M288" si="64">+G278+10</f>
        <v>46091</v>
      </c>
      <c r="N278"/>
      <c r="O278" s="471">
        <v>17.52</v>
      </c>
      <c r="P278" s="429">
        <f t="shared" si="62"/>
        <v>46071</v>
      </c>
      <c r="Q278" s="471">
        <v>17.8188</v>
      </c>
      <c r="R278" s="471">
        <f t="shared" si="60"/>
        <v>17.6694</v>
      </c>
      <c r="S278"/>
      <c r="T278"/>
    </row>
    <row r="279" spans="1:20" ht="21" hidden="1" x14ac:dyDescent="0.35">
      <c r="A279" s="425" t="s">
        <v>317</v>
      </c>
      <c r="B279" s="457">
        <v>46043</v>
      </c>
      <c r="C279" s="428"/>
      <c r="D279" s="511">
        <v>20750</v>
      </c>
      <c r="E279" s="443"/>
      <c r="F279" s="515">
        <v>46054</v>
      </c>
      <c r="G279" s="463">
        <v>46088</v>
      </c>
      <c r="H279" s="444" t="s">
        <v>997</v>
      </c>
      <c r="I279" s="519">
        <v>18</v>
      </c>
      <c r="J279" s="426" t="s">
        <v>603</v>
      </c>
      <c r="K279" s="427" t="s">
        <v>83</v>
      </c>
      <c r="L279" s="527"/>
      <c r="M279" s="428">
        <f t="shared" si="64"/>
        <v>46098</v>
      </c>
      <c r="N279"/>
      <c r="O279" s="471">
        <v>17.395</v>
      </c>
      <c r="P279" s="429">
        <f t="shared" si="62"/>
        <v>46078</v>
      </c>
      <c r="Q279" s="471">
        <v>17.239899999999999</v>
      </c>
      <c r="R279" s="471">
        <f t="shared" si="60"/>
        <v>17.317450000000001</v>
      </c>
      <c r="S279"/>
      <c r="T279"/>
    </row>
    <row r="280" spans="1:20" ht="21" hidden="1" x14ac:dyDescent="0.35">
      <c r="A280" s="425" t="s">
        <v>317</v>
      </c>
      <c r="B280" s="457">
        <v>46043</v>
      </c>
      <c r="C280" s="428"/>
      <c r="D280" s="511">
        <v>21120</v>
      </c>
      <c r="E280" s="443"/>
      <c r="F280" s="515">
        <v>46054</v>
      </c>
      <c r="G280" s="463">
        <v>46088</v>
      </c>
      <c r="H280" s="444" t="s">
        <v>998</v>
      </c>
      <c r="I280" s="519">
        <v>19</v>
      </c>
      <c r="J280" s="426" t="s">
        <v>999</v>
      </c>
      <c r="K280" s="427" t="s">
        <v>83</v>
      </c>
      <c r="L280" s="527"/>
      <c r="M280" s="428">
        <f t="shared" si="64"/>
        <v>46098</v>
      </c>
      <c r="N280"/>
      <c r="O280" s="471">
        <v>17.395</v>
      </c>
      <c r="P280" s="429">
        <v>46092</v>
      </c>
      <c r="Q280" s="471">
        <v>17.672999999999998</v>
      </c>
      <c r="R280" s="471">
        <f t="shared" si="60"/>
        <v>17.533999999999999</v>
      </c>
      <c r="S280"/>
      <c r="T280"/>
    </row>
    <row r="281" spans="1:20" ht="21" x14ac:dyDescent="0.35">
      <c r="A281" s="425" t="s">
        <v>317</v>
      </c>
      <c r="B281" s="457">
        <v>46064</v>
      </c>
      <c r="C281" s="428">
        <v>46066</v>
      </c>
      <c r="D281" s="511">
        <v>21120</v>
      </c>
      <c r="E281" s="443"/>
      <c r="F281" s="465">
        <f>+G281-30</f>
        <v>46090</v>
      </c>
      <c r="G281" s="463">
        <v>46120</v>
      </c>
      <c r="H281" s="444" t="s">
        <v>1006</v>
      </c>
      <c r="I281" s="519">
        <v>20</v>
      </c>
      <c r="J281" s="426" t="s">
        <v>603</v>
      </c>
      <c r="K281" s="427" t="s">
        <v>83</v>
      </c>
      <c r="L281" s="527" t="s">
        <v>1038</v>
      </c>
      <c r="M281" s="428">
        <f t="shared" si="64"/>
        <v>46130</v>
      </c>
      <c r="N281"/>
      <c r="O281" s="471">
        <v>17.588799999999999</v>
      </c>
      <c r="P281" s="533">
        <v>46107</v>
      </c>
      <c r="Q281" s="471">
        <v>17.814599999999999</v>
      </c>
      <c r="R281" s="471">
        <f t="shared" si="60"/>
        <v>17.701699999999999</v>
      </c>
      <c r="S281" s="432"/>
      <c r="T281"/>
    </row>
    <row r="282" spans="1:20" ht="21" x14ac:dyDescent="0.35">
      <c r="A282" s="425" t="s">
        <v>317</v>
      </c>
      <c r="B282" s="457">
        <v>46064</v>
      </c>
      <c r="C282" s="428">
        <v>46066</v>
      </c>
      <c r="D282" s="511">
        <v>21120</v>
      </c>
      <c r="E282" s="443"/>
      <c r="F282" s="465">
        <f>+G282-30</f>
        <v>46090</v>
      </c>
      <c r="G282" s="463">
        <v>46120</v>
      </c>
      <c r="H282" s="444" t="s">
        <v>1007</v>
      </c>
      <c r="I282" s="519">
        <v>21</v>
      </c>
      <c r="J282" s="426" t="s">
        <v>621</v>
      </c>
      <c r="K282" s="427" t="s">
        <v>83</v>
      </c>
      <c r="L282" s="527" t="s">
        <v>1039</v>
      </c>
      <c r="M282" s="428">
        <f t="shared" si="64"/>
        <v>46130</v>
      </c>
      <c r="N282"/>
      <c r="O282" s="471">
        <v>17.588799999999999</v>
      </c>
      <c r="P282" s="533">
        <v>46107</v>
      </c>
      <c r="Q282" s="471">
        <v>17.814599999999999</v>
      </c>
      <c r="R282" s="471">
        <f t="shared" si="60"/>
        <v>17.701699999999999</v>
      </c>
      <c r="S282" s="432"/>
      <c r="T282"/>
    </row>
    <row r="283" spans="1:20" ht="21" x14ac:dyDescent="0.35">
      <c r="A283" s="425" t="s">
        <v>317</v>
      </c>
      <c r="B283" s="457">
        <v>46083</v>
      </c>
      <c r="C283" s="428">
        <v>46090</v>
      </c>
      <c r="D283" s="511">
        <v>22873</v>
      </c>
      <c r="E283" s="443"/>
      <c r="F283" s="465">
        <v>46096</v>
      </c>
      <c r="G283" s="463">
        <v>46130</v>
      </c>
      <c r="H283" s="444" t="s">
        <v>1008</v>
      </c>
      <c r="I283" s="519">
        <v>22</v>
      </c>
      <c r="J283" s="426" t="s">
        <v>603</v>
      </c>
      <c r="K283" s="427" t="s">
        <v>83</v>
      </c>
      <c r="L283" s="527" t="s">
        <v>1040</v>
      </c>
      <c r="M283" s="428">
        <f t="shared" si="64"/>
        <v>46140</v>
      </c>
      <c r="N283"/>
      <c r="O283" s="471">
        <v>17.6999</v>
      </c>
      <c r="P283" s="533">
        <v>46120</v>
      </c>
      <c r="Q283" s="471">
        <v>17.492801</v>
      </c>
      <c r="R283" s="471">
        <f t="shared" si="60"/>
        <v>17.5963505</v>
      </c>
      <c r="S283" s="432"/>
      <c r="T283"/>
    </row>
    <row r="284" spans="1:20" ht="21" x14ac:dyDescent="0.35">
      <c r="A284" s="425" t="s">
        <v>317</v>
      </c>
      <c r="B284" s="457">
        <v>46083</v>
      </c>
      <c r="C284" s="428">
        <v>46090</v>
      </c>
      <c r="D284" s="511">
        <v>23454</v>
      </c>
      <c r="E284" s="443"/>
      <c r="F284" s="465">
        <v>46096</v>
      </c>
      <c r="G284" s="463">
        <v>46130</v>
      </c>
      <c r="H284" s="444" t="s">
        <v>1009</v>
      </c>
      <c r="I284" s="519">
        <v>23</v>
      </c>
      <c r="J284" s="426" t="s">
        <v>1012</v>
      </c>
      <c r="K284" s="427" t="s">
        <v>83</v>
      </c>
      <c r="L284" s="527" t="s">
        <v>1041</v>
      </c>
      <c r="M284" s="428">
        <f t="shared" si="64"/>
        <v>46140</v>
      </c>
      <c r="N284"/>
      <c r="O284" s="471">
        <v>17.6999</v>
      </c>
      <c r="P284" s="533">
        <v>46120</v>
      </c>
      <c r="Q284" s="471">
        <v>17.492799999999999</v>
      </c>
      <c r="R284" s="471">
        <f t="shared" si="60"/>
        <v>17.596350000000001</v>
      </c>
      <c r="S284" s="432"/>
      <c r="T284"/>
    </row>
    <row r="285" spans="1:20" ht="21" x14ac:dyDescent="0.35">
      <c r="A285" s="425" t="s">
        <v>317</v>
      </c>
      <c r="B285" s="457">
        <v>46096</v>
      </c>
      <c r="C285" s="428">
        <v>46068</v>
      </c>
      <c r="D285" s="511">
        <f>68+22873</f>
        <v>22941</v>
      </c>
      <c r="E285" s="443"/>
      <c r="F285" s="465">
        <v>46116</v>
      </c>
      <c r="G285" s="463">
        <v>46147</v>
      </c>
      <c r="H285" s="444" t="s">
        <v>1015</v>
      </c>
      <c r="I285" s="519">
        <v>24</v>
      </c>
      <c r="J285" s="426" t="s">
        <v>621</v>
      </c>
      <c r="K285" s="427" t="s">
        <v>83</v>
      </c>
      <c r="L285" s="527" t="s">
        <v>1037</v>
      </c>
      <c r="M285" s="428">
        <f t="shared" si="64"/>
        <v>46157</v>
      </c>
      <c r="N285"/>
      <c r="O285" s="471">
        <v>18.065000000000001</v>
      </c>
      <c r="P285" s="533">
        <v>46139</v>
      </c>
      <c r="Q285" s="471">
        <v>17.425000000000001</v>
      </c>
      <c r="R285" s="471">
        <f t="shared" si="60"/>
        <v>17.745000000000001</v>
      </c>
      <c r="S285" s="432"/>
      <c r="T285"/>
    </row>
    <row r="286" spans="1:20" ht="21" x14ac:dyDescent="0.35">
      <c r="A286" s="425" t="s">
        <v>317</v>
      </c>
      <c r="B286" s="457">
        <v>46105</v>
      </c>
      <c r="C286" s="428">
        <v>46068</v>
      </c>
      <c r="D286" s="511">
        <v>23454</v>
      </c>
      <c r="E286" s="443"/>
      <c r="F286" s="465">
        <v>46125</v>
      </c>
      <c r="G286" s="463">
        <v>46157</v>
      </c>
      <c r="H286" s="444" t="s">
        <v>1022</v>
      </c>
      <c r="I286" s="519">
        <v>25</v>
      </c>
      <c r="J286" s="426" t="s">
        <v>603</v>
      </c>
      <c r="K286" s="427" t="s">
        <v>83</v>
      </c>
      <c r="L286" s="527" t="s">
        <v>1036</v>
      </c>
      <c r="M286" s="428">
        <f t="shared" si="64"/>
        <v>46167</v>
      </c>
      <c r="N286"/>
      <c r="O286" s="471">
        <v>17.343800000000002</v>
      </c>
      <c r="P286" s="533">
        <v>46125</v>
      </c>
      <c r="Q286" s="471">
        <v>17.294799999999999</v>
      </c>
      <c r="R286" s="471">
        <f t="shared" si="60"/>
        <v>17.319299999999998</v>
      </c>
      <c r="S286" s="432"/>
      <c r="T286"/>
    </row>
    <row r="287" spans="1:20" ht="21" x14ac:dyDescent="0.35">
      <c r="A287" s="425" t="s">
        <v>317</v>
      </c>
      <c r="B287" s="457">
        <v>46105</v>
      </c>
      <c r="C287" s="428">
        <v>46070</v>
      </c>
      <c r="D287" s="511">
        <v>23454</v>
      </c>
      <c r="E287" s="443"/>
      <c r="F287" s="465">
        <v>46125</v>
      </c>
      <c r="G287" s="463">
        <v>46157</v>
      </c>
      <c r="H287" s="444" t="s">
        <v>1023</v>
      </c>
      <c r="I287" s="519">
        <v>26</v>
      </c>
      <c r="J287" s="426" t="s">
        <v>1024</v>
      </c>
      <c r="K287" s="427" t="s">
        <v>83</v>
      </c>
      <c r="L287" s="527" t="s">
        <v>1035</v>
      </c>
      <c r="M287" s="428">
        <f t="shared" si="64"/>
        <v>46167</v>
      </c>
      <c r="N287"/>
      <c r="O287" s="471">
        <v>17.343800000000002</v>
      </c>
      <c r="P287" s="533">
        <v>46125</v>
      </c>
      <c r="Q287" s="471">
        <v>17.294799999999999</v>
      </c>
      <c r="R287" s="471">
        <f t="shared" si="60"/>
        <v>17.319299999999998</v>
      </c>
      <c r="S287" s="432"/>
      <c r="T287"/>
    </row>
    <row r="288" spans="1:20" ht="21" x14ac:dyDescent="0.35">
      <c r="A288" s="425" t="s">
        <v>317</v>
      </c>
      <c r="B288" s="457">
        <v>46124</v>
      </c>
      <c r="C288" s="428">
        <v>46127</v>
      </c>
      <c r="D288" s="511">
        <v>22797</v>
      </c>
      <c r="E288" s="443"/>
      <c r="F288" s="465">
        <v>46124</v>
      </c>
      <c r="G288" s="463">
        <v>46174</v>
      </c>
      <c r="H288" s="444" t="s">
        <v>1028</v>
      </c>
      <c r="I288" s="588">
        <v>27</v>
      </c>
      <c r="J288" s="426" t="s">
        <v>1029</v>
      </c>
      <c r="K288" s="427" t="s">
        <v>83</v>
      </c>
      <c r="L288" s="527" t="s">
        <v>1034</v>
      </c>
      <c r="M288" s="428">
        <f t="shared" si="64"/>
        <v>46184</v>
      </c>
      <c r="N288"/>
      <c r="O288" s="471">
        <v>17.425000000000001</v>
      </c>
      <c r="P288" s="533">
        <v>46139</v>
      </c>
      <c r="Q288" s="471">
        <v>17.344000000000001</v>
      </c>
      <c r="R288" s="471">
        <f>IFERROR(AVERAGE(O288,Q288),"")</f>
        <v>17.384500000000003</v>
      </c>
      <c r="S288" s="432"/>
      <c r="T288"/>
    </row>
    <row r="289" spans="1:20" ht="21" x14ac:dyDescent="0.35">
      <c r="A289" s="425" t="s">
        <v>317</v>
      </c>
      <c r="B289" s="457" t="s">
        <v>1050</v>
      </c>
      <c r="C289" s="428"/>
      <c r="D289" s="511"/>
      <c r="E289" s="443"/>
      <c r="F289" s="465">
        <v>46157</v>
      </c>
      <c r="G289" s="463">
        <v>46188</v>
      </c>
      <c r="H289" s="444" t="s">
        <v>1043</v>
      </c>
      <c r="I289" s="588">
        <v>28</v>
      </c>
      <c r="J289" s="426" t="s">
        <v>621</v>
      </c>
      <c r="K289" s="427" t="s">
        <v>83</v>
      </c>
      <c r="L289" s="527"/>
      <c r="M289" s="428">
        <f>+G289+10</f>
        <v>46198</v>
      </c>
      <c r="N289"/>
      <c r="O289" s="471">
        <v>17.41</v>
      </c>
      <c r="P289" s="533">
        <v>46185</v>
      </c>
      <c r="Q289" s="471">
        <v>17.257999999999999</v>
      </c>
      <c r="R289" s="471">
        <f t="shared" si="60"/>
        <v>17.334</v>
      </c>
      <c r="S289" s="432"/>
      <c r="T289"/>
    </row>
    <row r="290" spans="1:20" ht="21" x14ac:dyDescent="0.35">
      <c r="A290" s="425" t="s">
        <v>317</v>
      </c>
      <c r="B290" s="457">
        <v>46138</v>
      </c>
      <c r="C290" s="428"/>
      <c r="D290" s="511"/>
      <c r="E290" s="443"/>
      <c r="F290" s="465">
        <v>46157</v>
      </c>
      <c r="G290" s="463">
        <v>46188</v>
      </c>
      <c r="H290" s="444" t="s">
        <v>1044</v>
      </c>
      <c r="I290" s="588">
        <v>29</v>
      </c>
      <c r="J290" s="426" t="s">
        <v>603</v>
      </c>
      <c r="K290" s="427" t="s">
        <v>83</v>
      </c>
      <c r="L290" s="527"/>
      <c r="M290" s="428">
        <f>+G290+10</f>
        <v>46198</v>
      </c>
      <c r="N290"/>
      <c r="O290" s="471">
        <v>17.41</v>
      </c>
      <c r="P290" s="533">
        <v>46185</v>
      </c>
      <c r="Q290" s="471">
        <v>17.257999999999999</v>
      </c>
      <c r="R290" s="471">
        <f t="shared" si="60"/>
        <v>17.334</v>
      </c>
      <c r="S290" s="432"/>
      <c r="T290"/>
    </row>
    <row r="291" spans="1:20" ht="21" x14ac:dyDescent="0.35">
      <c r="A291" s="425" t="s">
        <v>317</v>
      </c>
      <c r="B291" s="457">
        <v>46168</v>
      </c>
      <c r="C291" s="428"/>
      <c r="D291" s="511"/>
      <c r="E291" s="443"/>
      <c r="F291" s="465"/>
      <c r="G291" s="463"/>
      <c r="H291" s="444" t="s">
        <v>1061</v>
      </c>
      <c r="I291" s="588">
        <v>30</v>
      </c>
      <c r="J291" s="426" t="s">
        <v>1063</v>
      </c>
      <c r="K291" s="427" t="s">
        <v>83</v>
      </c>
      <c r="L291" s="527"/>
      <c r="M291" s="428"/>
      <c r="N291"/>
      <c r="O291" s="471">
        <v>17.359901000000001</v>
      </c>
      <c r="P291" s="533"/>
      <c r="Q291" s="471"/>
      <c r="R291" s="471"/>
      <c r="S291" s="432"/>
      <c r="T291"/>
    </row>
    <row r="292" spans="1:20" ht="21" x14ac:dyDescent="0.35">
      <c r="A292" s="425" t="s">
        <v>317</v>
      </c>
      <c r="B292" s="457">
        <v>46168</v>
      </c>
      <c r="C292" s="428"/>
      <c r="D292" s="511"/>
      <c r="E292" s="443"/>
      <c r="F292" s="465">
        <v>46190</v>
      </c>
      <c r="G292" s="463">
        <v>46223</v>
      </c>
      <c r="H292" s="444" t="s">
        <v>1062</v>
      </c>
      <c r="I292" s="588">
        <v>31</v>
      </c>
      <c r="J292" s="426" t="s">
        <v>621</v>
      </c>
      <c r="K292" s="427" t="s">
        <v>83</v>
      </c>
      <c r="L292" s="527"/>
      <c r="M292" s="428"/>
      <c r="N292"/>
      <c r="O292" s="471">
        <v>17.498000000000001</v>
      </c>
      <c r="P292" s="533"/>
      <c r="Q292" s="471"/>
      <c r="R292" s="471"/>
      <c r="S292" s="432"/>
      <c r="T292"/>
    </row>
    <row r="293" spans="1:20" ht="21" x14ac:dyDescent="0.35">
      <c r="A293" s="425" t="s">
        <v>317</v>
      </c>
      <c r="B293" s="457"/>
      <c r="C293" s="428"/>
      <c r="D293" s="511"/>
      <c r="E293" s="443"/>
      <c r="F293" s="465"/>
      <c r="G293" s="463"/>
      <c r="H293" s="444" t="s">
        <v>1066</v>
      </c>
      <c r="I293" s="588">
        <v>32</v>
      </c>
      <c r="J293" s="426" t="s">
        <v>603</v>
      </c>
      <c r="K293" s="427"/>
      <c r="L293" s="527"/>
      <c r="M293" s="428"/>
      <c r="N293"/>
      <c r="O293" s="471"/>
      <c r="P293" s="533"/>
      <c r="Q293" s="471"/>
      <c r="R293" s="471"/>
      <c r="S293" s="432"/>
      <c r="T293"/>
    </row>
  </sheetData>
  <autoFilter ref="A7:P247" xr:uid="{573FFA79-2952-1F41-9C84-57448402A653}"/>
  <sortState xmlns:xlrd2="http://schemas.microsoft.com/office/spreadsheetml/2017/richdata2" ref="A7:F15">
    <sortCondition ref="F7:F15"/>
  </sortState>
  <mergeCells count="4">
    <mergeCell ref="A6:I6"/>
    <mergeCell ref="A146:I146"/>
    <mergeCell ref="H2:H4"/>
    <mergeCell ref="A260:I260"/>
  </mergeCells>
  <phoneticPr fontId="3" type="noConversion"/>
  <conditionalFormatting sqref="N130:N144">
    <cfRule type="timePeriod" dxfId="14" priority="13" timePeriod="yesterday">
      <formula>FLOOR(N130,1)=TODAY()-1</formula>
    </cfRule>
  </conditionalFormatting>
  <conditionalFormatting sqref="N243:N258">
    <cfRule type="timePeriod" dxfId="13" priority="2" timePeriod="yesterday">
      <formula>FLOOR(N243,1)=TODAY()-1</formula>
    </cfRule>
  </conditionalFormatting>
  <conditionalFormatting sqref="N130:O144">
    <cfRule type="timePeriod" dxfId="12" priority="12" timePeriod="nextMonth">
      <formula>AND(MONTH(N130)=MONTH(EDATE(TODAY(),0+1)),YEAR(N130)=YEAR(EDATE(TODAY(),0+1)))</formula>
    </cfRule>
    <cfRule type="timePeriod" dxfId="11" priority="14" timePeriod="thisMonth">
      <formula>AND(MONTH(N130)=MONTH(TODAY()),YEAR(N130)=YEAR(TODAY()))</formula>
    </cfRule>
  </conditionalFormatting>
  <conditionalFormatting sqref="N243:O258">
    <cfRule type="timePeriod" dxfId="10" priority="1" timePeriod="nextMonth">
      <formula>AND(MONTH(N243)=MONTH(EDATE(TODAY(),0+1)),YEAR(N243)=YEAR(EDATE(TODAY(),0+1)))</formula>
    </cfRule>
    <cfRule type="timePeriod" dxfId="9" priority="3" timePeriod="thisMonth">
      <formula>AND(MONTH(N243)=MONTH(TODAY()),YEAR(N243)=YEAR(TODAY()))</formula>
    </cfRule>
  </conditionalFormatting>
  <conditionalFormatting sqref="O130:O144">
    <cfRule type="timePeriod" dxfId="8" priority="17" timePeriod="nextMonth">
      <formula>AND(MONTH(O130)=MONTH(EDATE(TODAY(),0+1)),YEAR(O130)=YEAR(EDATE(TODAY(),0+1)))</formula>
    </cfRule>
    <cfRule type="timePeriod" dxfId="7" priority="23" timePeriod="thisMonth">
      <formula>AND(MONTH(O130)=MONTH(TODAY()),YEAR(O130)=YEAR(TODAY()))</formula>
    </cfRule>
  </conditionalFormatting>
  <conditionalFormatting sqref="O131:O144">
    <cfRule type="timePeriod" dxfId="6" priority="21" timePeriod="nextMonth">
      <formula>AND(MONTH(O131)=MONTH(EDATE(TODAY(),0+1)),YEAR(O131)=YEAR(EDATE(TODAY(),0+1)))</formula>
    </cfRule>
  </conditionalFormatting>
  <conditionalFormatting sqref="O240:O258">
    <cfRule type="timePeriod" dxfId="5" priority="8" timePeriod="thisMonth">
      <formula>AND(MONTH(O240)=MONTH(TODAY()),YEAR(O240)=YEAR(TODAY()))</formula>
    </cfRule>
  </conditionalFormatting>
  <conditionalFormatting sqref="O243:O258">
    <cfRule type="timePeriod" dxfId="4" priority="6" timePeriod="nextMonth">
      <formula>AND(MONTH(O243)=MONTH(EDATE(TODAY(),0+1)),YEAR(O243)=YEAR(EDATE(TODAY(),0+1)))</formula>
    </cfRule>
    <cfRule type="timePeriod" dxfId="3" priority="7" timePeriod="nextMonth">
      <formula>AND(MONTH(O243)=MONTH(EDATE(TODAY(),0+1)),YEAR(O243)=YEAR(EDATE(TODAY(),0+1)))</formula>
    </cfRule>
  </conditionalFormatting>
  <conditionalFormatting sqref="P268:P280">
    <cfRule type="timePeriod" dxfId="2" priority="18" timePeriod="nextMonth">
      <formula>AND(MONTH(P268)=MONTH(EDATE(TODAY(),0+1)),YEAR(P268)=YEAR(EDATE(TODAY(),0+1)))</formula>
    </cfRule>
    <cfRule type="timePeriod" dxfId="1" priority="19" timePeriod="lastMonth">
      <formula>AND(MONTH(P268)=MONTH(EDATE(TODAY(),0-1)),YEAR(P268)=YEAR(EDATE(TODAY(),0-1)))</formula>
    </cfRule>
    <cfRule type="timePeriod" dxfId="0" priority="20" timePeriod="thisMonth">
      <formula>AND(MONTH(P268)=MONTH(TODAY()),YEAR(P268)=YEAR(TODAY()))</formula>
    </cfRule>
  </conditionalFormatting>
  <dataValidations disablePrompts="1" count="2">
    <dataValidation type="list" allowBlank="1" showInputMessage="1" showErrorMessage="1" sqref="I4:I5" xr:uid="{BF2340D3-61FE-44F8-8D5B-42D95EDB90B5}">
      <formula1>$I$7:$I$238</formula1>
    </dataValidation>
    <dataValidation type="list" allowBlank="1" showInputMessage="1" showErrorMessage="1" sqref="I3" xr:uid="{D6A1A6E0-60DC-4138-9F31-93DF217EE092}">
      <formula1>$I$7:$I$292</formula1>
    </dataValidation>
  </dataValidations>
  <hyperlinks>
    <hyperlink ref="I133" r:id="rId1" xr:uid="{E28D9886-9A08-4BCD-8815-B4F42D5ABD6C}"/>
    <hyperlink ref="I134" r:id="rId2" xr:uid="{2C7913C4-D7C5-429F-908E-B56EA053C5AE}"/>
    <hyperlink ref="I131" r:id="rId3" xr:uid="{2D3B877A-3539-4803-8241-92135F6E8EE6}"/>
    <hyperlink ref="I246" r:id="rId4" xr:uid="{7C1D5607-83F5-40E9-B925-C53A0F0729B0}"/>
    <hyperlink ref="I245" r:id="rId5" xr:uid="{096F9ED3-9615-4811-B84B-F8E0B45BA894}"/>
    <hyperlink ref="I268" r:id="rId6" display="FACTURAS IMPORTACION\KAIDA\K7.pdf" xr:uid="{798ECBCD-BCA2-494E-9E11-2068BC904AFC}"/>
    <hyperlink ref="I269" r:id="rId7" display="FACTURAS IMPORTACION\KAIDA\K8.pdf" xr:uid="{FB50A994-9BCD-432E-88A7-4583B9744685}"/>
    <hyperlink ref="I270" r:id="rId8" display="FACTURAS IMPORTACION\KAIDA\K9.pdf" xr:uid="{BD445003-02CC-4B25-939C-F18D644A9C58}"/>
    <hyperlink ref="I271" r:id="rId9" display="FACTURAS IMPORTACION\KAIDA\K10.pdf" xr:uid="{6B551BFE-A0CE-4313-8840-59B4A25D2D0B}"/>
    <hyperlink ref="I272" r:id="rId10" display="FACTURAS IMPORTACION\KAIDA\K11.pdf" xr:uid="{9CC0E7B7-996B-433C-9F1B-DF3F0493ACD3}"/>
    <hyperlink ref="I273" r:id="rId11" display="FACTURAS IMPORTACION\KAIDA\K12.pdf" xr:uid="{58F5655A-528D-490A-A5BE-A56BAFFA2311}"/>
    <hyperlink ref="I274" r:id="rId12" display="FACTURAS IMPORTACION\KAIDA\K13.pdf" xr:uid="{D35E6F25-C765-4559-A3B7-0FDB757EF5F7}"/>
    <hyperlink ref="I275" r:id="rId13" display="FACTURAS IMPORTACION\KAIDA\K14.pdf" xr:uid="{6BA00B71-6E47-4000-AD9F-A0FC9B8F0500}"/>
    <hyperlink ref="I276" r:id="rId14" display="FACTURAS IMPORTACION\KAIDA\K15.pdf" xr:uid="{413B7F9B-26DF-4594-BC92-CAABFC86C85C}"/>
    <hyperlink ref="I135" r:id="rId15" xr:uid="{83BCD058-CE71-43C3-B235-9BA88BC1D196}"/>
    <hyperlink ref="I277" r:id="rId16" display="FACTURAS IMPORTACION\KAIDA\K16.pdf" xr:uid="{F38515BE-9E32-45BF-8983-561FF076F68E}"/>
    <hyperlink ref="I278" r:id="rId17" display="FACTURAS IMPORTACION\KAIDA\K17.pdf" xr:uid="{E18050F5-84CB-46B8-BA25-2A4566A40F4C}"/>
    <hyperlink ref="I132" r:id="rId18" xr:uid="{32249A39-D5CD-4C80-95E9-F4AE021DA6CF}"/>
    <hyperlink ref="I247" r:id="rId19" xr:uid="{09B2FACA-58DE-4637-9BAB-A9FCC4DC3F2A}"/>
    <hyperlink ref="I136" r:id="rId20" xr:uid="{941616FE-5B41-4FA4-81FE-4447698DE951}"/>
    <hyperlink ref="I130" r:id="rId21" xr:uid="{1CFD0C01-D8D5-48A8-821D-E9F82B3C1129}"/>
    <hyperlink ref="I248" r:id="rId22" xr:uid="{F54A6437-B630-47E5-9E2B-A610F65E3828}"/>
    <hyperlink ref="I279:I280" r:id="rId23" display="FACTURAS IMPORTACION\KAIDA\K17.pdf" xr:uid="{F886E3AB-4BBA-4931-8493-6AFD20A50B74}"/>
    <hyperlink ref="I249" r:id="rId24" xr:uid="{BA7B6E22-30EE-4056-9A6F-B12B15473388}"/>
    <hyperlink ref="I250" r:id="rId25" xr:uid="{7591C279-9F53-4211-BC0F-EB676AEA79BB}"/>
    <hyperlink ref="I137" r:id="rId26" xr:uid="{30D45F8A-0E03-480B-B4E3-B7E2FC2E0DCA}"/>
    <hyperlink ref="I251" r:id="rId27" xr:uid="{A567C82B-C74E-4803-8EA3-3DF929FEF3E9}"/>
    <hyperlink ref="I252" r:id="rId28" xr:uid="{4BE8109D-E4F7-415F-ACB1-F6C697AA3C99}"/>
    <hyperlink ref="I254" r:id="rId29" xr:uid="{B0AA9A75-1E74-42F0-BD1B-F2A0B96EF01F}"/>
    <hyperlink ref="I138" r:id="rId30" xr:uid="{C37CFE94-068D-4A26-A57D-0EF707F37E93}"/>
    <hyperlink ref="I253" r:id="rId31" xr:uid="{BA2B0FD0-CF80-4ED4-AFC6-563809657C0A}"/>
    <hyperlink ref="I255" r:id="rId32" xr:uid="{4E6FA837-66DD-4AFA-8AA6-38A1E60360B4}"/>
    <hyperlink ref="I139" r:id="rId33" xr:uid="{F2D020DF-9D64-449B-BBC3-592CE14FF825}"/>
    <hyperlink ref="I140" r:id="rId34" xr:uid="{7B9D2781-C180-4AF6-88DB-E06DA2C13B05}"/>
    <hyperlink ref="I258" r:id="rId35" xr:uid="{4AAAB299-1903-4BA7-87B8-FA8B1D7C4846}"/>
    <hyperlink ref="I141" r:id="rId36" xr:uid="{408C69C3-5961-4FA2-9F7B-C005B0A91820}"/>
    <hyperlink ref="I256" r:id="rId37" xr:uid="{035C304C-6E67-424B-B052-3C1FA9B33B90}"/>
    <hyperlink ref="I257" r:id="rId38" xr:uid="{3A157A87-3023-4D39-8F5D-59D0F0A162FB}"/>
  </hyperlinks>
  <pageMargins left="0.70866141732283472" right="0.70866141732283472" top="0.74803149606299213" bottom="0.74803149606299213" header="0.31496062992125984" footer="0.31496062992125984"/>
  <pageSetup paperSize="9" scale="63" orientation="landscape" r:id="rId39"/>
  <headerFooter>
    <oddFooter>&amp;C&amp;D</oddFooter>
  </headerFooter>
  <legacyDrawing r:id="rId4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643F-306C-45C3-B38F-7D0BEBD12292}">
  <dimension ref="A3"/>
  <sheetViews>
    <sheetView showGridLines="0" workbookViewId="0">
      <selection activeCell="B2" sqref="B2:J3"/>
    </sheetView>
  </sheetViews>
  <sheetFormatPr baseColWidth="10" defaultColWidth="11.42578125" defaultRowHeight="15" x14ac:dyDescent="0.25"/>
  <cols>
    <col min="2" max="2" width="20.28515625" customWidth="1"/>
    <col min="3" max="3" width="4.85546875" customWidth="1"/>
    <col min="4" max="4" width="17.85546875" bestFit="1" customWidth="1"/>
    <col min="6" max="6" width="9" bestFit="1" customWidth="1"/>
    <col min="7" max="7" width="10.7109375" bestFit="1" customWidth="1"/>
    <col min="8" max="10" width="17.85546875" bestFit="1" customWidth="1"/>
  </cols>
  <sheetData>
    <row r="3" s="494" customFormat="1" x14ac:dyDescent="0.25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C9EE-7888-5442-933C-D1078AFDF449}">
  <sheetPr codeName="Hoja4"/>
  <dimension ref="A1:M82"/>
  <sheetViews>
    <sheetView zoomScaleNormal="100" zoomScaleSheetLayoutView="100" workbookViewId="0">
      <pane xSplit="1" ySplit="2" topLeftCell="B66" activePane="bottomRight" state="frozen"/>
      <selection pane="topRight" activeCell="B1" sqref="B1"/>
      <selection pane="bottomLeft" activeCell="A3" sqref="A3"/>
      <selection pane="bottomRight" activeCell="G84" sqref="G84"/>
    </sheetView>
  </sheetViews>
  <sheetFormatPr baseColWidth="10" defaultColWidth="9.140625" defaultRowHeight="15" x14ac:dyDescent="0.25"/>
  <cols>
    <col min="1" max="1" width="15" style="115" customWidth="1"/>
    <col min="2" max="2" width="10.7109375" style="115" bestFit="1" customWidth="1"/>
    <col min="3" max="4" width="11.28515625" style="115" bestFit="1" customWidth="1"/>
    <col min="5" max="5" width="11.28515625" style="115" customWidth="1"/>
    <col min="6" max="6" width="11.28515625" style="115" bestFit="1" customWidth="1"/>
    <col min="7" max="8" width="12.7109375" style="116" bestFit="1" customWidth="1"/>
    <col min="9" max="9" width="11.5703125" style="115" bestFit="1" customWidth="1"/>
    <col min="10" max="11" width="10.5703125" style="115" bestFit="1" customWidth="1"/>
    <col min="12" max="12" width="11.28515625" style="115" bestFit="1" customWidth="1"/>
    <col min="13" max="13" width="11" style="336" customWidth="1"/>
    <col min="14" max="16384" width="9.140625" style="115"/>
  </cols>
  <sheetData>
    <row r="1" spans="1:13" ht="32.25" customHeight="1" x14ac:dyDescent="0.25">
      <c r="A1" s="326" t="s">
        <v>628</v>
      </c>
      <c r="B1" s="327"/>
      <c r="C1" s="327"/>
      <c r="D1" s="328"/>
      <c r="E1" s="328"/>
    </row>
    <row r="2" spans="1:13" ht="30" x14ac:dyDescent="0.25">
      <c r="A2" s="320" t="s">
        <v>629</v>
      </c>
      <c r="B2" s="321" t="s">
        <v>630</v>
      </c>
      <c r="C2" s="321" t="s">
        <v>631</v>
      </c>
      <c r="D2" s="321" t="s">
        <v>632</v>
      </c>
      <c r="E2" s="321" t="s">
        <v>633</v>
      </c>
      <c r="F2" s="321" t="s">
        <v>634</v>
      </c>
      <c r="G2" s="329" t="s">
        <v>635</v>
      </c>
      <c r="H2" s="329" t="s">
        <v>636</v>
      </c>
      <c r="I2" s="321" t="s">
        <v>637</v>
      </c>
      <c r="J2" s="321" t="s">
        <v>638</v>
      </c>
      <c r="K2" s="321" t="s">
        <v>639</v>
      </c>
      <c r="L2" s="345" t="s">
        <v>640</v>
      </c>
      <c r="M2" s="344" t="s">
        <v>641</v>
      </c>
    </row>
    <row r="3" spans="1:13" ht="18.75" hidden="1" x14ac:dyDescent="0.3">
      <c r="A3" s="319" t="s">
        <v>184</v>
      </c>
      <c r="B3" s="316">
        <f>+Contenedores!B58</f>
        <v>45217</v>
      </c>
      <c r="C3" s="316">
        <v>45250</v>
      </c>
      <c r="D3" s="316">
        <f>+Contenedores!C59</f>
        <v>45250</v>
      </c>
      <c r="E3" s="316"/>
      <c r="F3" s="316">
        <f>+Contenedores!G59</f>
        <v>45275</v>
      </c>
      <c r="G3" s="200">
        <v>0</v>
      </c>
      <c r="H3" s="332"/>
      <c r="I3" s="317">
        <f>+G3</f>
        <v>0</v>
      </c>
      <c r="J3" s="318">
        <f>+G3</f>
        <v>0</v>
      </c>
      <c r="K3" s="318">
        <f>+G3</f>
        <v>0</v>
      </c>
      <c r="L3" s="337"/>
      <c r="M3" s="338"/>
    </row>
    <row r="4" spans="1:13" ht="18.75" hidden="1" x14ac:dyDescent="0.3">
      <c r="A4" s="319" t="s">
        <v>188</v>
      </c>
      <c r="B4" s="316">
        <f>+Contenedores!B59</f>
        <v>45226</v>
      </c>
      <c r="C4" s="316"/>
      <c r="D4" s="316">
        <f>+Contenedores!C60</f>
        <v>45250</v>
      </c>
      <c r="E4" s="316"/>
      <c r="F4" s="316">
        <f>+Contenedores!G60</f>
        <v>45275</v>
      </c>
      <c r="G4" s="200">
        <v>0</v>
      </c>
      <c r="H4" s="332"/>
      <c r="I4" s="317">
        <f>+I3+G4</f>
        <v>0</v>
      </c>
      <c r="J4" s="318">
        <f t="shared" ref="J4:J7" si="0">+J3+G4</f>
        <v>0</v>
      </c>
      <c r="K4" s="318">
        <f>+K3+G4</f>
        <v>0</v>
      </c>
      <c r="L4" s="337"/>
      <c r="M4" s="338"/>
    </row>
    <row r="5" spans="1:13" ht="18.75" hidden="1" x14ac:dyDescent="0.3">
      <c r="A5" s="319" t="s">
        <v>191</v>
      </c>
      <c r="B5" s="316">
        <f>+Contenedores!B60</f>
        <v>45239</v>
      </c>
      <c r="C5" s="316">
        <v>45274</v>
      </c>
      <c r="D5" s="316">
        <f>+Contenedores!C61</f>
        <v>45276</v>
      </c>
      <c r="E5" s="316">
        <f>+Contenedores!F61</f>
        <v>45282</v>
      </c>
      <c r="F5" s="325">
        <f>+Contenedores!G61</f>
        <v>45314</v>
      </c>
      <c r="G5" s="200"/>
      <c r="H5" s="332">
        <f>+G5</f>
        <v>0</v>
      </c>
      <c r="I5" s="317">
        <f t="shared" ref="I5" si="1">+I4+G5</f>
        <v>0</v>
      </c>
      <c r="J5" s="318">
        <f t="shared" si="0"/>
        <v>0</v>
      </c>
      <c r="K5" s="324">
        <f>+K4+G5</f>
        <v>0</v>
      </c>
      <c r="L5" s="337"/>
      <c r="M5" s="338"/>
    </row>
    <row r="6" spans="1:13" ht="18.75" hidden="1" x14ac:dyDescent="0.3">
      <c r="A6" s="319" t="s">
        <v>193</v>
      </c>
      <c r="B6" s="316">
        <f>+Contenedores!B61</f>
        <v>45257</v>
      </c>
      <c r="C6" s="316"/>
      <c r="D6" s="316">
        <f>+Contenedores!C62</f>
        <v>45293</v>
      </c>
      <c r="E6" s="316">
        <f>+Contenedores!F62</f>
        <v>45297</v>
      </c>
      <c r="F6" s="316">
        <f>+Contenedores!G62</f>
        <v>45318</v>
      </c>
      <c r="G6" s="200">
        <v>0</v>
      </c>
      <c r="H6" s="332">
        <f>+G6</f>
        <v>0</v>
      </c>
      <c r="I6" s="317">
        <f>+G6</f>
        <v>0</v>
      </c>
      <c r="J6" s="318">
        <f>+J5+G6</f>
        <v>0</v>
      </c>
      <c r="K6" s="318"/>
      <c r="L6" s="337"/>
      <c r="M6" s="338"/>
    </row>
    <row r="7" spans="1:13" ht="18.75" hidden="1" x14ac:dyDescent="0.3">
      <c r="A7" s="319" t="s">
        <v>196</v>
      </c>
      <c r="B7" s="316">
        <f>+Contenedores!B62</f>
        <v>45261</v>
      </c>
      <c r="C7" s="316"/>
      <c r="D7" s="323">
        <f>+Contenedores!C63</f>
        <v>45282</v>
      </c>
      <c r="E7" s="316">
        <f>+Contenedores!F63</f>
        <v>45289</v>
      </c>
      <c r="F7" s="316">
        <f>+Contenedores!G63</f>
        <v>45347</v>
      </c>
      <c r="G7" s="200">
        <v>0</v>
      </c>
      <c r="H7" s="332"/>
      <c r="I7" s="317"/>
      <c r="J7" s="322">
        <f t="shared" si="0"/>
        <v>0</v>
      </c>
      <c r="K7" s="318"/>
      <c r="L7" s="337"/>
      <c r="M7" s="338"/>
    </row>
    <row r="8" spans="1:13" ht="18.75" hidden="1" x14ac:dyDescent="0.3">
      <c r="A8" s="319" t="s">
        <v>198</v>
      </c>
      <c r="B8" s="316">
        <f>+Contenedores!B63</f>
        <v>45267</v>
      </c>
      <c r="C8" s="316">
        <v>45308</v>
      </c>
      <c r="D8" s="316"/>
      <c r="E8" s="316">
        <f>+Contenedores!F64</f>
        <v>45314</v>
      </c>
      <c r="F8" s="316">
        <f>+Contenedores!G64</f>
        <v>45344</v>
      </c>
      <c r="G8" s="200">
        <v>0</v>
      </c>
      <c r="H8" s="332">
        <f>+H6+G8</f>
        <v>0</v>
      </c>
      <c r="I8" s="317">
        <f>+I6+G8</f>
        <v>0</v>
      </c>
      <c r="J8" s="318"/>
      <c r="K8" s="176"/>
      <c r="L8" s="337"/>
      <c r="M8" s="338"/>
    </row>
    <row r="9" spans="1:13" ht="18.75" hidden="1" x14ac:dyDescent="0.3">
      <c r="A9" s="319" t="s">
        <v>201</v>
      </c>
      <c r="B9" s="316">
        <f>+Contenedores!B64</f>
        <v>45287</v>
      </c>
      <c r="C9" s="316">
        <v>45308</v>
      </c>
      <c r="D9" s="316"/>
      <c r="E9" s="316">
        <f>+Contenedores!F65</f>
        <v>45314</v>
      </c>
      <c r="F9" s="316">
        <f>+Contenedores!G65</f>
        <v>45344</v>
      </c>
      <c r="G9" s="200">
        <v>0</v>
      </c>
      <c r="H9" s="332">
        <f>+H8+G9</f>
        <v>0</v>
      </c>
      <c r="I9" s="317">
        <f>+I8+G9</f>
        <v>0</v>
      </c>
      <c r="J9" s="318"/>
      <c r="K9" s="176"/>
      <c r="L9" s="337"/>
      <c r="M9" s="338"/>
    </row>
    <row r="10" spans="1:13" ht="18.75" hidden="1" x14ac:dyDescent="0.3">
      <c r="A10" s="319" t="s">
        <v>203</v>
      </c>
      <c r="B10" s="316">
        <f>+Contenedores!B65</f>
        <v>45295</v>
      </c>
      <c r="C10" s="316">
        <v>45320</v>
      </c>
      <c r="D10" s="316"/>
      <c r="E10" s="316">
        <f>+Contenedores!F66</f>
        <v>45324</v>
      </c>
      <c r="F10" s="316">
        <f>+Contenedores!G66</f>
        <v>45346</v>
      </c>
      <c r="G10" s="200">
        <v>0</v>
      </c>
      <c r="H10" s="332">
        <f t="shared" ref="H10:H52" si="2">+H9+G10</f>
        <v>0</v>
      </c>
      <c r="I10" s="317">
        <f t="shared" ref="I10:I11" si="3">+I9+G10</f>
        <v>0</v>
      </c>
      <c r="J10" s="176"/>
      <c r="K10" s="176"/>
      <c r="L10" s="339">
        <f>+Contenedores!N66</f>
        <v>45380</v>
      </c>
      <c r="M10" s="338"/>
    </row>
    <row r="11" spans="1:13" ht="18.75" hidden="1" x14ac:dyDescent="0.3">
      <c r="A11" s="319" t="s">
        <v>206</v>
      </c>
      <c r="B11" s="316">
        <f>+Contenedores!B66</f>
        <v>45300</v>
      </c>
      <c r="C11" s="330">
        <v>45320</v>
      </c>
      <c r="D11" s="316"/>
      <c r="E11" s="316">
        <f>+Contenedores!F67</f>
        <v>45324</v>
      </c>
      <c r="F11" s="316">
        <f>+Contenedores!G67</f>
        <v>45346</v>
      </c>
      <c r="G11" s="200">
        <v>0</v>
      </c>
      <c r="H11" s="332">
        <f t="shared" si="2"/>
        <v>0</v>
      </c>
      <c r="I11" s="317">
        <f t="shared" si="3"/>
        <v>0</v>
      </c>
      <c r="J11" s="176"/>
      <c r="K11" s="176"/>
      <c r="L11" s="330">
        <f>+Contenedores!N67</f>
        <v>45383</v>
      </c>
      <c r="M11" s="340">
        <v>45373</v>
      </c>
    </row>
    <row r="12" spans="1:13" ht="18.75" hidden="1" x14ac:dyDescent="0.3">
      <c r="A12" s="319" t="s">
        <v>209</v>
      </c>
      <c r="B12" s="316">
        <f>+Contenedores!B67</f>
        <v>45300</v>
      </c>
      <c r="C12" s="331">
        <v>45322</v>
      </c>
      <c r="D12" s="176"/>
      <c r="E12" s="316">
        <f>+Contenedores!F68</f>
        <v>45327</v>
      </c>
      <c r="F12" s="316">
        <v>45356</v>
      </c>
      <c r="G12" s="200">
        <v>0</v>
      </c>
      <c r="H12" s="332">
        <f t="shared" si="2"/>
        <v>0</v>
      </c>
      <c r="I12" s="317">
        <f>+I11+G12</f>
        <v>0</v>
      </c>
      <c r="J12" s="176"/>
      <c r="K12" s="176"/>
      <c r="L12" s="330">
        <f>+Contenedores!N68</f>
        <v>45381</v>
      </c>
      <c r="M12" s="340">
        <v>45365</v>
      </c>
    </row>
    <row r="13" spans="1:13" ht="18.75" hidden="1" x14ac:dyDescent="0.3">
      <c r="A13" s="319" t="s">
        <v>211</v>
      </c>
      <c r="B13" s="316">
        <f>+Contenedores!B68</f>
        <v>45307</v>
      </c>
      <c r="C13" s="333">
        <f>+Contenedores!C69</f>
        <v>45344</v>
      </c>
      <c r="D13" s="176"/>
      <c r="E13" s="316">
        <f>+Contenedores!F69</f>
        <v>45350</v>
      </c>
      <c r="F13" s="333">
        <f>+Contenedores!G69</f>
        <v>45384</v>
      </c>
      <c r="G13" s="200"/>
      <c r="H13" s="332">
        <f t="shared" si="2"/>
        <v>0</v>
      </c>
      <c r="I13" s="176"/>
      <c r="J13" s="176"/>
      <c r="K13" s="176"/>
      <c r="L13" s="346">
        <f>+Contenedores!N69</f>
        <v>45404</v>
      </c>
      <c r="M13" s="340">
        <v>45387</v>
      </c>
    </row>
    <row r="14" spans="1:13" ht="18.75" hidden="1" x14ac:dyDescent="0.3">
      <c r="A14" s="319" t="s">
        <v>214</v>
      </c>
      <c r="B14" s="316">
        <f>+Contenedores!B69</f>
        <v>45308</v>
      </c>
      <c r="C14" s="316">
        <f>+Contenedores!C70</f>
        <v>45367</v>
      </c>
      <c r="D14" s="176"/>
      <c r="E14" s="334">
        <f>+Contenedores!F70</f>
        <v>45373</v>
      </c>
      <c r="F14" s="316">
        <f>+Contenedores!G70</f>
        <v>45398</v>
      </c>
      <c r="G14" s="200">
        <v>0</v>
      </c>
      <c r="H14" s="335">
        <f t="shared" si="2"/>
        <v>0</v>
      </c>
      <c r="I14" s="176"/>
      <c r="J14" s="176"/>
      <c r="K14" s="176"/>
      <c r="L14" s="393">
        <f>+Contenedores!N70</f>
        <v>45427</v>
      </c>
      <c r="M14" s="340">
        <v>45414</v>
      </c>
    </row>
    <row r="15" spans="1:13" ht="18.75" hidden="1" x14ac:dyDescent="0.3">
      <c r="A15" s="319" t="s">
        <v>216</v>
      </c>
      <c r="B15" s="316">
        <f>+Contenedores!B70</f>
        <v>45322</v>
      </c>
      <c r="C15" s="316">
        <f>+Contenedores!C71</f>
        <v>45357</v>
      </c>
      <c r="D15" s="176"/>
      <c r="E15" s="334">
        <f>+Contenedores!F71</f>
        <v>45360</v>
      </c>
      <c r="F15" s="316">
        <f>+Contenedores!G71</f>
        <v>45384</v>
      </c>
      <c r="G15" s="200"/>
      <c r="H15" s="332">
        <f t="shared" si="2"/>
        <v>0</v>
      </c>
      <c r="I15" s="176"/>
      <c r="J15" s="176"/>
      <c r="K15" s="176"/>
      <c r="L15" s="393">
        <f>+Contenedores!N71</f>
        <v>45417</v>
      </c>
      <c r="M15" s="340">
        <v>45392</v>
      </c>
    </row>
    <row r="16" spans="1:13" ht="18.75" hidden="1" x14ac:dyDescent="0.3">
      <c r="A16" s="319" t="s">
        <v>219</v>
      </c>
      <c r="B16" s="316">
        <f>+Contenedores!B71</f>
        <v>45336</v>
      </c>
      <c r="C16" s="316">
        <f>+Contenedores!C72</f>
        <v>45365</v>
      </c>
      <c r="D16" s="176"/>
      <c r="E16" s="316">
        <f>+Contenedores!F72</f>
        <v>45373</v>
      </c>
      <c r="F16" s="316">
        <f>+Contenedores!G72</f>
        <v>45398</v>
      </c>
      <c r="G16" s="200"/>
      <c r="H16" s="335">
        <f>+H14+G16</f>
        <v>0</v>
      </c>
      <c r="I16" s="176"/>
      <c r="J16" s="176"/>
      <c r="K16" s="176"/>
      <c r="L16" s="393">
        <f>+Contenedores!N72</f>
        <v>45425</v>
      </c>
      <c r="M16" s="340">
        <v>45397</v>
      </c>
    </row>
    <row r="17" spans="1:13" ht="18.75" hidden="1" x14ac:dyDescent="0.3">
      <c r="A17" s="319" t="s">
        <v>222</v>
      </c>
      <c r="B17" s="316">
        <f>+Contenedores!B72</f>
        <v>45337</v>
      </c>
      <c r="C17" s="316">
        <f>+Contenedores!C73</f>
        <v>45365</v>
      </c>
      <c r="D17" s="176"/>
      <c r="E17" s="316">
        <f>+Contenedores!F73</f>
        <v>45373</v>
      </c>
      <c r="F17" s="316">
        <f>+Contenedores!G73</f>
        <v>45398</v>
      </c>
      <c r="G17" s="200">
        <v>0</v>
      </c>
      <c r="H17" s="335">
        <f t="shared" si="2"/>
        <v>0</v>
      </c>
      <c r="I17" s="342" t="s">
        <v>642</v>
      </c>
      <c r="J17" s="176"/>
      <c r="K17" s="176"/>
      <c r="L17" s="393">
        <f>+Contenedores!N73</f>
        <v>45425</v>
      </c>
      <c r="M17" s="340">
        <v>45412</v>
      </c>
    </row>
    <row r="18" spans="1:13" ht="18.75" hidden="1" x14ac:dyDescent="0.3">
      <c r="A18" s="319" t="s">
        <v>225</v>
      </c>
      <c r="B18" s="316">
        <f>+Contenedores!B73</f>
        <v>45337</v>
      </c>
      <c r="C18" s="316">
        <f>+Contenedores!C74</f>
        <v>45365</v>
      </c>
      <c r="D18" s="176"/>
      <c r="E18" s="316">
        <f>+Contenedores!F74</f>
        <v>45373</v>
      </c>
      <c r="F18" s="316">
        <f>+Contenedores!G74</f>
        <v>45398</v>
      </c>
      <c r="G18" s="394"/>
      <c r="H18" s="335">
        <f t="shared" si="2"/>
        <v>0</v>
      </c>
      <c r="I18" s="176"/>
      <c r="J18" s="176"/>
      <c r="K18" s="176"/>
      <c r="L18" s="393">
        <f>+Contenedores!N74</f>
        <v>45425</v>
      </c>
      <c r="M18" s="340">
        <v>45414</v>
      </c>
    </row>
    <row r="19" spans="1:13" ht="18.75" hidden="1" x14ac:dyDescent="0.3">
      <c r="A19" s="319" t="s">
        <v>228</v>
      </c>
      <c r="B19" s="316">
        <f>+Contenedores!B75</f>
        <v>45362</v>
      </c>
      <c r="C19" s="316">
        <f>+Contenedores!C75</f>
        <v>45379</v>
      </c>
      <c r="D19" s="176"/>
      <c r="E19" s="316">
        <f>+Contenedores!F75</f>
        <v>45385</v>
      </c>
      <c r="F19" s="316">
        <f>+Contenedores!G75</f>
        <v>45415</v>
      </c>
      <c r="G19" s="394">
        <v>0</v>
      </c>
      <c r="H19" s="335">
        <f t="shared" si="2"/>
        <v>0</v>
      </c>
      <c r="I19" s="176"/>
      <c r="J19" s="176"/>
      <c r="K19" s="176"/>
      <c r="L19" s="393">
        <f>+Contenedores!N75</f>
        <v>45439</v>
      </c>
      <c r="M19" s="340">
        <v>45433</v>
      </c>
    </row>
    <row r="20" spans="1:13" ht="18.75" hidden="1" x14ac:dyDescent="0.3">
      <c r="A20" s="319" t="str">
        <f>+Contenedores!I76</f>
        <v>C-363</v>
      </c>
      <c r="B20" s="316">
        <f>+Contenedores!B76</f>
        <v>45373</v>
      </c>
      <c r="C20" s="358">
        <v>45411</v>
      </c>
      <c r="D20" s="176"/>
      <c r="E20" s="316">
        <v>45415</v>
      </c>
      <c r="F20" s="316">
        <v>45436</v>
      </c>
      <c r="G20" s="394">
        <v>0</v>
      </c>
      <c r="H20" s="335">
        <f t="shared" si="2"/>
        <v>0</v>
      </c>
      <c r="I20" s="176"/>
      <c r="J20" s="176"/>
      <c r="K20" s="176"/>
      <c r="L20" s="393">
        <v>45471</v>
      </c>
      <c r="M20" s="340">
        <v>45471</v>
      </c>
    </row>
    <row r="21" spans="1:13" ht="18.75" hidden="1" x14ac:dyDescent="0.3">
      <c r="A21" s="319" t="str">
        <f>+Contenedores!I77</f>
        <v>C-364</v>
      </c>
      <c r="B21" s="316">
        <f>+Contenedores!B77</f>
        <v>45365</v>
      </c>
      <c r="C21" s="316">
        <f>+Contenedores!C77</f>
        <v>45391</v>
      </c>
      <c r="D21" s="176"/>
      <c r="E21" s="316">
        <f>+Contenedores!F77</f>
        <v>45397</v>
      </c>
      <c r="F21" s="316">
        <f>+Contenedores!G77</f>
        <v>45426</v>
      </c>
      <c r="G21" s="394"/>
      <c r="H21" s="335">
        <f t="shared" si="2"/>
        <v>0</v>
      </c>
      <c r="I21" s="176"/>
      <c r="J21" s="176"/>
      <c r="K21" s="176"/>
      <c r="L21" s="393">
        <f>+Contenedores!N77</f>
        <v>45451</v>
      </c>
      <c r="M21" s="340">
        <v>45441</v>
      </c>
    </row>
    <row r="22" spans="1:13" ht="18.75" hidden="1" x14ac:dyDescent="0.3">
      <c r="A22" s="319" t="str">
        <f>+Contenedores!I78</f>
        <v>C-365</v>
      </c>
      <c r="B22" s="316">
        <f>+Contenedores!B78</f>
        <v>45365</v>
      </c>
      <c r="C22" s="316">
        <f>+Contenedores!C78</f>
        <v>45391</v>
      </c>
      <c r="D22" s="176"/>
      <c r="E22" s="316">
        <f>+Contenedores!F78</f>
        <v>45397</v>
      </c>
      <c r="F22" s="316">
        <f>+Contenedores!G78</f>
        <v>45426</v>
      </c>
      <c r="G22" s="394"/>
      <c r="H22" s="335">
        <f t="shared" si="2"/>
        <v>0</v>
      </c>
      <c r="I22" s="176"/>
      <c r="J22" s="176"/>
      <c r="K22" s="176"/>
      <c r="L22" s="393">
        <f>+Contenedores!N78</f>
        <v>45451</v>
      </c>
      <c r="M22" s="340">
        <v>45441</v>
      </c>
    </row>
    <row r="23" spans="1:13" ht="18.75" hidden="1" x14ac:dyDescent="0.3">
      <c r="A23" s="319" t="str">
        <f>+Contenedores!I79</f>
        <v>C-366</v>
      </c>
      <c r="B23" s="316">
        <f>+Contenedores!B79</f>
        <v>45373</v>
      </c>
      <c r="C23" s="358">
        <f>+Contenedores!C79</f>
        <v>45441</v>
      </c>
      <c r="D23" s="176"/>
      <c r="E23" s="316">
        <v>45422</v>
      </c>
      <c r="F23" s="316">
        <f>+Contenedores!G79</f>
        <v>45486</v>
      </c>
      <c r="G23" s="394">
        <v>0</v>
      </c>
      <c r="H23" s="335">
        <f t="shared" si="2"/>
        <v>0</v>
      </c>
      <c r="I23" s="176"/>
      <c r="J23" s="176"/>
      <c r="K23" s="176"/>
      <c r="L23" s="402">
        <v>45501</v>
      </c>
      <c r="M23" s="340">
        <v>45502</v>
      </c>
    </row>
    <row r="24" spans="1:13" ht="18.75" hidden="1" x14ac:dyDescent="0.3">
      <c r="A24" s="319" t="str">
        <f>+Contenedores!I80</f>
        <v>C-367</v>
      </c>
      <c r="B24" s="316">
        <f>+Contenedores!B80</f>
        <v>45385</v>
      </c>
      <c r="C24" s="358">
        <f>+Contenedores!C80</f>
        <v>45418</v>
      </c>
      <c r="D24" s="176"/>
      <c r="E24" s="316">
        <v>45422</v>
      </c>
      <c r="F24" s="316">
        <v>45446</v>
      </c>
      <c r="G24" s="394">
        <v>0</v>
      </c>
      <c r="H24" s="335">
        <f t="shared" si="2"/>
        <v>0</v>
      </c>
      <c r="I24" s="176"/>
      <c r="J24" s="176"/>
      <c r="K24" s="176"/>
      <c r="L24" s="393">
        <v>45478</v>
      </c>
      <c r="M24" s="340">
        <v>45478</v>
      </c>
    </row>
    <row r="25" spans="1:13" ht="18.75" hidden="1" x14ac:dyDescent="0.3">
      <c r="A25" s="319" t="str">
        <f>+Contenedores!I81</f>
        <v>C-368</v>
      </c>
      <c r="B25" s="316">
        <f>+Contenedores!B81</f>
        <v>45394</v>
      </c>
      <c r="C25" s="358">
        <v>45420</v>
      </c>
      <c r="D25" s="176"/>
      <c r="E25" s="316">
        <v>45422</v>
      </c>
      <c r="F25" s="316">
        <v>45444</v>
      </c>
      <c r="G25" s="395">
        <v>0</v>
      </c>
      <c r="H25" s="335">
        <f t="shared" si="2"/>
        <v>0</v>
      </c>
      <c r="I25" s="176"/>
      <c r="J25" s="176"/>
      <c r="K25" s="176"/>
      <c r="L25" s="393">
        <v>45480</v>
      </c>
      <c r="M25" s="340">
        <v>45481</v>
      </c>
    </row>
    <row r="26" spans="1:13" ht="18.75" hidden="1" x14ac:dyDescent="0.3">
      <c r="A26" s="319" t="str">
        <f>+Contenedores!I82</f>
        <v>C-369</v>
      </c>
      <c r="B26" s="316">
        <f>+Contenedores!B82</f>
        <v>45394</v>
      </c>
      <c r="C26" s="358">
        <v>45417</v>
      </c>
      <c r="D26" s="176"/>
      <c r="E26" s="316">
        <v>45423</v>
      </c>
      <c r="F26" s="316">
        <v>45453</v>
      </c>
      <c r="G26" s="394">
        <v>0</v>
      </c>
      <c r="H26" s="335">
        <f t="shared" si="2"/>
        <v>0</v>
      </c>
      <c r="I26" s="176"/>
      <c r="J26" s="176"/>
      <c r="K26" s="176"/>
      <c r="L26" s="393">
        <v>45478</v>
      </c>
      <c r="M26" s="340">
        <v>45478</v>
      </c>
    </row>
    <row r="27" spans="1:13" ht="18.75" hidden="1" x14ac:dyDescent="0.3">
      <c r="A27" s="403" t="str">
        <f>+Contenedores!I83</f>
        <v>C-370</v>
      </c>
      <c r="B27" s="316">
        <f>+Contenedores!B83</f>
        <v>45401</v>
      </c>
      <c r="C27" s="358">
        <v>45429</v>
      </c>
      <c r="D27" s="176"/>
      <c r="E27" s="316">
        <v>45437</v>
      </c>
      <c r="F27" s="316">
        <v>45457</v>
      </c>
      <c r="G27" s="395">
        <v>0</v>
      </c>
      <c r="H27" s="335">
        <f t="shared" si="2"/>
        <v>0</v>
      </c>
      <c r="I27" s="176"/>
      <c r="J27" s="176"/>
      <c r="K27" s="176"/>
      <c r="L27" s="393">
        <v>45490</v>
      </c>
      <c r="M27" s="340">
        <v>45489</v>
      </c>
    </row>
    <row r="28" spans="1:13" ht="18.75" hidden="1" x14ac:dyDescent="0.3">
      <c r="A28" s="403" t="str">
        <f>+Contenedores!I84</f>
        <v>C-371</v>
      </c>
      <c r="B28" s="316">
        <f>+Contenedores!B84</f>
        <v>45405</v>
      </c>
      <c r="C28" s="358">
        <v>45429</v>
      </c>
      <c r="D28" s="176"/>
      <c r="E28" s="316">
        <v>45437</v>
      </c>
      <c r="F28" s="316">
        <v>45457</v>
      </c>
      <c r="G28" s="394">
        <v>0</v>
      </c>
      <c r="H28" s="335">
        <f t="shared" si="2"/>
        <v>0</v>
      </c>
      <c r="I28" s="176"/>
      <c r="J28" s="176"/>
      <c r="K28" s="176"/>
      <c r="L28" s="393">
        <v>45489</v>
      </c>
      <c r="M28" s="340">
        <v>45489</v>
      </c>
    </row>
    <row r="29" spans="1:13" ht="18.75" hidden="1" x14ac:dyDescent="0.3">
      <c r="A29" s="403" t="str">
        <f>+Contenedores!I85</f>
        <v>C-372</v>
      </c>
      <c r="B29" s="316">
        <v>45414</v>
      </c>
      <c r="C29" s="358">
        <v>45430</v>
      </c>
      <c r="D29" s="176"/>
      <c r="E29" s="316">
        <v>45437</v>
      </c>
      <c r="F29" s="316">
        <v>45457</v>
      </c>
      <c r="G29" s="394">
        <v>0</v>
      </c>
      <c r="H29" s="335">
        <f t="shared" si="2"/>
        <v>0</v>
      </c>
      <c r="I29" s="176"/>
      <c r="J29" s="176"/>
      <c r="K29" s="176"/>
      <c r="L29" s="393">
        <v>45490</v>
      </c>
      <c r="M29" s="340">
        <v>45489</v>
      </c>
    </row>
    <row r="30" spans="1:13" ht="18.75" hidden="1" x14ac:dyDescent="0.3">
      <c r="A30" s="403" t="str">
        <f>+Contenedores!I86</f>
        <v>C-373</v>
      </c>
      <c r="B30" s="316">
        <v>45428</v>
      </c>
      <c r="C30" s="316">
        <v>45450</v>
      </c>
      <c r="D30" s="176"/>
      <c r="E30" s="316">
        <v>45457</v>
      </c>
      <c r="F30" s="316">
        <v>45499</v>
      </c>
      <c r="G30" s="395">
        <v>0</v>
      </c>
      <c r="H30" s="335">
        <f t="shared" si="2"/>
        <v>0</v>
      </c>
      <c r="I30" s="176"/>
      <c r="J30" s="176"/>
      <c r="K30" s="176"/>
      <c r="L30" s="393">
        <v>45510</v>
      </c>
      <c r="M30" s="340">
        <v>45531</v>
      </c>
    </row>
    <row r="31" spans="1:13" ht="18.75" hidden="1" x14ac:dyDescent="0.3">
      <c r="A31" s="403" t="str">
        <f>+Contenedores!I87</f>
        <v>C-374</v>
      </c>
      <c r="B31" s="316">
        <v>45428</v>
      </c>
      <c r="C31" s="316">
        <v>45450</v>
      </c>
      <c r="D31" s="176"/>
      <c r="E31" s="316">
        <v>45457</v>
      </c>
      <c r="F31" s="316">
        <v>45481</v>
      </c>
      <c r="G31" s="395">
        <v>0</v>
      </c>
      <c r="H31" s="335">
        <f t="shared" si="2"/>
        <v>0</v>
      </c>
      <c r="I31" s="176"/>
      <c r="J31" s="176"/>
      <c r="K31" s="176"/>
      <c r="L31" s="393">
        <v>45510</v>
      </c>
      <c r="M31" s="340">
        <v>45510</v>
      </c>
    </row>
    <row r="32" spans="1:13" ht="18.75" hidden="1" x14ac:dyDescent="0.3">
      <c r="A32" s="403" t="str">
        <f>+Contenedores!I88</f>
        <v>C-375</v>
      </c>
      <c r="B32" s="316">
        <v>45435</v>
      </c>
      <c r="C32" s="316">
        <v>45449</v>
      </c>
      <c r="D32" s="176"/>
      <c r="E32" s="316">
        <v>45457</v>
      </c>
      <c r="F32" s="316">
        <v>45481</v>
      </c>
      <c r="G32" s="395">
        <v>0</v>
      </c>
      <c r="H32" s="335">
        <f t="shared" si="2"/>
        <v>0</v>
      </c>
      <c r="I32" s="176"/>
      <c r="J32" s="176"/>
      <c r="K32" s="176"/>
      <c r="L32" s="393">
        <v>45509</v>
      </c>
      <c r="M32" s="340">
        <v>45511</v>
      </c>
    </row>
    <row r="33" spans="1:13" ht="18.75" hidden="1" x14ac:dyDescent="0.3">
      <c r="A33" s="403" t="s">
        <v>643</v>
      </c>
      <c r="B33" s="415">
        <v>45448</v>
      </c>
      <c r="C33" s="316">
        <v>45474</v>
      </c>
      <c r="D33" s="176"/>
      <c r="E33" s="316">
        <v>45478</v>
      </c>
      <c r="F33" s="316">
        <v>45499</v>
      </c>
      <c r="G33" s="394">
        <v>0</v>
      </c>
      <c r="H33" s="335">
        <f t="shared" si="2"/>
        <v>0</v>
      </c>
      <c r="I33" s="176"/>
      <c r="J33" s="176"/>
      <c r="K33" s="176"/>
      <c r="L33" s="393">
        <v>45534</v>
      </c>
      <c r="M33" s="340">
        <v>45531</v>
      </c>
    </row>
    <row r="34" spans="1:13" ht="18.75" hidden="1" x14ac:dyDescent="0.3">
      <c r="A34" s="403" t="s">
        <v>260</v>
      </c>
      <c r="B34" s="316">
        <v>45479</v>
      </c>
      <c r="C34" s="316">
        <v>45497</v>
      </c>
      <c r="D34" s="176"/>
      <c r="E34" s="316">
        <v>45502</v>
      </c>
      <c r="F34" s="316">
        <v>45522</v>
      </c>
      <c r="G34" s="394">
        <v>0</v>
      </c>
      <c r="H34" s="335">
        <f t="shared" si="2"/>
        <v>0</v>
      </c>
      <c r="I34" s="176"/>
      <c r="J34" s="176"/>
      <c r="K34" s="176"/>
      <c r="L34" s="393">
        <v>45557</v>
      </c>
      <c r="M34" s="340">
        <v>45559</v>
      </c>
    </row>
    <row r="35" spans="1:13" ht="18.75" hidden="1" x14ac:dyDescent="0.3">
      <c r="A35" s="403" t="s">
        <v>262</v>
      </c>
      <c r="B35" s="316">
        <v>45527</v>
      </c>
      <c r="C35" s="316">
        <v>45540</v>
      </c>
      <c r="D35" s="176"/>
      <c r="E35" s="316">
        <v>45543</v>
      </c>
      <c r="F35" s="316">
        <v>45563</v>
      </c>
      <c r="G35" s="394">
        <v>0</v>
      </c>
      <c r="H35" s="335">
        <f t="shared" si="2"/>
        <v>0</v>
      </c>
      <c r="I35" s="176"/>
      <c r="J35" s="176"/>
      <c r="K35" s="176"/>
      <c r="L35" s="393">
        <v>45599</v>
      </c>
      <c r="M35" s="340">
        <v>45600</v>
      </c>
    </row>
    <row r="36" spans="1:13" ht="18.75" hidden="1" x14ac:dyDescent="0.3">
      <c r="A36" s="403" t="s">
        <v>264</v>
      </c>
      <c r="B36" s="400">
        <v>45539</v>
      </c>
      <c r="C36" s="400">
        <v>45560</v>
      </c>
      <c r="D36" s="399"/>
      <c r="E36" s="400">
        <v>45566</v>
      </c>
      <c r="F36" s="400">
        <v>45585</v>
      </c>
      <c r="G36" s="404">
        <v>0</v>
      </c>
      <c r="H36" s="335">
        <f t="shared" si="2"/>
        <v>0</v>
      </c>
      <c r="I36" s="176"/>
      <c r="J36" s="176"/>
      <c r="K36" s="176"/>
      <c r="L36" s="393">
        <v>45620</v>
      </c>
      <c r="M36" s="340">
        <v>45621</v>
      </c>
    </row>
    <row r="37" spans="1:13" ht="18.75" hidden="1" x14ac:dyDescent="0.3">
      <c r="A37" s="403" t="s">
        <v>266</v>
      </c>
      <c r="B37" s="400">
        <v>45544</v>
      </c>
      <c r="C37" s="400">
        <v>45560</v>
      </c>
      <c r="D37" s="399"/>
      <c r="E37" s="400">
        <v>45567</v>
      </c>
      <c r="F37" s="400">
        <v>45593</v>
      </c>
      <c r="G37" s="404">
        <v>0</v>
      </c>
      <c r="H37" s="335">
        <f t="shared" si="2"/>
        <v>0</v>
      </c>
      <c r="I37" s="176"/>
      <c r="J37" s="176"/>
      <c r="K37" s="176"/>
      <c r="L37" s="393">
        <v>45620</v>
      </c>
      <c r="M37" s="340">
        <v>45621</v>
      </c>
    </row>
    <row r="38" spans="1:13" ht="18.75" x14ac:dyDescent="0.3">
      <c r="A38" s="357" t="s">
        <v>269</v>
      </c>
      <c r="B38" s="400">
        <v>45565</v>
      </c>
      <c r="C38" s="400">
        <v>45581</v>
      </c>
      <c r="D38" s="399"/>
      <c r="E38" s="400">
        <v>45587</v>
      </c>
      <c r="F38" s="400">
        <v>45607</v>
      </c>
      <c r="G38" s="404"/>
      <c r="H38" s="335">
        <f t="shared" si="2"/>
        <v>0</v>
      </c>
      <c r="I38" s="176"/>
      <c r="J38" s="176"/>
      <c r="K38" s="176"/>
      <c r="L38" s="316">
        <v>45641</v>
      </c>
    </row>
    <row r="39" spans="1:13" ht="18.75" x14ac:dyDescent="0.3">
      <c r="A39" s="357" t="s">
        <v>271</v>
      </c>
      <c r="B39" s="400">
        <v>45569</v>
      </c>
      <c r="C39" s="400">
        <v>45587</v>
      </c>
      <c r="D39" s="399"/>
      <c r="E39" s="400">
        <v>45592</v>
      </c>
      <c r="F39" s="400">
        <v>45615</v>
      </c>
      <c r="G39" s="404"/>
      <c r="H39" s="335">
        <f t="shared" si="2"/>
        <v>0</v>
      </c>
      <c r="I39" s="176"/>
      <c r="J39" s="176"/>
      <c r="K39" s="176"/>
      <c r="L39" s="316">
        <v>45647</v>
      </c>
      <c r="M39" s="341"/>
    </row>
    <row r="40" spans="1:13" ht="18.75" x14ac:dyDescent="0.3">
      <c r="A40" s="357" t="s">
        <v>273</v>
      </c>
      <c r="B40" s="400">
        <v>45581</v>
      </c>
      <c r="C40" s="400">
        <v>45595</v>
      </c>
      <c r="D40" s="399"/>
      <c r="E40" s="400">
        <v>45599</v>
      </c>
      <c r="F40" s="400">
        <v>45620</v>
      </c>
      <c r="G40" s="404"/>
      <c r="H40" s="335">
        <f t="shared" si="2"/>
        <v>0</v>
      </c>
      <c r="I40" s="176"/>
      <c r="J40" s="176"/>
      <c r="K40" s="176"/>
      <c r="L40" s="316">
        <v>45655</v>
      </c>
      <c r="M40" s="341"/>
    </row>
    <row r="41" spans="1:13" ht="18.75" x14ac:dyDescent="0.3">
      <c r="A41" s="357" t="s">
        <v>275</v>
      </c>
      <c r="B41" s="416">
        <v>45597</v>
      </c>
      <c r="C41" s="416">
        <v>45616</v>
      </c>
      <c r="D41" s="417"/>
      <c r="E41" s="416">
        <v>45621</v>
      </c>
      <c r="F41" s="416">
        <v>45650</v>
      </c>
      <c r="G41" s="418"/>
      <c r="H41" s="335">
        <f t="shared" si="2"/>
        <v>0</v>
      </c>
      <c r="I41" s="176"/>
      <c r="J41" s="176"/>
      <c r="K41" s="176"/>
      <c r="L41" s="316">
        <v>45676</v>
      </c>
      <c r="M41" s="341"/>
    </row>
    <row r="42" spans="1:13" ht="18.75" x14ac:dyDescent="0.3">
      <c r="A42" s="357" t="s">
        <v>278</v>
      </c>
      <c r="B42" s="416">
        <v>45597</v>
      </c>
      <c r="C42" s="416">
        <v>45614</v>
      </c>
      <c r="D42" s="417"/>
      <c r="E42" s="416">
        <v>45621</v>
      </c>
      <c r="F42" s="416">
        <v>45650</v>
      </c>
      <c r="G42" s="418"/>
      <c r="H42" s="335">
        <f t="shared" si="2"/>
        <v>0</v>
      </c>
      <c r="I42" s="176"/>
      <c r="J42" s="176"/>
      <c r="K42" s="176"/>
      <c r="L42" s="316">
        <v>45674</v>
      </c>
      <c r="M42" s="341"/>
    </row>
    <row r="43" spans="1:13" ht="18.75" x14ac:dyDescent="0.3">
      <c r="A43" s="357" t="s">
        <v>280</v>
      </c>
      <c r="B43" s="416">
        <v>45597</v>
      </c>
      <c r="C43" s="416">
        <v>45615</v>
      </c>
      <c r="D43" s="417"/>
      <c r="E43" s="416">
        <v>45621</v>
      </c>
      <c r="F43" s="416">
        <v>45650</v>
      </c>
      <c r="G43" s="418"/>
      <c r="H43" s="335">
        <f t="shared" si="2"/>
        <v>0</v>
      </c>
      <c r="I43" s="176"/>
      <c r="J43" s="176"/>
      <c r="K43" s="176"/>
      <c r="L43" s="316">
        <v>45675</v>
      </c>
      <c r="M43" s="341"/>
    </row>
    <row r="44" spans="1:13" ht="18.75" x14ac:dyDescent="0.3">
      <c r="A44" s="357" t="s">
        <v>282</v>
      </c>
      <c r="B44" s="416">
        <v>45617</v>
      </c>
      <c r="C44" s="416">
        <v>45622</v>
      </c>
      <c r="D44" s="417"/>
      <c r="E44" s="416">
        <v>45627</v>
      </c>
      <c r="F44" s="416">
        <v>45650</v>
      </c>
      <c r="G44" s="418"/>
      <c r="H44" s="335">
        <f t="shared" si="2"/>
        <v>0</v>
      </c>
      <c r="I44" s="176"/>
      <c r="J44" s="176"/>
      <c r="K44" s="176"/>
      <c r="L44" s="316">
        <v>45682</v>
      </c>
      <c r="M44" s="341"/>
    </row>
    <row r="45" spans="1:13" ht="18.75" x14ac:dyDescent="0.3">
      <c r="A45" s="357" t="s">
        <v>284</v>
      </c>
      <c r="B45" s="400">
        <f>+Contenedores!B101</f>
        <v>45618</v>
      </c>
      <c r="C45" s="400">
        <f>+Contenedores!C101</f>
        <v>45638</v>
      </c>
      <c r="D45" s="399"/>
      <c r="E45" s="400">
        <f>+Contenedores!F101</f>
        <v>45642</v>
      </c>
      <c r="F45" s="400">
        <f>+Contenedores!G101</f>
        <v>45664</v>
      </c>
      <c r="G45" s="404"/>
      <c r="H45" s="335">
        <f t="shared" si="2"/>
        <v>0</v>
      </c>
      <c r="I45" s="176"/>
      <c r="J45" s="176"/>
      <c r="K45" s="176"/>
      <c r="L45" s="316">
        <v>45932</v>
      </c>
      <c r="M45" s="341"/>
    </row>
    <row r="46" spans="1:13" ht="18.75" x14ac:dyDescent="0.3">
      <c r="A46" s="357" t="s">
        <v>286</v>
      </c>
      <c r="B46" s="400">
        <f>+Contenedores!B102</f>
        <v>45644</v>
      </c>
      <c r="C46" s="400">
        <f>+Contenedores!C102</f>
        <v>45671</v>
      </c>
      <c r="D46" s="399"/>
      <c r="E46" s="400">
        <f>+Contenedores!F102</f>
        <v>45679</v>
      </c>
      <c r="F46" s="400">
        <f>+Contenedores!G102</f>
        <v>45705</v>
      </c>
      <c r="G46" s="404"/>
      <c r="H46" s="335">
        <f t="shared" si="2"/>
        <v>0</v>
      </c>
      <c r="I46" s="176"/>
      <c r="J46" s="176"/>
      <c r="K46" s="176"/>
      <c r="L46" s="316">
        <f>+Contenedores!N102</f>
        <v>45731</v>
      </c>
      <c r="M46" s="341"/>
    </row>
    <row r="47" spans="1:13" ht="18.75" x14ac:dyDescent="0.3">
      <c r="A47" s="357" t="s">
        <v>288</v>
      </c>
      <c r="B47" s="400">
        <f>+Contenedores!B103</f>
        <v>46018</v>
      </c>
      <c r="C47" s="400">
        <f>+Contenedores!C103</f>
        <v>45691</v>
      </c>
      <c r="D47" s="399"/>
      <c r="E47" s="400">
        <f>+Contenedores!F103</f>
        <v>45684</v>
      </c>
      <c r="F47" s="400">
        <f>+Contenedores!G103</f>
        <v>45720</v>
      </c>
      <c r="G47" s="404"/>
      <c r="H47" s="335">
        <f t="shared" si="2"/>
        <v>0</v>
      </c>
      <c r="I47" s="176"/>
      <c r="J47" s="176"/>
      <c r="K47" s="176"/>
      <c r="L47" s="485">
        <f>+Contenedores!N103</f>
        <v>45751</v>
      </c>
      <c r="M47" s="341"/>
    </row>
    <row r="48" spans="1:13" ht="18.75" x14ac:dyDescent="0.3">
      <c r="A48" s="357" t="s">
        <v>290</v>
      </c>
      <c r="B48" s="400">
        <f>+Contenedores!B104</f>
        <v>45665</v>
      </c>
      <c r="C48" s="400">
        <f>+Contenedores!C104</f>
        <v>45694</v>
      </c>
      <c r="D48" s="399"/>
      <c r="E48" s="400">
        <f>+Contenedores!F104</f>
        <v>45700</v>
      </c>
      <c r="F48" s="400">
        <f>+Contenedores!G104</f>
        <v>45727</v>
      </c>
      <c r="G48" s="404"/>
      <c r="H48" s="335">
        <f t="shared" si="2"/>
        <v>0</v>
      </c>
      <c r="I48" s="176"/>
      <c r="J48" s="176"/>
      <c r="K48" s="176"/>
      <c r="L48" s="485">
        <f>+Contenedores!N104</f>
        <v>45754</v>
      </c>
      <c r="M48" s="341"/>
    </row>
    <row r="49" spans="1:13" ht="18.75" x14ac:dyDescent="0.3">
      <c r="A49" s="357" t="s">
        <v>292</v>
      </c>
      <c r="B49" s="400">
        <f>+Contenedores!B105</f>
        <v>45671</v>
      </c>
      <c r="C49" s="400">
        <f>+Contenedores!C105</f>
        <v>45695</v>
      </c>
      <c r="D49" s="399"/>
      <c r="E49" s="400">
        <f>+Contenedores!F105</f>
        <v>45698</v>
      </c>
      <c r="F49" s="400">
        <f>+Contenedores!G105</f>
        <v>45800</v>
      </c>
      <c r="G49" s="404"/>
      <c r="H49" s="335">
        <f t="shared" si="2"/>
        <v>0</v>
      </c>
      <c r="I49" s="176"/>
      <c r="J49" s="176"/>
      <c r="K49" s="176"/>
      <c r="L49" s="485">
        <f>+Contenedores!N105</f>
        <v>45755</v>
      </c>
      <c r="M49" s="341"/>
    </row>
    <row r="50" spans="1:13" ht="18.75" x14ac:dyDescent="0.3">
      <c r="A50" s="357" t="s">
        <v>294</v>
      </c>
      <c r="B50" s="400">
        <f>+Contenedores!B106</f>
        <v>45671</v>
      </c>
      <c r="C50" s="400">
        <f>+Contenedores!C106</f>
        <v>45695</v>
      </c>
      <c r="D50" s="399"/>
      <c r="E50" s="400">
        <f>+Contenedores!F106</f>
        <v>45698</v>
      </c>
      <c r="F50" s="400">
        <f>+Contenedores!G106</f>
        <v>45800</v>
      </c>
      <c r="G50" s="404"/>
      <c r="H50" s="335">
        <f t="shared" si="2"/>
        <v>0</v>
      </c>
      <c r="I50" s="176"/>
      <c r="J50" s="176"/>
      <c r="K50" s="176"/>
      <c r="L50" s="485">
        <f>+Contenedores!N106</f>
        <v>45755</v>
      </c>
      <c r="M50" s="341"/>
    </row>
    <row r="51" spans="1:13" ht="18.75" x14ac:dyDescent="0.3">
      <c r="A51" s="357" t="s">
        <v>297</v>
      </c>
      <c r="B51" s="400">
        <f>+Contenedores!B107</f>
        <v>45678</v>
      </c>
      <c r="C51" s="400">
        <f>+Contenedores!C107</f>
        <v>45715</v>
      </c>
      <c r="D51" s="399"/>
      <c r="E51" s="400">
        <f>+Contenedores!F107</f>
        <v>45721</v>
      </c>
      <c r="F51" s="400">
        <f>+Contenedores!G107</f>
        <v>45743</v>
      </c>
      <c r="G51" s="404"/>
      <c r="H51" s="335">
        <f t="shared" si="2"/>
        <v>0</v>
      </c>
      <c r="I51" s="176"/>
      <c r="J51" s="176"/>
      <c r="K51" s="176"/>
      <c r="L51" s="485">
        <f>+Contenedores!N107</f>
        <v>45775</v>
      </c>
      <c r="M51" s="341"/>
    </row>
    <row r="52" spans="1:13" ht="18.75" x14ac:dyDescent="0.3">
      <c r="A52" s="357" t="s">
        <v>299</v>
      </c>
      <c r="B52" s="400">
        <f>+Contenedores!B108</f>
        <v>45679</v>
      </c>
      <c r="C52" s="400">
        <f>+Contenedores!C108</f>
        <v>45715</v>
      </c>
      <c r="D52" s="399"/>
      <c r="E52" s="400">
        <f>+Contenedores!F108</f>
        <v>45722</v>
      </c>
      <c r="F52" s="400">
        <f>+Contenedores!G108</f>
        <v>45743</v>
      </c>
      <c r="G52" s="404"/>
      <c r="H52" s="335">
        <f t="shared" si="2"/>
        <v>0</v>
      </c>
      <c r="I52" s="176"/>
      <c r="J52" s="176"/>
      <c r="K52" s="176"/>
      <c r="L52" s="485">
        <f>+Contenedores!N108</f>
        <v>45775</v>
      </c>
      <c r="M52" s="341"/>
    </row>
    <row r="53" spans="1:13" ht="18.75" x14ac:dyDescent="0.3">
      <c r="A53" s="357" t="s">
        <v>301</v>
      </c>
      <c r="B53" s="400">
        <f>+Contenedores!B109</f>
        <v>45687</v>
      </c>
      <c r="C53" s="400">
        <f>+Contenedores!C109</f>
        <v>45723</v>
      </c>
      <c r="D53" s="399"/>
      <c r="E53" s="400">
        <f>+Contenedores!F109</f>
        <v>45728</v>
      </c>
      <c r="F53" s="400">
        <f>+Contenedores!G109</f>
        <v>45751</v>
      </c>
      <c r="G53" s="404"/>
      <c r="H53" s="335">
        <f t="shared" ref="H53" si="4">+H52+G53</f>
        <v>0</v>
      </c>
      <c r="I53" s="176"/>
      <c r="J53" s="176"/>
      <c r="K53" s="176"/>
      <c r="L53" s="316">
        <f>+Contenedores!N109</f>
        <v>45809</v>
      </c>
      <c r="M53" s="341"/>
    </row>
    <row r="54" spans="1:13" ht="18.75" x14ac:dyDescent="0.3">
      <c r="A54" s="357" t="s">
        <v>303</v>
      </c>
      <c r="B54" s="400">
        <f>+Contenedores!B110</f>
        <v>45700</v>
      </c>
      <c r="C54" s="400">
        <f>+Contenedores!C110</f>
        <v>45715</v>
      </c>
      <c r="D54" s="399"/>
      <c r="E54" s="400">
        <f>+Contenedores!F110</f>
        <v>45721</v>
      </c>
      <c r="F54" s="400">
        <f>+Contenedores!G110</f>
        <v>45743</v>
      </c>
      <c r="G54" s="404"/>
      <c r="H54" s="335">
        <f t="shared" ref="H54:H58" si="5">+H53+G54</f>
        <v>0</v>
      </c>
      <c r="I54" s="176"/>
      <c r="J54" s="176"/>
      <c r="K54" s="176"/>
      <c r="L54" s="316">
        <f>+Contenedores!N110</f>
        <v>45809</v>
      </c>
      <c r="M54" s="341"/>
    </row>
    <row r="55" spans="1:13" ht="18.75" x14ac:dyDescent="0.3">
      <c r="A55" s="357" t="s">
        <v>305</v>
      </c>
      <c r="B55" s="400">
        <f>+Contenedores!B111</f>
        <v>45700</v>
      </c>
      <c r="C55" s="400">
        <f>+Contenedores!C111</f>
        <v>45737</v>
      </c>
      <c r="D55" s="399"/>
      <c r="E55" s="400">
        <f>+Contenedores!F111</f>
        <v>45742</v>
      </c>
      <c r="F55" s="400">
        <f>+Contenedores!G111</f>
        <v>45778</v>
      </c>
      <c r="G55" s="404"/>
      <c r="H55" s="335">
        <f t="shared" si="5"/>
        <v>0</v>
      </c>
      <c r="I55" s="176"/>
      <c r="J55" s="176"/>
      <c r="K55" s="176"/>
      <c r="L55" s="316">
        <f>+Contenedores!N111</f>
        <v>45797</v>
      </c>
      <c r="M55" s="341"/>
    </row>
    <row r="56" spans="1:13" ht="18.75" x14ac:dyDescent="0.3">
      <c r="A56" s="357" t="s">
        <v>307</v>
      </c>
      <c r="B56" s="400">
        <f>+Contenedores!B112</f>
        <v>45700</v>
      </c>
      <c r="C56" s="400">
        <f>+Contenedores!C112</f>
        <v>45742</v>
      </c>
      <c r="D56" s="399"/>
      <c r="E56" s="400">
        <f>+Contenedores!F112</f>
        <v>45749</v>
      </c>
      <c r="F56" s="400">
        <f>+Contenedores!G112</f>
        <v>45771</v>
      </c>
      <c r="G56" s="404"/>
      <c r="H56" s="335">
        <f t="shared" si="5"/>
        <v>0</v>
      </c>
      <c r="I56" s="176"/>
      <c r="J56" s="176"/>
      <c r="K56" s="176"/>
      <c r="L56" s="316">
        <f>+Contenedores!N112</f>
        <v>45802</v>
      </c>
      <c r="M56" s="341"/>
    </row>
    <row r="57" spans="1:13" ht="18.75" x14ac:dyDescent="0.3">
      <c r="A57" s="357" t="s">
        <v>309</v>
      </c>
      <c r="B57" s="400">
        <f>+Contenedores!B113</f>
        <v>45740</v>
      </c>
      <c r="C57" s="400">
        <f>+Contenedores!C113</f>
        <v>45758</v>
      </c>
      <c r="D57" s="399"/>
      <c r="E57" s="400">
        <f>+Contenedores!F113</f>
        <v>45763</v>
      </c>
      <c r="F57" s="400">
        <f>+Contenedores!G113</f>
        <v>45785</v>
      </c>
      <c r="G57" s="404"/>
      <c r="H57" s="335">
        <f t="shared" si="5"/>
        <v>0</v>
      </c>
      <c r="I57" s="176"/>
      <c r="J57" s="176"/>
      <c r="K57" s="176"/>
      <c r="L57" s="316">
        <f>+Contenedores!N113</f>
        <v>45818</v>
      </c>
      <c r="M57" s="341"/>
    </row>
    <row r="58" spans="1:13" ht="18.75" x14ac:dyDescent="0.3">
      <c r="A58" s="357" t="s">
        <v>311</v>
      </c>
      <c r="B58" s="400">
        <f>+Contenedores!B114</f>
        <v>45740</v>
      </c>
      <c r="C58" s="400">
        <f>+Contenedores!C114</f>
        <v>45776</v>
      </c>
      <c r="D58" s="399"/>
      <c r="E58" s="400">
        <f>+Contenedores!F114</f>
        <v>45784</v>
      </c>
      <c r="F58" s="400">
        <f>+Contenedores!G114</f>
        <v>45806</v>
      </c>
      <c r="G58" s="404"/>
      <c r="H58" s="335">
        <f t="shared" si="5"/>
        <v>0</v>
      </c>
      <c r="I58" s="176"/>
      <c r="J58" s="176"/>
      <c r="K58" s="176"/>
      <c r="L58" s="316">
        <f>+Contenedores!N114</f>
        <v>45836</v>
      </c>
      <c r="M58" s="341"/>
    </row>
    <row r="59" spans="1:13" ht="18.75" x14ac:dyDescent="0.3">
      <c r="A59" s="357" t="s">
        <v>313</v>
      </c>
      <c r="B59" s="400">
        <f>+Contenedores!B115</f>
        <v>45751</v>
      </c>
      <c r="C59" s="400">
        <f>+Contenedores!C115</f>
        <v>45776</v>
      </c>
      <c r="D59" s="399"/>
      <c r="E59" s="400">
        <f>+Contenedores!F115</f>
        <v>45784</v>
      </c>
      <c r="F59" s="400">
        <f>+Contenedores!G115</f>
        <v>45806</v>
      </c>
      <c r="G59" s="404"/>
      <c r="H59" s="335">
        <f t="shared" ref="H59:H63" si="6">+H58+G59</f>
        <v>0</v>
      </c>
      <c r="I59" s="176"/>
      <c r="J59" s="176"/>
      <c r="K59" s="176"/>
      <c r="L59" s="316">
        <f>+Contenedores!N115</f>
        <v>45836</v>
      </c>
      <c r="M59" s="341"/>
    </row>
    <row r="60" spans="1:13" ht="18.75" x14ac:dyDescent="0.3">
      <c r="A60" s="357" t="s">
        <v>41</v>
      </c>
      <c r="B60" s="400">
        <f>+Contenedores!B116</f>
        <v>45755</v>
      </c>
      <c r="C60" s="400">
        <f>+Contenedores!C116</f>
        <v>45783</v>
      </c>
      <c r="D60" s="399"/>
      <c r="E60" s="400">
        <f>+Contenedores!F116</f>
        <v>45791</v>
      </c>
      <c r="F60" s="400">
        <f>+Contenedores!G116</f>
        <v>45814</v>
      </c>
      <c r="G60" s="404"/>
      <c r="H60" s="335">
        <f t="shared" si="6"/>
        <v>0</v>
      </c>
      <c r="I60" s="176"/>
      <c r="J60" s="176"/>
      <c r="K60" s="176"/>
      <c r="L60" s="316">
        <f>+Contenedores!N116</f>
        <v>45843</v>
      </c>
      <c r="M60" s="341"/>
    </row>
    <row r="61" spans="1:13" ht="18.75" x14ac:dyDescent="0.3">
      <c r="A61" s="357" t="s">
        <v>316</v>
      </c>
      <c r="B61" s="400">
        <f>+Contenedores!B117</f>
        <v>45755</v>
      </c>
      <c r="C61" s="400">
        <f>+Contenedores!C117</f>
        <v>45783</v>
      </c>
      <c r="D61" s="399"/>
      <c r="E61" s="400">
        <f>+Contenedores!F117</f>
        <v>45791</v>
      </c>
      <c r="F61" s="400">
        <f>+Contenedores!G117</f>
        <v>45813</v>
      </c>
      <c r="G61" s="404"/>
      <c r="H61" s="335">
        <f t="shared" si="6"/>
        <v>0</v>
      </c>
      <c r="I61" s="176"/>
      <c r="J61" s="176"/>
      <c r="K61" s="176"/>
      <c r="L61" s="316">
        <f>+Contenedores!N117</f>
        <v>45843</v>
      </c>
      <c r="M61" s="341"/>
    </row>
    <row r="62" spans="1:13" ht="18.75" x14ac:dyDescent="0.3">
      <c r="A62" s="357" t="s">
        <v>319</v>
      </c>
      <c r="B62" s="400">
        <f>+Contenedores!B118</f>
        <v>45758</v>
      </c>
      <c r="C62" s="400">
        <f>+Contenedores!C118</f>
        <v>45776</v>
      </c>
      <c r="D62" s="399"/>
      <c r="E62" s="400">
        <f>+Contenedores!F118</f>
        <v>45783</v>
      </c>
      <c r="F62" s="400">
        <f>+Contenedores!G118</f>
        <v>45827</v>
      </c>
      <c r="G62" s="404"/>
      <c r="H62" s="335">
        <f t="shared" si="6"/>
        <v>0</v>
      </c>
      <c r="I62" s="176"/>
      <c r="J62" s="176"/>
      <c r="K62" s="176"/>
      <c r="L62" s="316">
        <f>+Contenedores!N118</f>
        <v>45836</v>
      </c>
      <c r="M62" s="341"/>
    </row>
    <row r="63" spans="1:13" ht="18.75" x14ac:dyDescent="0.3">
      <c r="A63" s="357" t="s">
        <v>24</v>
      </c>
      <c r="B63" s="400">
        <f>+Contenedores!B119</f>
        <v>45792</v>
      </c>
      <c r="C63" s="400">
        <f>+Contenedores!C119</f>
        <v>45811</v>
      </c>
      <c r="D63" s="399"/>
      <c r="E63" s="400">
        <f>+Contenedores!F119</f>
        <v>45819</v>
      </c>
      <c r="F63" s="400">
        <f>+Contenedores!G119</f>
        <v>45848</v>
      </c>
      <c r="G63" s="404"/>
      <c r="H63" s="335">
        <f t="shared" si="6"/>
        <v>0</v>
      </c>
      <c r="I63" s="176"/>
      <c r="J63" s="176"/>
      <c r="K63" s="176"/>
      <c r="L63" s="316"/>
      <c r="M63" s="341"/>
    </row>
    <row r="64" spans="1:13" ht="18.75" x14ac:dyDescent="0.3">
      <c r="A64" s="357" t="s">
        <v>31</v>
      </c>
      <c r="B64" s="400">
        <f>+Contenedores!B120</f>
        <v>45792</v>
      </c>
      <c r="C64" s="400">
        <f>+Contenedores!C120</f>
        <v>45804</v>
      </c>
      <c r="D64" s="399"/>
      <c r="E64" s="400">
        <f>+Contenedores!F120</f>
        <v>45812</v>
      </c>
      <c r="F64" s="400">
        <f>+Contenedores!G120</f>
        <v>45831</v>
      </c>
      <c r="G64" s="404">
        <v>0</v>
      </c>
      <c r="H64" s="335"/>
      <c r="I64" s="176"/>
      <c r="J64" s="176"/>
      <c r="K64" s="176"/>
      <c r="L64" s="316"/>
      <c r="M64" s="341"/>
    </row>
    <row r="65" spans="1:13" ht="18.75" x14ac:dyDescent="0.3">
      <c r="A65" s="357" t="s">
        <v>37</v>
      </c>
      <c r="B65" s="400">
        <f>+Contenedores!B121</f>
        <v>45819</v>
      </c>
      <c r="C65" s="400">
        <f>+Contenedores!C121</f>
        <v>45831</v>
      </c>
      <c r="D65" s="399"/>
      <c r="E65" s="400">
        <f>+Contenedores!F121</f>
        <v>45840</v>
      </c>
      <c r="F65" s="400">
        <f>+Contenedores!G121</f>
        <v>45862</v>
      </c>
      <c r="G65" s="404"/>
      <c r="H65" s="335"/>
      <c r="I65" s="176"/>
      <c r="J65" s="176"/>
      <c r="K65" s="176"/>
      <c r="L65" s="316"/>
      <c r="M65" s="341"/>
    </row>
    <row r="66" spans="1:13" ht="18.75" x14ac:dyDescent="0.3">
      <c r="A66" s="357" t="s">
        <v>322</v>
      </c>
      <c r="B66" s="400">
        <f>+Contenedores!B122</f>
        <v>45854</v>
      </c>
      <c r="C66" s="400">
        <f>+Contenedores!C122</f>
        <v>45868</v>
      </c>
      <c r="D66" s="399"/>
      <c r="E66" s="400">
        <f>+Contenedores!F122</f>
        <v>45875</v>
      </c>
      <c r="F66" s="400">
        <f>+Contenedores!G122</f>
        <v>45904</v>
      </c>
      <c r="G66" s="404"/>
      <c r="H66" s="335"/>
      <c r="I66" s="176"/>
      <c r="J66" s="176"/>
      <c r="K66" s="176"/>
      <c r="L66" s="316"/>
      <c r="M66" s="341"/>
    </row>
    <row r="67" spans="1:13" ht="18.75" x14ac:dyDescent="0.3">
      <c r="A67" s="357" t="s">
        <v>325</v>
      </c>
      <c r="B67" s="400">
        <f>+Contenedores!B123</f>
        <v>45859</v>
      </c>
      <c r="C67" s="400">
        <f>+Contenedores!C123</f>
        <v>45875</v>
      </c>
      <c r="D67" s="399"/>
      <c r="E67" s="400">
        <f>+Contenedores!F123</f>
        <v>45881</v>
      </c>
      <c r="F67" s="400">
        <f>+Contenedores!G123</f>
        <v>45919</v>
      </c>
      <c r="G67" s="404"/>
      <c r="H67" s="335"/>
      <c r="I67" s="176"/>
      <c r="J67" s="176"/>
      <c r="K67" s="176"/>
      <c r="L67" s="316"/>
      <c r="M67" s="341"/>
    </row>
    <row r="68" spans="1:13" ht="18.75" x14ac:dyDescent="0.3">
      <c r="A68" s="357" t="s">
        <v>327</v>
      </c>
      <c r="B68" s="400">
        <f>+Contenedores!B124</f>
        <v>45876</v>
      </c>
      <c r="C68" s="400">
        <f>+Contenedores!C124</f>
        <v>45903</v>
      </c>
      <c r="D68" s="399"/>
      <c r="E68" s="400">
        <f>+Contenedores!F124</f>
        <v>45910</v>
      </c>
      <c r="F68" s="400">
        <f>+Contenedores!G124</f>
        <v>45932</v>
      </c>
      <c r="G68" s="404">
        <f>+Contenedores!D124</f>
        <v>36051.360000000001</v>
      </c>
      <c r="H68" s="335">
        <f t="shared" ref="H68" si="7">+H67+G68</f>
        <v>36051.360000000001</v>
      </c>
      <c r="I68" s="176"/>
      <c r="J68" s="176"/>
      <c r="K68" s="176"/>
      <c r="L68" s="316"/>
      <c r="M68" s="341"/>
    </row>
    <row r="69" spans="1:13" ht="18.75" x14ac:dyDescent="0.3">
      <c r="A69" s="357" t="s">
        <v>330</v>
      </c>
      <c r="B69" s="400">
        <f>+Contenedores!B125</f>
        <v>45888</v>
      </c>
      <c r="C69" s="400">
        <f>+Contenedores!C125</f>
        <v>45902</v>
      </c>
      <c r="D69" s="399"/>
      <c r="E69" s="400">
        <f>+Contenedores!F125</f>
        <v>45906</v>
      </c>
      <c r="F69" s="400">
        <f>+Contenedores!G125</f>
        <v>45922</v>
      </c>
      <c r="G69" s="404">
        <f>+Contenedores!D125</f>
        <v>22852.799999999999</v>
      </c>
      <c r="H69" s="335">
        <f t="shared" ref="H69:H73" si="8">+H68+G69</f>
        <v>58904.160000000003</v>
      </c>
      <c r="I69" s="176"/>
      <c r="J69" s="176"/>
      <c r="K69" s="176"/>
      <c r="L69" s="316"/>
      <c r="M69" s="341"/>
    </row>
    <row r="70" spans="1:13" ht="18.75" x14ac:dyDescent="0.3">
      <c r="A70" s="357" t="s">
        <v>333</v>
      </c>
      <c r="B70" s="400">
        <f>+Contenedores!B126</f>
        <v>45897</v>
      </c>
      <c r="C70" s="400">
        <f>+Contenedores!C126</f>
        <v>45922</v>
      </c>
      <c r="D70" s="399"/>
      <c r="E70" s="400">
        <f>+Contenedores!F126</f>
        <v>45927</v>
      </c>
      <c r="F70" s="400">
        <f>+Contenedores!G126</f>
        <v>45943</v>
      </c>
      <c r="G70" s="404">
        <f>+Contenedores!D126</f>
        <v>30228.6</v>
      </c>
      <c r="H70" s="335">
        <f t="shared" si="8"/>
        <v>89132.760000000009</v>
      </c>
      <c r="I70" s="176"/>
      <c r="J70" s="176"/>
      <c r="K70" s="176"/>
      <c r="L70" s="316"/>
      <c r="M70" s="341"/>
    </row>
    <row r="71" spans="1:13" ht="18.75" x14ac:dyDescent="0.3">
      <c r="A71" s="357" t="s">
        <v>335</v>
      </c>
      <c r="B71" s="400">
        <f>+Contenedores!B127</f>
        <v>45908</v>
      </c>
      <c r="C71" s="400">
        <f>+Contenedores!C127</f>
        <v>45922</v>
      </c>
      <c r="D71" s="399"/>
      <c r="E71" s="400">
        <f>+Contenedores!F127</f>
        <v>45927</v>
      </c>
      <c r="F71" s="400">
        <f>+Contenedores!G127</f>
        <v>45943</v>
      </c>
      <c r="G71" s="404">
        <f>+Contenedores!D127</f>
        <v>22852.799999999999</v>
      </c>
      <c r="H71" s="335">
        <f t="shared" si="8"/>
        <v>111985.56000000001</v>
      </c>
      <c r="I71" s="176"/>
      <c r="J71" s="176"/>
      <c r="K71" s="176"/>
      <c r="L71" s="316"/>
      <c r="M71" s="341"/>
    </row>
    <row r="72" spans="1:13" ht="18.75" x14ac:dyDescent="0.3">
      <c r="A72" s="357" t="s">
        <v>337</v>
      </c>
      <c r="B72" s="400">
        <f>+Contenedores!B128</f>
        <v>45908</v>
      </c>
      <c r="C72" s="400">
        <f>+Contenedores!C128</f>
        <v>45931</v>
      </c>
      <c r="D72" s="399"/>
      <c r="E72" s="400">
        <f>+Contenedores!F128</f>
        <v>45938</v>
      </c>
      <c r="F72" s="400">
        <f>+Contenedores!G128</f>
        <v>45962</v>
      </c>
      <c r="G72" s="404">
        <f>+Contenedores!D128</f>
        <v>31602.959999999999</v>
      </c>
      <c r="H72" s="335">
        <f t="shared" si="8"/>
        <v>143588.52000000002</v>
      </c>
      <c r="I72" s="176"/>
      <c r="J72" s="176"/>
      <c r="K72" s="176"/>
      <c r="L72" s="316"/>
      <c r="M72" s="341"/>
    </row>
    <row r="73" spans="1:13" ht="18.75" x14ac:dyDescent="0.3">
      <c r="A73" s="357" t="s">
        <v>644</v>
      </c>
      <c r="B73" s="400">
        <f>+Contenedores!B145</f>
        <v>0</v>
      </c>
      <c r="C73" s="400">
        <f>+Contenedores!C145</f>
        <v>0</v>
      </c>
      <c r="D73" s="399"/>
      <c r="E73" s="400">
        <f>+Contenedores!F145</f>
        <v>0</v>
      </c>
      <c r="F73" s="400">
        <f>+Contenedores!G145</f>
        <v>0</v>
      </c>
      <c r="G73" s="514">
        <v>30000</v>
      </c>
      <c r="H73" s="335">
        <f t="shared" si="8"/>
        <v>173588.52000000002</v>
      </c>
      <c r="I73" s="176"/>
      <c r="J73" s="176"/>
      <c r="K73" s="176"/>
      <c r="L73" s="316"/>
      <c r="M73" s="341"/>
    </row>
    <row r="74" spans="1:13" ht="18.75" x14ac:dyDescent="0.3">
      <c r="A74" s="357" t="s">
        <v>339</v>
      </c>
      <c r="B74" s="400">
        <f>+Contenedores!B146</f>
        <v>0</v>
      </c>
      <c r="C74" s="400">
        <f>+Contenedores!C146</f>
        <v>0</v>
      </c>
      <c r="D74" s="399"/>
      <c r="E74" s="400">
        <f>+Contenedores!F146</f>
        <v>0</v>
      </c>
      <c r="F74" s="400">
        <f>+Contenedores!G146</f>
        <v>0</v>
      </c>
      <c r="G74" s="514">
        <v>30000</v>
      </c>
      <c r="H74" s="335">
        <f t="shared" ref="H74:H76" si="9">+H73+G74</f>
        <v>203588.52000000002</v>
      </c>
      <c r="I74" s="176"/>
      <c r="J74" s="176"/>
      <c r="K74" s="176"/>
      <c r="L74" s="316"/>
      <c r="M74" s="341"/>
    </row>
    <row r="75" spans="1:13" ht="18.75" x14ac:dyDescent="0.3">
      <c r="A75" s="357" t="s">
        <v>341</v>
      </c>
      <c r="B75" s="400">
        <f>+Contenedores!B147</f>
        <v>0</v>
      </c>
      <c r="C75" s="400">
        <f>+Contenedores!C147</f>
        <v>0</v>
      </c>
      <c r="D75" s="399"/>
      <c r="E75" s="400">
        <f>+Contenedores!F147</f>
        <v>44478</v>
      </c>
      <c r="F75" s="400">
        <f>+Contenedores!G147</f>
        <v>44495</v>
      </c>
      <c r="G75" s="514">
        <v>30000</v>
      </c>
      <c r="H75" s="335">
        <f t="shared" si="9"/>
        <v>233588.52000000002</v>
      </c>
      <c r="I75" s="176"/>
      <c r="J75" s="176"/>
      <c r="K75" s="176"/>
      <c r="L75" s="316"/>
      <c r="M75" s="341"/>
    </row>
    <row r="76" spans="1:13" ht="18.75" x14ac:dyDescent="0.3">
      <c r="A76" s="357" t="s">
        <v>343</v>
      </c>
      <c r="B76" s="400">
        <f>+Contenedores!B148</f>
        <v>0</v>
      </c>
      <c r="C76" s="400">
        <f>+Contenedores!C148</f>
        <v>0</v>
      </c>
      <c r="D76" s="399"/>
      <c r="E76" s="400">
        <f>+Contenedores!F148</f>
        <v>44492</v>
      </c>
      <c r="F76" s="400">
        <f>+Contenedores!G148</f>
        <v>44514</v>
      </c>
      <c r="G76" s="514">
        <v>30000</v>
      </c>
      <c r="H76" s="335">
        <f t="shared" si="9"/>
        <v>263588.52</v>
      </c>
      <c r="I76" s="176"/>
      <c r="J76" s="176"/>
      <c r="K76" s="176"/>
      <c r="L76" s="316"/>
      <c r="M76" s="341"/>
    </row>
    <row r="77" spans="1:13" ht="18.75" x14ac:dyDescent="0.3">
      <c r="A77" s="357"/>
      <c r="B77" s="400"/>
      <c r="C77" s="400"/>
      <c r="D77" s="399"/>
      <c r="E77" s="400"/>
      <c r="F77" s="400"/>
      <c r="G77" s="404"/>
      <c r="H77" s="335"/>
      <c r="I77" s="176"/>
      <c r="J77" s="176"/>
      <c r="K77" s="176"/>
      <c r="L77" s="316"/>
      <c r="M77" s="341"/>
    </row>
    <row r="78" spans="1:13" ht="18.75" x14ac:dyDescent="0.3">
      <c r="A78" s="357"/>
      <c r="B78" s="316"/>
      <c r="C78" s="316"/>
      <c r="D78" s="176"/>
      <c r="E78" s="316"/>
      <c r="F78" s="316"/>
      <c r="G78" s="394"/>
      <c r="H78" s="335"/>
      <c r="I78" s="176"/>
      <c r="J78" s="176"/>
      <c r="K78" s="176"/>
      <c r="L78" s="316"/>
      <c r="M78" s="341"/>
    </row>
    <row r="79" spans="1:13" x14ac:dyDescent="0.25">
      <c r="A79" s="176"/>
      <c r="B79" s="176"/>
      <c r="C79" s="176"/>
      <c r="D79" s="176"/>
      <c r="E79" s="176"/>
      <c r="F79" s="176"/>
      <c r="G79" s="343">
        <f>SUM(G47:G78)</f>
        <v>263588.52</v>
      </c>
      <c r="H79" s="200"/>
      <c r="I79" s="176"/>
      <c r="J79" s="176"/>
      <c r="K79" s="176"/>
      <c r="L79" s="176"/>
      <c r="M79" s="341"/>
    </row>
    <row r="81" spans="5:7" ht="15.75" x14ac:dyDescent="0.25">
      <c r="E81" s="553" t="s">
        <v>645</v>
      </c>
      <c r="F81" s="553"/>
      <c r="G81" s="359">
        <v>400000</v>
      </c>
    </row>
    <row r="82" spans="5:7" ht="15.75" x14ac:dyDescent="0.25">
      <c r="G82" s="360">
        <f>+G81-G79</f>
        <v>136411.47999999998</v>
      </c>
    </row>
  </sheetData>
  <mergeCells count="1">
    <mergeCell ref="E81:F81"/>
  </mergeCells>
  <phoneticPr fontId="3" type="noConversion"/>
  <pageMargins left="0.70866141732283472" right="0.70866141732283472" top="0.74803149606299213" bottom="0.74803149606299213" header="0.31496062992125984" footer="0.31496062992125984"/>
  <pageSetup scale="75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54683-B821-475D-B667-B9CD56AEC1AE}">
  <dimension ref="A1:L37"/>
  <sheetViews>
    <sheetView zoomScaleNormal="100" zoomScaleSheetLayoutView="100" workbookViewId="0">
      <pane xSplit="1" ySplit="2" topLeftCell="B16" activePane="bottomRight" state="frozen"/>
      <selection pane="topRight" activeCell="B1" sqref="B1"/>
      <selection pane="bottomLeft" activeCell="A3" sqref="A3"/>
      <selection pane="bottomRight" activeCell="A26" sqref="A26:G30"/>
    </sheetView>
  </sheetViews>
  <sheetFormatPr baseColWidth="10" defaultColWidth="9.140625" defaultRowHeight="15" x14ac:dyDescent="0.25"/>
  <cols>
    <col min="1" max="1" width="15" style="115" customWidth="1"/>
    <col min="2" max="2" width="10.7109375" style="115" bestFit="1" customWidth="1"/>
    <col min="3" max="3" width="11.28515625" style="115" bestFit="1" customWidth="1"/>
    <col min="4" max="4" width="11.28515625" style="115" customWidth="1"/>
    <col min="5" max="5" width="11.28515625" style="115" bestFit="1" customWidth="1"/>
    <col min="6" max="7" width="12.7109375" style="116" bestFit="1" customWidth="1"/>
    <col min="8" max="8" width="11.5703125" style="115" bestFit="1" customWidth="1"/>
    <col min="9" max="10" width="10.5703125" style="115" bestFit="1" customWidth="1"/>
    <col min="11" max="11" width="10.140625" style="115" bestFit="1" customWidth="1"/>
    <col min="12" max="12" width="11" style="336" customWidth="1"/>
    <col min="13" max="16384" width="9.140625" style="115"/>
  </cols>
  <sheetData>
    <row r="1" spans="1:12" ht="32.25" customHeight="1" x14ac:dyDescent="0.25">
      <c r="A1" s="326" t="s">
        <v>628</v>
      </c>
      <c r="B1" s="327"/>
      <c r="C1" s="328"/>
      <c r="D1" s="328"/>
    </row>
    <row r="2" spans="1:12" ht="30" x14ac:dyDescent="0.25">
      <c r="A2" s="320" t="s">
        <v>629</v>
      </c>
      <c r="B2" s="321" t="s">
        <v>630</v>
      </c>
      <c r="C2" s="321" t="s">
        <v>646</v>
      </c>
      <c r="D2" s="321" t="s">
        <v>633</v>
      </c>
      <c r="E2" s="321" t="s">
        <v>634</v>
      </c>
      <c r="F2" s="329" t="s">
        <v>635</v>
      </c>
      <c r="G2" s="329" t="s">
        <v>636</v>
      </c>
      <c r="H2" s="321" t="s">
        <v>637</v>
      </c>
      <c r="I2" s="321" t="s">
        <v>638</v>
      </c>
      <c r="J2" s="321" t="s">
        <v>639</v>
      </c>
      <c r="K2" s="345" t="s">
        <v>640</v>
      </c>
      <c r="L2" s="344" t="s">
        <v>641</v>
      </c>
    </row>
    <row r="3" spans="1:12" ht="18.75" x14ac:dyDescent="0.3">
      <c r="A3" s="357" t="str">
        <f>+Contenedores!I217</f>
        <v>C-78</v>
      </c>
      <c r="B3" s="400">
        <f>+Contenedores!B217</f>
        <v>45625</v>
      </c>
      <c r="C3" s="400">
        <f>+Contenedores!C217</f>
        <v>45636</v>
      </c>
      <c r="D3" s="400">
        <f>+Contenedores!F217</f>
        <v>45638</v>
      </c>
      <c r="E3" s="400">
        <f>+Contenedores!G215</f>
        <v>45653</v>
      </c>
      <c r="F3" s="404"/>
      <c r="G3" s="335">
        <f>+F3</f>
        <v>0</v>
      </c>
      <c r="H3" s="176"/>
      <c r="I3" s="176"/>
      <c r="J3" s="176"/>
      <c r="K3" s="316">
        <f>+Contenedores!N217</f>
        <v>45681</v>
      </c>
      <c r="L3" s="341"/>
    </row>
    <row r="4" spans="1:12" ht="18.75" x14ac:dyDescent="0.3">
      <c r="A4" s="357" t="str">
        <f>+Contenedores!I218</f>
        <v>C-79</v>
      </c>
      <c r="B4" s="400">
        <f>+Contenedores!B218</f>
        <v>45632</v>
      </c>
      <c r="C4" s="400">
        <f>+Contenedores!C218</f>
        <v>45639</v>
      </c>
      <c r="D4" s="400">
        <f>+Contenedores!F218</f>
        <v>45642</v>
      </c>
      <c r="E4" s="400">
        <f>+Contenedores!G216</f>
        <v>45655</v>
      </c>
      <c r="F4" s="404"/>
      <c r="G4" s="335">
        <f t="shared" ref="G4:G11" si="0">+G3+F4</f>
        <v>0</v>
      </c>
      <c r="H4" s="176"/>
      <c r="I4" s="176"/>
      <c r="J4" s="176"/>
      <c r="K4" s="316">
        <f>+Contenedores!N218</f>
        <v>45684</v>
      </c>
      <c r="L4" s="341"/>
    </row>
    <row r="5" spans="1:12" ht="18.75" x14ac:dyDescent="0.3">
      <c r="A5" s="357" t="str">
        <f>+Contenedores!I219</f>
        <v>C-80</v>
      </c>
      <c r="B5" s="400">
        <f>+Contenedores!B219</f>
        <v>45639</v>
      </c>
      <c r="C5" s="400">
        <f>+Contenedores!C219</f>
        <v>45665</v>
      </c>
      <c r="D5" s="400">
        <f>+Contenedores!F219</f>
        <v>45303</v>
      </c>
      <c r="E5" s="400">
        <f>+Contenedores!G217</f>
        <v>45701</v>
      </c>
      <c r="F5" s="404"/>
      <c r="G5" s="335">
        <f t="shared" si="0"/>
        <v>0</v>
      </c>
      <c r="H5" s="176"/>
      <c r="I5" s="176"/>
      <c r="J5" s="176"/>
      <c r="K5" s="316">
        <f>+Contenedores!N219</f>
        <v>45710</v>
      </c>
      <c r="L5" s="341"/>
    </row>
    <row r="6" spans="1:12" ht="18.75" x14ac:dyDescent="0.3">
      <c r="A6" s="357" t="str">
        <f>+Contenedores!I220</f>
        <v>C-81</v>
      </c>
      <c r="B6" s="400">
        <f>+Contenedores!B220</f>
        <v>45644</v>
      </c>
      <c r="C6" s="400">
        <f>+Contenedores!C220</f>
        <v>45671</v>
      </c>
      <c r="D6" s="400">
        <f>+Contenedores!F220</f>
        <v>45673</v>
      </c>
      <c r="E6" s="400">
        <f>+Contenedores!G218</f>
        <v>45664</v>
      </c>
      <c r="F6" s="404"/>
      <c r="G6" s="335">
        <f t="shared" si="0"/>
        <v>0</v>
      </c>
      <c r="H6" s="176"/>
      <c r="I6" s="176"/>
      <c r="J6" s="176"/>
      <c r="K6" s="316">
        <f>+Contenedores!N220</f>
        <v>45716</v>
      </c>
      <c r="L6" s="341"/>
    </row>
    <row r="7" spans="1:12" ht="18.75" x14ac:dyDescent="0.3">
      <c r="A7" s="357" t="str">
        <f>+Contenedores!I221</f>
        <v>C-82</v>
      </c>
      <c r="B7" s="400">
        <f>+Contenedores!B221</f>
        <v>45644</v>
      </c>
      <c r="C7" s="400">
        <f>+Contenedores!C221</f>
        <v>45665</v>
      </c>
      <c r="D7" s="400">
        <f>+Contenedores!F221</f>
        <v>45669</v>
      </c>
      <c r="E7" s="400">
        <f>+Contenedores!G219</f>
        <v>45688</v>
      </c>
      <c r="F7" s="404"/>
      <c r="G7" s="335">
        <f t="shared" si="0"/>
        <v>0</v>
      </c>
      <c r="H7" s="176"/>
      <c r="I7" s="176"/>
      <c r="J7" s="176"/>
      <c r="K7" s="316">
        <f>+Contenedores!N221</f>
        <v>45710</v>
      </c>
      <c r="L7" s="341"/>
    </row>
    <row r="8" spans="1:12" ht="18.75" x14ac:dyDescent="0.3">
      <c r="A8" s="357" t="str">
        <f>+Contenedores!I222</f>
        <v>C-83</v>
      </c>
      <c r="B8" s="400">
        <f>+Contenedores!B222</f>
        <v>45666</v>
      </c>
      <c r="C8" s="400">
        <f>+Contenedores!C222</f>
        <v>45679</v>
      </c>
      <c r="D8" s="400">
        <f>+Contenedores!F222</f>
        <v>45683</v>
      </c>
      <c r="E8" s="400">
        <f>+Contenedores!G220</f>
        <v>45703</v>
      </c>
      <c r="F8" s="404"/>
      <c r="G8" s="335">
        <f t="shared" si="0"/>
        <v>0</v>
      </c>
      <c r="H8" s="176"/>
      <c r="I8" s="176"/>
      <c r="J8" s="176"/>
      <c r="K8" s="316">
        <f>+Contenedores!N222</f>
        <v>45724</v>
      </c>
      <c r="L8" s="341"/>
    </row>
    <row r="9" spans="1:12" ht="18.75" x14ac:dyDescent="0.3">
      <c r="A9" s="357" t="str">
        <f>+Contenedores!I223</f>
        <v>C-84</v>
      </c>
      <c r="B9" s="400">
        <f>+Contenedores!B223</f>
        <v>45667</v>
      </c>
      <c r="C9" s="400">
        <f>+Contenedores!C223</f>
        <v>45693</v>
      </c>
      <c r="D9" s="400">
        <f>+Contenedores!F223</f>
        <v>45690</v>
      </c>
      <c r="E9" s="400">
        <f>+Contenedores!G221</f>
        <v>45688</v>
      </c>
      <c r="F9" s="404"/>
      <c r="G9" s="335">
        <f t="shared" si="0"/>
        <v>0</v>
      </c>
      <c r="H9" s="176"/>
      <c r="I9" s="176"/>
      <c r="J9" s="176"/>
      <c r="K9" s="316">
        <f>+Contenedores!N223</f>
        <v>45738</v>
      </c>
      <c r="L9" s="341"/>
    </row>
    <row r="10" spans="1:12" ht="18.75" x14ac:dyDescent="0.3">
      <c r="A10" s="357" t="str">
        <f>+Contenedores!I224</f>
        <v>C-85</v>
      </c>
      <c r="B10" s="400">
        <f>+Contenedores!B224</f>
        <v>45672</v>
      </c>
      <c r="C10" s="400">
        <f>+Contenedores!C224</f>
        <v>45698</v>
      </c>
      <c r="D10" s="400">
        <f>+Contenedores!F224</f>
        <v>45725</v>
      </c>
      <c r="E10" s="400">
        <f>+Contenedores!G222</f>
        <v>45719</v>
      </c>
      <c r="F10" s="404"/>
      <c r="G10" s="335">
        <f t="shared" si="0"/>
        <v>0</v>
      </c>
      <c r="H10" s="176"/>
      <c r="I10" s="176"/>
      <c r="J10" s="176"/>
      <c r="K10" s="316"/>
      <c r="L10" s="341"/>
    </row>
    <row r="11" spans="1:12" ht="18.75" x14ac:dyDescent="0.3">
      <c r="A11" s="357" t="str">
        <f>+Contenedores!I225</f>
        <v>C-86</v>
      </c>
      <c r="B11" s="400">
        <f>+Contenedores!B225</f>
        <v>45678</v>
      </c>
      <c r="C11" s="400">
        <f>+Contenedores!C225</f>
        <v>45721</v>
      </c>
      <c r="D11" s="400">
        <f>+Contenedores!F225</f>
        <v>45725</v>
      </c>
      <c r="E11" s="400">
        <f>+Contenedores!G223</f>
        <v>45720</v>
      </c>
      <c r="F11" s="404">
        <v>0</v>
      </c>
      <c r="G11" s="335">
        <f t="shared" si="0"/>
        <v>0</v>
      </c>
      <c r="H11" s="176"/>
      <c r="I11" s="176"/>
      <c r="J11" s="176"/>
      <c r="K11" s="316"/>
      <c r="L11" s="341"/>
    </row>
    <row r="12" spans="1:12" ht="18.75" x14ac:dyDescent="0.3">
      <c r="A12" s="357" t="str">
        <f>+Contenedores!I226</f>
        <v>C-87</v>
      </c>
      <c r="B12" s="400">
        <f>+Contenedores!B226</f>
        <v>45695</v>
      </c>
      <c r="C12" s="400">
        <f>+Contenedores!C226</f>
        <v>45702</v>
      </c>
      <c r="D12" s="400">
        <f>+Contenedores!F226</f>
        <v>45706</v>
      </c>
      <c r="E12" s="400">
        <f>+Contenedores!G224</f>
        <v>45744</v>
      </c>
      <c r="F12" s="404"/>
      <c r="G12" s="335">
        <f t="shared" ref="G12:G15" si="1">+G11+F12</f>
        <v>0</v>
      </c>
      <c r="H12" s="176"/>
      <c r="I12" s="176"/>
      <c r="J12" s="176"/>
      <c r="K12" s="316"/>
      <c r="L12" s="341"/>
    </row>
    <row r="13" spans="1:12" ht="18.75" x14ac:dyDescent="0.3">
      <c r="A13" s="357" t="str">
        <f>+Contenedores!I227</f>
        <v>C-88</v>
      </c>
      <c r="B13" s="400">
        <f>+Contenedores!B227</f>
        <v>45695</v>
      </c>
      <c r="C13" s="400">
        <f>+Contenedores!C227</f>
        <v>45716</v>
      </c>
      <c r="D13" s="400">
        <f>+Contenedores!F227</f>
        <v>45719</v>
      </c>
      <c r="E13" s="400">
        <f>+Contenedores!G225</f>
        <v>45743</v>
      </c>
      <c r="F13" s="404">
        <v>0</v>
      </c>
      <c r="G13" s="335">
        <f t="shared" si="1"/>
        <v>0</v>
      </c>
      <c r="H13" s="176"/>
      <c r="I13" s="176"/>
      <c r="J13" s="176"/>
      <c r="K13" s="316"/>
      <c r="L13" s="341"/>
    </row>
    <row r="14" spans="1:12" ht="18.75" x14ac:dyDescent="0.3">
      <c r="A14" s="357" t="str">
        <f>+Contenedores!I228</f>
        <v>C-89</v>
      </c>
      <c r="B14" s="400">
        <f>+Contenedores!B228</f>
        <v>45695</v>
      </c>
      <c r="C14" s="400">
        <f>+Contenedores!C228</f>
        <v>45702</v>
      </c>
      <c r="D14" s="400">
        <f>+Contenedores!F228</f>
        <v>45706</v>
      </c>
      <c r="E14" s="400">
        <f>+Contenedores!G226</f>
        <v>45743</v>
      </c>
      <c r="F14" s="404"/>
      <c r="G14" s="335">
        <f t="shared" si="1"/>
        <v>0</v>
      </c>
      <c r="H14" s="176"/>
      <c r="I14" s="176"/>
      <c r="J14" s="176"/>
      <c r="K14" s="316"/>
      <c r="L14" s="341"/>
    </row>
    <row r="15" spans="1:12" ht="18.75" x14ac:dyDescent="0.3">
      <c r="A15" s="357" t="str">
        <f>+Contenedores!I229</f>
        <v>C-90</v>
      </c>
      <c r="B15" s="400">
        <f>+Contenedores!B229</f>
        <v>45695</v>
      </c>
      <c r="C15" s="400">
        <f>+Contenedores!C229</f>
        <v>45742</v>
      </c>
      <c r="D15" s="400">
        <f>+Contenedores!F229</f>
        <v>45745</v>
      </c>
      <c r="E15" s="400">
        <f>+Contenedores!G227</f>
        <v>45751</v>
      </c>
      <c r="F15" s="404"/>
      <c r="G15" s="335">
        <f t="shared" si="1"/>
        <v>0</v>
      </c>
      <c r="H15" s="176"/>
      <c r="I15" s="176"/>
      <c r="J15" s="176"/>
      <c r="K15" s="316"/>
      <c r="L15" s="341"/>
    </row>
    <row r="16" spans="1:12" ht="18.75" x14ac:dyDescent="0.3">
      <c r="A16" s="357" t="str">
        <f>+Contenedores!I230</f>
        <v>C-91</v>
      </c>
      <c r="B16" s="400">
        <f>+Contenedores!B230</f>
        <v>45768</v>
      </c>
      <c r="C16" s="400">
        <f>+Contenedores!C230</f>
        <v>45772</v>
      </c>
      <c r="D16" s="400">
        <f>+Contenedores!F230</f>
        <v>0</v>
      </c>
      <c r="E16" s="400">
        <f>+Contenedores!G228</f>
        <v>45743</v>
      </c>
      <c r="F16" s="404"/>
      <c r="G16" s="335">
        <f t="shared" ref="G16" si="2">+G15+F16</f>
        <v>0</v>
      </c>
      <c r="H16" s="176"/>
      <c r="I16" s="176"/>
      <c r="J16" s="176"/>
      <c r="K16" s="316"/>
      <c r="L16" s="341"/>
    </row>
    <row r="17" spans="1:12" ht="18.75" x14ac:dyDescent="0.3">
      <c r="A17" s="357" t="str">
        <f>+Contenedores!I231</f>
        <v>C-92</v>
      </c>
      <c r="B17" s="400">
        <f>+Contenedores!B231</f>
        <v>45716</v>
      </c>
      <c r="C17" s="400">
        <f>+Contenedores!C231</f>
        <v>45723</v>
      </c>
      <c r="D17" s="400">
        <f>+Contenedores!F231</f>
        <v>45726</v>
      </c>
      <c r="E17" s="400">
        <f>+Contenedores!G229</f>
        <v>45764</v>
      </c>
      <c r="F17" s="404"/>
      <c r="G17" s="335">
        <f t="shared" ref="G17" si="3">+G16+F17</f>
        <v>0</v>
      </c>
      <c r="H17" s="176"/>
      <c r="I17" s="176"/>
      <c r="J17" s="176"/>
      <c r="K17" s="316"/>
      <c r="L17" s="341"/>
    </row>
    <row r="18" spans="1:12" ht="18.75" x14ac:dyDescent="0.3">
      <c r="A18" s="357" t="str">
        <f>+Contenedores!I232</f>
        <v>C-93</v>
      </c>
      <c r="B18" s="400">
        <f>+Contenedores!B232</f>
        <v>45740</v>
      </c>
      <c r="C18" s="400">
        <f>+Contenedores!C232</f>
        <v>45747</v>
      </c>
      <c r="D18" s="400">
        <f>+Contenedores!F232</f>
        <v>45754</v>
      </c>
      <c r="E18" s="400">
        <f>+Contenedores!G232</f>
        <v>45786</v>
      </c>
      <c r="F18" s="404"/>
      <c r="G18" s="335">
        <f t="shared" ref="G18" si="4">+G17+F18</f>
        <v>0</v>
      </c>
      <c r="H18" s="176"/>
      <c r="I18" s="176"/>
      <c r="J18" s="176"/>
      <c r="K18" s="316"/>
      <c r="L18" s="341"/>
    </row>
    <row r="19" spans="1:12" ht="18.75" x14ac:dyDescent="0.3">
      <c r="A19" s="357" t="str">
        <f>+Contenedores!I233</f>
        <v>C-94</v>
      </c>
      <c r="B19" s="400">
        <f>+Contenedores!B233</f>
        <v>45791</v>
      </c>
      <c r="C19" s="400">
        <f>+Contenedores!C233</f>
        <v>45813</v>
      </c>
      <c r="D19" s="400">
        <f>+Contenedores!F233</f>
        <v>45815</v>
      </c>
      <c r="E19" s="400">
        <f>+Contenedores!G233</f>
        <v>45838</v>
      </c>
      <c r="F19" s="404"/>
      <c r="G19" s="335">
        <f t="shared" ref="G19:G20" si="5">+G18+F19</f>
        <v>0</v>
      </c>
      <c r="H19" s="176"/>
      <c r="I19" s="176"/>
      <c r="J19" s="176"/>
      <c r="K19" s="316"/>
      <c r="L19" s="341"/>
    </row>
    <row r="20" spans="1:12" ht="18.75" x14ac:dyDescent="0.3">
      <c r="A20" s="357" t="str">
        <f>+Contenedores!I234</f>
        <v>C-95</v>
      </c>
      <c r="B20" s="400">
        <f>+Contenedores!B234</f>
        <v>45791</v>
      </c>
      <c r="C20" s="400">
        <f>+Contenedores!C234</f>
        <v>45807</v>
      </c>
      <c r="D20" s="400">
        <f>+Contenedores!F234</f>
        <v>45808</v>
      </c>
      <c r="E20" s="400">
        <f>+Contenedores!G234</f>
        <v>45827</v>
      </c>
      <c r="F20" s="404"/>
      <c r="G20" s="335">
        <f t="shared" si="5"/>
        <v>0</v>
      </c>
      <c r="H20" s="176"/>
      <c r="I20" s="176"/>
      <c r="J20" s="176"/>
      <c r="K20" s="316"/>
      <c r="L20" s="341"/>
    </row>
    <row r="21" spans="1:12" ht="18.75" x14ac:dyDescent="0.3">
      <c r="A21" s="357" t="str">
        <f>+Contenedores!I235</f>
        <v>C-96</v>
      </c>
      <c r="B21" s="400">
        <f>+Contenedores!B235</f>
        <v>45840</v>
      </c>
      <c r="C21" s="400">
        <f>+Contenedores!C235</f>
        <v>45860</v>
      </c>
      <c r="D21" s="400">
        <f>+Contenedores!F235</f>
        <v>0</v>
      </c>
      <c r="E21" s="400">
        <f>+Contenedores!G235</f>
        <v>45877</v>
      </c>
      <c r="F21" s="404"/>
      <c r="G21" s="335"/>
      <c r="H21" s="176"/>
      <c r="I21" s="176"/>
      <c r="J21" s="176"/>
      <c r="K21" s="316"/>
      <c r="L21" s="341"/>
    </row>
    <row r="22" spans="1:12" ht="18.75" x14ac:dyDescent="0.3">
      <c r="A22" s="357" t="str">
        <f>+Contenedores!I236</f>
        <v>C-97</v>
      </c>
      <c r="B22" s="400">
        <f>+Contenedores!B236</f>
        <v>45840</v>
      </c>
      <c r="C22" s="400">
        <f>+Contenedores!C236</f>
        <v>45856</v>
      </c>
      <c r="D22" s="400">
        <f>+Contenedores!F236</f>
        <v>0</v>
      </c>
      <c r="E22" s="400">
        <f>+Contenedores!G236</f>
        <v>45883</v>
      </c>
      <c r="F22" s="404"/>
      <c r="G22" s="335"/>
      <c r="H22" s="176"/>
      <c r="I22" s="176"/>
      <c r="J22" s="176"/>
      <c r="K22" s="316"/>
      <c r="L22" s="341"/>
    </row>
    <row r="23" spans="1:12" ht="18.75" x14ac:dyDescent="0.3">
      <c r="A23" s="357" t="str">
        <f>+Contenedores!I237</f>
        <v>C-98</v>
      </c>
      <c r="B23" s="400">
        <f>+Contenedores!B237</f>
        <v>45876</v>
      </c>
      <c r="C23" s="400">
        <f>+Contenedores!C237</f>
        <v>45897</v>
      </c>
      <c r="D23" s="400">
        <f>+Contenedores!F237</f>
        <v>0</v>
      </c>
      <c r="E23" s="400">
        <f>+Contenedores!G237</f>
        <v>45918</v>
      </c>
      <c r="F23" s="404"/>
      <c r="G23" s="335"/>
      <c r="H23" s="176"/>
      <c r="I23" s="176"/>
      <c r="J23" s="176"/>
      <c r="K23" s="316"/>
      <c r="L23" s="341"/>
    </row>
    <row r="24" spans="1:12" ht="18.75" x14ac:dyDescent="0.3">
      <c r="A24" s="357" t="str">
        <f>+Contenedores!I238</f>
        <v>C-99</v>
      </c>
      <c r="B24" s="400">
        <f>+Contenedores!B238</f>
        <v>45876</v>
      </c>
      <c r="C24" s="400">
        <f>+Contenedores!C238</f>
        <v>45897</v>
      </c>
      <c r="D24" s="400">
        <f>+Contenedores!F238</f>
        <v>0</v>
      </c>
      <c r="E24" s="400">
        <f>+Contenedores!G238</f>
        <v>45918</v>
      </c>
      <c r="F24" s="404"/>
      <c r="G24" s="335"/>
      <c r="H24" s="176"/>
      <c r="I24" s="176"/>
      <c r="J24" s="176"/>
      <c r="K24" s="316"/>
      <c r="L24" s="341"/>
    </row>
    <row r="25" spans="1:12" ht="18.75" x14ac:dyDescent="0.3">
      <c r="A25" s="357" t="str">
        <f>+Contenedores!I239</f>
        <v>C-100</v>
      </c>
      <c r="B25" s="400">
        <f>+Contenedores!B239</f>
        <v>45908</v>
      </c>
      <c r="C25" s="400">
        <f>+Contenedores!C239</f>
        <v>45917</v>
      </c>
      <c r="D25" s="400">
        <f>+Contenedores!F239</f>
        <v>0</v>
      </c>
      <c r="E25" s="400">
        <f>+Contenedores!G239</f>
        <v>45941</v>
      </c>
      <c r="F25" s="404">
        <f>+Contenedores!D239</f>
        <v>28373.8</v>
      </c>
      <c r="G25" s="335">
        <f t="shared" ref="G25:G26" si="6">+G24+F25</f>
        <v>28373.8</v>
      </c>
      <c r="H25" s="176"/>
      <c r="I25" s="176"/>
      <c r="J25" s="176"/>
      <c r="K25" s="316"/>
      <c r="L25" s="341"/>
    </row>
    <row r="26" spans="1:12" ht="18.75" x14ac:dyDescent="0.3">
      <c r="A26" s="357" t="str">
        <f>+Contenedores!I240</f>
        <v>C-101</v>
      </c>
      <c r="B26" s="400">
        <f>+Contenedores!B240</f>
        <v>45939</v>
      </c>
      <c r="C26" s="400">
        <f>+Contenedores!C240</f>
        <v>45950</v>
      </c>
      <c r="D26" s="400">
        <f>+Contenedores!F240</f>
        <v>45952</v>
      </c>
      <c r="E26" s="400">
        <f>+Contenedores!G240</f>
        <v>45976</v>
      </c>
      <c r="F26" s="404">
        <f>+Contenedores!D240</f>
        <v>29447.9</v>
      </c>
      <c r="G26" s="335">
        <f t="shared" si="6"/>
        <v>57821.7</v>
      </c>
      <c r="H26" s="176"/>
      <c r="I26" s="176"/>
      <c r="J26" s="176"/>
      <c r="K26" s="316"/>
      <c r="L26" s="341"/>
    </row>
    <row r="27" spans="1:12" ht="18.75" x14ac:dyDescent="0.3">
      <c r="A27" s="357" t="str">
        <f>+Contenedores!I241</f>
        <v>C-102</v>
      </c>
      <c r="B27" s="400">
        <f>+Contenedores!B241</f>
        <v>45947</v>
      </c>
      <c r="C27" s="400">
        <f>+Contenedores!C241</f>
        <v>45960</v>
      </c>
      <c r="D27" s="400">
        <f>+Contenedores!F241</f>
        <v>45965</v>
      </c>
      <c r="E27" s="400">
        <f>+Contenedores!G241</f>
        <v>46015</v>
      </c>
      <c r="F27" s="404">
        <f>+Contenedores!D241</f>
        <v>25565.4</v>
      </c>
      <c r="G27" s="335">
        <f t="shared" ref="G27:G30" si="7">+G26+F27</f>
        <v>83387.100000000006</v>
      </c>
      <c r="H27" s="176"/>
      <c r="I27" s="176"/>
      <c r="J27" s="176"/>
      <c r="K27" s="316"/>
      <c r="L27" s="341"/>
    </row>
    <row r="28" spans="1:12" ht="18.75" x14ac:dyDescent="0.3">
      <c r="A28" s="357" t="str">
        <f>+Contenedores!I242</f>
        <v>C-103</v>
      </c>
      <c r="B28" s="400">
        <f>+Contenedores!B242</f>
        <v>45960</v>
      </c>
      <c r="C28" s="400">
        <f>+Contenedores!C242</f>
        <v>45973</v>
      </c>
      <c r="D28" s="400">
        <f>+Contenedores!F242</f>
        <v>45976</v>
      </c>
      <c r="E28" s="400">
        <f>+Contenedores!G242</f>
        <v>45997</v>
      </c>
      <c r="F28" s="404">
        <f>+Contenedores!D242</f>
        <v>28212.400000000001</v>
      </c>
      <c r="G28" s="335">
        <f t="shared" si="7"/>
        <v>111599.5</v>
      </c>
      <c r="H28" s="176"/>
      <c r="I28" s="176"/>
      <c r="J28" s="176"/>
      <c r="K28" s="316"/>
      <c r="L28" s="341"/>
    </row>
    <row r="29" spans="1:12" ht="18.75" x14ac:dyDescent="0.3">
      <c r="A29" s="357" t="str">
        <f>+Contenedores!I243</f>
        <v>C-104</v>
      </c>
      <c r="B29" s="400">
        <f>+Contenedores!B243</f>
        <v>45961</v>
      </c>
      <c r="C29" s="400">
        <f>+Contenedores!C243</f>
        <v>45978</v>
      </c>
      <c r="D29" s="400">
        <f>+Contenedores!F243</f>
        <v>45979</v>
      </c>
      <c r="E29" s="400">
        <f>+Contenedores!G243</f>
        <v>46015</v>
      </c>
      <c r="F29" s="404">
        <f>+Contenedores!D243</f>
        <v>27873</v>
      </c>
      <c r="G29" s="335">
        <f t="shared" si="7"/>
        <v>139472.5</v>
      </c>
      <c r="H29" s="176"/>
      <c r="I29" s="176"/>
      <c r="J29" s="176"/>
      <c r="K29" s="316"/>
      <c r="L29" s="341"/>
    </row>
    <row r="30" spans="1:12" ht="18.75" x14ac:dyDescent="0.3">
      <c r="A30" s="357" t="str">
        <f>+Contenedores!I244</f>
        <v>C-105</v>
      </c>
      <c r="B30" s="400">
        <f>+Contenedores!B244</f>
        <v>45971</v>
      </c>
      <c r="C30" s="400">
        <f>+Contenedores!C244</f>
        <v>45980</v>
      </c>
      <c r="D30" s="400">
        <f>+Contenedores!F244</f>
        <v>0</v>
      </c>
      <c r="E30" s="400">
        <f>+Contenedores!G244</f>
        <v>45997</v>
      </c>
      <c r="F30" s="404">
        <f>+Contenedores!D244</f>
        <v>26210</v>
      </c>
      <c r="G30" s="335">
        <f t="shared" si="7"/>
        <v>165682.5</v>
      </c>
      <c r="H30" s="176"/>
      <c r="I30" s="176"/>
      <c r="J30" s="176"/>
      <c r="K30" s="316"/>
      <c r="L30" s="341"/>
    </row>
    <row r="31" spans="1:12" ht="18.75" x14ac:dyDescent="0.3">
      <c r="A31" s="357"/>
      <c r="B31" s="400"/>
      <c r="C31" s="400"/>
      <c r="D31" s="400"/>
      <c r="E31" s="400"/>
      <c r="F31" s="404"/>
      <c r="G31" s="335"/>
      <c r="H31" s="176"/>
      <c r="I31" s="176"/>
      <c r="J31" s="176"/>
      <c r="K31" s="316"/>
      <c r="L31" s="341"/>
    </row>
    <row r="32" spans="1:12" ht="18.75" x14ac:dyDescent="0.3">
      <c r="A32" s="357"/>
      <c r="B32" s="400"/>
      <c r="C32" s="399"/>
      <c r="D32" s="400"/>
      <c r="E32" s="400"/>
      <c r="F32" s="404"/>
      <c r="G32" s="401"/>
      <c r="H32" s="176"/>
      <c r="I32" s="176"/>
      <c r="J32" s="176"/>
      <c r="K32" s="316"/>
      <c r="L32" s="341"/>
    </row>
    <row r="33" spans="1:12" ht="18.75" x14ac:dyDescent="0.3">
      <c r="A33" s="357"/>
      <c r="B33" s="316"/>
      <c r="C33" s="176"/>
      <c r="D33" s="316"/>
      <c r="E33" s="316"/>
      <c r="F33" s="394"/>
      <c r="G33" s="335"/>
      <c r="H33" s="176"/>
      <c r="I33" s="176"/>
      <c r="J33" s="176"/>
      <c r="K33" s="316"/>
      <c r="L33" s="341"/>
    </row>
    <row r="34" spans="1:12" x14ac:dyDescent="0.25">
      <c r="A34" s="176"/>
      <c r="B34" s="176"/>
      <c r="C34" s="176"/>
      <c r="D34" s="176"/>
      <c r="E34" s="176"/>
      <c r="F34" s="343">
        <f>SUM(F3:F33)</f>
        <v>165682.5</v>
      </c>
      <c r="G34" s="200"/>
      <c r="H34" s="176"/>
      <c r="I34" s="176"/>
      <c r="J34" s="176"/>
      <c r="K34" s="176"/>
      <c r="L34" s="341"/>
    </row>
    <row r="36" spans="1:12" ht="15.75" x14ac:dyDescent="0.25">
      <c r="D36" s="553" t="s">
        <v>645</v>
      </c>
      <c r="E36" s="553"/>
      <c r="F36" s="359">
        <v>400000</v>
      </c>
    </row>
    <row r="37" spans="1:12" ht="15.75" x14ac:dyDescent="0.25">
      <c r="F37" s="360">
        <f>+F36-F34</f>
        <v>234317.5</v>
      </c>
    </row>
  </sheetData>
  <mergeCells count="1">
    <mergeCell ref="D36:E36"/>
  </mergeCells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D84B-0D37-4214-9A34-0368A8ABBE68}">
  <sheetPr codeName="Hoja5"/>
  <dimension ref="A1:X3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1" sqref="A21:B21"/>
    </sheetView>
  </sheetViews>
  <sheetFormatPr baseColWidth="10" defaultColWidth="11.42578125" defaultRowHeight="15" x14ac:dyDescent="0.25"/>
  <cols>
    <col min="7" max="7" width="0" hidden="1" customWidth="1"/>
    <col min="17" max="17" width="15" bestFit="1" customWidth="1"/>
    <col min="23" max="23" width="10" bestFit="1" customWidth="1"/>
    <col min="24" max="24" width="19.28515625" bestFit="1" customWidth="1"/>
  </cols>
  <sheetData>
    <row r="1" spans="1:24" ht="26.25" x14ac:dyDescent="0.4">
      <c r="A1" s="556" t="s">
        <v>42</v>
      </c>
      <c r="B1" s="556"/>
      <c r="C1" s="556"/>
      <c r="D1" s="556"/>
    </row>
    <row r="2" spans="1:24" ht="15.75" thickBot="1" x14ac:dyDescent="0.3"/>
    <row r="3" spans="1:24" ht="33.75" x14ac:dyDescent="0.25">
      <c r="A3" s="557" t="s">
        <v>647</v>
      </c>
      <c r="B3" s="558"/>
      <c r="C3" s="80" t="s">
        <v>0</v>
      </c>
      <c r="D3" s="81" t="s">
        <v>1</v>
      </c>
      <c r="E3" s="81" t="s">
        <v>4</v>
      </c>
      <c r="F3" s="82" t="s">
        <v>648</v>
      </c>
      <c r="G3" s="83" t="s">
        <v>649</v>
      </c>
      <c r="H3" s="84" t="s">
        <v>650</v>
      </c>
      <c r="I3" s="84" t="s">
        <v>651</v>
      </c>
      <c r="J3" s="85" t="s">
        <v>652</v>
      </c>
      <c r="K3" s="85" t="s">
        <v>653</v>
      </c>
      <c r="L3" s="86" t="s">
        <v>654</v>
      </c>
      <c r="M3" s="87" t="s">
        <v>655</v>
      </c>
      <c r="N3" s="87" t="s">
        <v>656</v>
      </c>
      <c r="O3" s="86" t="s">
        <v>657</v>
      </c>
      <c r="P3" s="86" t="s">
        <v>658</v>
      </c>
      <c r="Q3" s="88" t="s">
        <v>11</v>
      </c>
      <c r="R3" s="81" t="s">
        <v>659</v>
      </c>
      <c r="S3" s="88" t="s">
        <v>13</v>
      </c>
      <c r="T3" s="88" t="s">
        <v>660</v>
      </c>
      <c r="U3" s="81" t="s">
        <v>661</v>
      </c>
      <c r="V3" s="89" t="s">
        <v>16</v>
      </c>
      <c r="W3" s="108" t="s">
        <v>662</v>
      </c>
      <c r="X3" s="108" t="s">
        <v>663</v>
      </c>
    </row>
    <row r="4" spans="1:24" s="97" customFormat="1" hidden="1" x14ac:dyDescent="0.25">
      <c r="A4" s="559" t="s">
        <v>664</v>
      </c>
      <c r="B4" s="560"/>
      <c r="C4" s="90" t="s">
        <v>665</v>
      </c>
      <c r="D4" s="91">
        <v>44512</v>
      </c>
      <c r="E4" s="92">
        <v>44537</v>
      </c>
      <c r="F4" s="91">
        <v>44530</v>
      </c>
      <c r="G4" s="93">
        <f>_xlfn.DAYS(D4,F4)</f>
        <v>-18</v>
      </c>
      <c r="H4" s="92">
        <v>44544</v>
      </c>
      <c r="I4" s="92">
        <v>44564</v>
      </c>
      <c r="J4" s="92">
        <v>44545</v>
      </c>
      <c r="K4" s="92">
        <v>44565</v>
      </c>
      <c r="L4" s="94">
        <f>_xlfn.DAYS(I4,K4)</f>
        <v>-1</v>
      </c>
      <c r="M4" s="92">
        <v>44550</v>
      </c>
      <c r="N4" s="92">
        <v>44571</v>
      </c>
      <c r="O4" s="94">
        <f t="shared" ref="O4:O22" si="0">_xlfn.DAYS(K4,N4)</f>
        <v>-6</v>
      </c>
      <c r="P4" s="94">
        <f>+L4+O4</f>
        <v>-7</v>
      </c>
      <c r="Q4" s="95" t="s">
        <v>46</v>
      </c>
      <c r="R4" s="66" t="s">
        <v>666</v>
      </c>
      <c r="S4" s="90">
        <v>92782952</v>
      </c>
      <c r="T4" s="96">
        <v>19696.439999999999</v>
      </c>
      <c r="U4" s="92">
        <v>44597</v>
      </c>
      <c r="V4" s="92">
        <v>44600</v>
      </c>
      <c r="W4" s="109"/>
    </row>
    <row r="5" spans="1:24" s="97" customFormat="1" hidden="1" x14ac:dyDescent="0.25">
      <c r="A5" s="559" t="s">
        <v>667</v>
      </c>
      <c r="B5" s="560"/>
      <c r="C5" s="90" t="s">
        <v>668</v>
      </c>
      <c r="D5" s="91">
        <v>44477</v>
      </c>
      <c r="E5" s="92">
        <v>44532</v>
      </c>
      <c r="F5" s="91">
        <v>44519</v>
      </c>
      <c r="G5" s="93">
        <f>_xlfn.DAYS(D5,F5)</f>
        <v>-42</v>
      </c>
      <c r="H5" s="92">
        <v>44514</v>
      </c>
      <c r="I5" s="92">
        <v>44535</v>
      </c>
      <c r="J5" s="92">
        <v>44538</v>
      </c>
      <c r="K5" s="92">
        <v>44565</v>
      </c>
      <c r="L5" s="94">
        <f>_xlfn.DAYS(I5,K5)</f>
        <v>-30</v>
      </c>
      <c r="M5" s="92">
        <v>44540</v>
      </c>
      <c r="N5" s="92">
        <v>44572</v>
      </c>
      <c r="O5" s="94">
        <f t="shared" si="0"/>
        <v>-7</v>
      </c>
      <c r="P5" s="94">
        <f t="shared" ref="P5:P16" si="1">+L5+O5</f>
        <v>-37</v>
      </c>
      <c r="Q5" s="95" t="s">
        <v>669</v>
      </c>
      <c r="R5" s="66" t="s">
        <v>666</v>
      </c>
      <c r="S5" s="90">
        <v>92781106</v>
      </c>
      <c r="T5" s="96">
        <v>24027.48</v>
      </c>
      <c r="U5" s="92">
        <v>44592</v>
      </c>
      <c r="V5" s="92">
        <v>44592</v>
      </c>
      <c r="W5" s="109"/>
    </row>
    <row r="6" spans="1:24" s="97" customFormat="1" hidden="1" x14ac:dyDescent="0.25">
      <c r="A6" s="559" t="s">
        <v>670</v>
      </c>
      <c r="B6" s="560"/>
      <c r="C6" s="90" t="s">
        <v>665</v>
      </c>
      <c r="D6" s="91">
        <v>44434</v>
      </c>
      <c r="E6" s="92">
        <v>44533</v>
      </c>
      <c r="F6" s="91">
        <v>44516</v>
      </c>
      <c r="G6" s="93">
        <f t="shared" ref="G6:G19" si="2">_xlfn.DAYS(D6,F6)</f>
        <v>-82</v>
      </c>
      <c r="H6" s="92">
        <v>44513</v>
      </c>
      <c r="I6" s="92">
        <v>44533</v>
      </c>
      <c r="J6" s="92">
        <v>44540</v>
      </c>
      <c r="K6" s="92">
        <v>44559</v>
      </c>
      <c r="L6" s="94">
        <f t="shared" ref="L6:L17" si="3">_xlfn.DAYS(I6,K6)</f>
        <v>-26</v>
      </c>
      <c r="M6" s="92">
        <v>44542</v>
      </c>
      <c r="N6" s="92">
        <v>44573</v>
      </c>
      <c r="O6" s="94">
        <f t="shared" si="0"/>
        <v>-14</v>
      </c>
      <c r="P6" s="94">
        <f>+L6+O6</f>
        <v>-40</v>
      </c>
      <c r="Q6" s="95" t="s">
        <v>54</v>
      </c>
      <c r="R6" s="66" t="s">
        <v>666</v>
      </c>
      <c r="S6" s="90">
        <v>92781508</v>
      </c>
      <c r="T6" s="96">
        <v>19812.48</v>
      </c>
      <c r="U6" s="92">
        <v>44593</v>
      </c>
      <c r="V6" s="92">
        <v>44229</v>
      </c>
      <c r="W6" s="109"/>
    </row>
    <row r="7" spans="1:24" s="97" customFormat="1" hidden="1" x14ac:dyDescent="0.25">
      <c r="A7" s="559" t="s">
        <v>671</v>
      </c>
      <c r="B7" s="560"/>
      <c r="C7" s="90" t="s">
        <v>665</v>
      </c>
      <c r="D7" s="91">
        <v>44434</v>
      </c>
      <c r="E7" s="92">
        <v>44533</v>
      </c>
      <c r="F7" s="91">
        <v>44516</v>
      </c>
      <c r="G7" s="93">
        <f t="shared" si="2"/>
        <v>-82</v>
      </c>
      <c r="H7" s="92">
        <v>44523</v>
      </c>
      <c r="I7" s="92">
        <v>44543</v>
      </c>
      <c r="J7" s="92">
        <v>44540</v>
      </c>
      <c r="K7" s="92">
        <v>44559</v>
      </c>
      <c r="L7" s="94">
        <f t="shared" si="3"/>
        <v>-16</v>
      </c>
      <c r="M7" s="92">
        <v>44542</v>
      </c>
      <c r="N7" s="92">
        <v>44573</v>
      </c>
      <c r="O7" s="94">
        <f t="shared" si="0"/>
        <v>-14</v>
      </c>
      <c r="P7" s="94">
        <f t="shared" si="1"/>
        <v>-30</v>
      </c>
      <c r="Q7" s="95" t="s">
        <v>46</v>
      </c>
      <c r="R7" s="66" t="s">
        <v>666</v>
      </c>
      <c r="S7" s="90">
        <v>92781453</v>
      </c>
      <c r="T7" s="96">
        <v>19807.2</v>
      </c>
      <c r="U7" s="92">
        <v>44593</v>
      </c>
      <c r="V7" s="92">
        <v>44230</v>
      </c>
      <c r="W7" s="109"/>
    </row>
    <row r="8" spans="1:24" s="97" customFormat="1" hidden="1" x14ac:dyDescent="0.25">
      <c r="A8" s="559" t="s">
        <v>672</v>
      </c>
      <c r="B8" s="560"/>
      <c r="C8" s="90" t="s">
        <v>668</v>
      </c>
      <c r="D8" s="91">
        <v>44434</v>
      </c>
      <c r="E8" s="92">
        <v>44539</v>
      </c>
      <c r="F8" s="91">
        <v>44539</v>
      </c>
      <c r="G8" s="93">
        <f t="shared" si="2"/>
        <v>-105</v>
      </c>
      <c r="H8" s="92">
        <v>44542</v>
      </c>
      <c r="I8" s="92">
        <v>44563</v>
      </c>
      <c r="J8" s="92">
        <v>44545</v>
      </c>
      <c r="K8" s="92">
        <v>44572</v>
      </c>
      <c r="L8" s="94">
        <f t="shared" si="3"/>
        <v>-9</v>
      </c>
      <c r="M8" s="92">
        <v>44550</v>
      </c>
      <c r="N8" s="92">
        <v>44591</v>
      </c>
      <c r="O8" s="94">
        <f t="shared" si="0"/>
        <v>-19</v>
      </c>
      <c r="P8" s="94">
        <f t="shared" si="1"/>
        <v>-28</v>
      </c>
      <c r="Q8" s="95" t="s">
        <v>669</v>
      </c>
      <c r="R8" s="66" t="s">
        <v>666</v>
      </c>
      <c r="S8" s="90">
        <v>92784317</v>
      </c>
      <c r="T8" s="96">
        <v>24339.119999999999</v>
      </c>
      <c r="U8" s="92">
        <v>44234</v>
      </c>
      <c r="V8" s="92">
        <v>44236</v>
      </c>
      <c r="W8" s="109"/>
    </row>
    <row r="9" spans="1:24" s="98" customFormat="1" hidden="1" x14ac:dyDescent="0.25">
      <c r="A9" s="559" t="s">
        <v>673</v>
      </c>
      <c r="B9" s="560"/>
      <c r="C9" s="90" t="s">
        <v>665</v>
      </c>
      <c r="D9" s="91">
        <v>44434</v>
      </c>
      <c r="E9" s="92">
        <v>44565</v>
      </c>
      <c r="F9" s="91">
        <v>44536</v>
      </c>
      <c r="G9" s="93">
        <f t="shared" si="2"/>
        <v>-102</v>
      </c>
      <c r="H9" s="92">
        <v>44548</v>
      </c>
      <c r="I9" s="92">
        <v>44568</v>
      </c>
      <c r="J9" s="92">
        <v>44208</v>
      </c>
      <c r="K9" s="92">
        <v>44592</v>
      </c>
      <c r="L9" s="94">
        <f t="shared" si="3"/>
        <v>-24</v>
      </c>
      <c r="M9" s="92">
        <v>44572</v>
      </c>
      <c r="N9" s="92">
        <v>44594</v>
      </c>
      <c r="O9" s="94">
        <f t="shared" si="0"/>
        <v>-2</v>
      </c>
      <c r="P9" s="94">
        <f t="shared" si="1"/>
        <v>-26</v>
      </c>
      <c r="Q9" s="95" t="s">
        <v>54</v>
      </c>
      <c r="R9" s="66" t="s">
        <v>666</v>
      </c>
      <c r="S9" s="90">
        <v>92793939</v>
      </c>
      <c r="T9" s="96">
        <v>19734.48</v>
      </c>
      <c r="U9" s="92">
        <v>44260</v>
      </c>
      <c r="V9" s="92">
        <v>44627</v>
      </c>
      <c r="W9" s="109"/>
      <c r="X9" s="97"/>
    </row>
    <row r="10" spans="1:24" s="98" customFormat="1" hidden="1" x14ac:dyDescent="0.25">
      <c r="A10" s="559" t="s">
        <v>674</v>
      </c>
      <c r="B10" s="560"/>
      <c r="C10" s="90" t="s">
        <v>665</v>
      </c>
      <c r="D10" s="91">
        <v>44512</v>
      </c>
      <c r="E10" s="92">
        <v>44206</v>
      </c>
      <c r="F10" s="91">
        <v>44543</v>
      </c>
      <c r="G10" s="93">
        <f t="shared" si="2"/>
        <v>-31</v>
      </c>
      <c r="H10" s="92">
        <v>44537</v>
      </c>
      <c r="I10" s="92">
        <v>44557</v>
      </c>
      <c r="J10" s="92">
        <v>44587</v>
      </c>
      <c r="K10" s="92">
        <v>44610</v>
      </c>
      <c r="L10" s="94">
        <f t="shared" si="3"/>
        <v>-53</v>
      </c>
      <c r="M10" s="92">
        <v>44600</v>
      </c>
      <c r="N10" s="92">
        <v>44622</v>
      </c>
      <c r="O10" s="94">
        <f t="shared" si="0"/>
        <v>-12</v>
      </c>
      <c r="P10" s="94">
        <f t="shared" si="1"/>
        <v>-65</v>
      </c>
      <c r="Q10" s="95" t="s">
        <v>54</v>
      </c>
      <c r="R10" s="66" t="s">
        <v>666</v>
      </c>
      <c r="S10" s="90">
        <v>92796168</v>
      </c>
      <c r="T10" s="96">
        <v>21306.6</v>
      </c>
      <c r="U10" s="92">
        <v>44266</v>
      </c>
      <c r="V10" s="92">
        <v>44634</v>
      </c>
      <c r="W10" s="109"/>
      <c r="X10" s="97"/>
    </row>
    <row r="11" spans="1:24" s="98" customFormat="1" hidden="1" x14ac:dyDescent="0.25">
      <c r="A11" s="559" t="s">
        <v>675</v>
      </c>
      <c r="B11" s="560"/>
      <c r="C11" s="90" t="s">
        <v>665</v>
      </c>
      <c r="D11" s="91">
        <v>44532</v>
      </c>
      <c r="E11" s="92">
        <v>44209</v>
      </c>
      <c r="F11" s="91">
        <v>44573</v>
      </c>
      <c r="G11" s="93">
        <f t="shared" si="2"/>
        <v>-41</v>
      </c>
      <c r="H11" s="92">
        <v>44562</v>
      </c>
      <c r="I11" s="92">
        <v>44593</v>
      </c>
      <c r="J11" s="92">
        <v>44580</v>
      </c>
      <c r="K11" s="92">
        <v>44600</v>
      </c>
      <c r="L11" s="94">
        <f t="shared" si="3"/>
        <v>-7</v>
      </c>
      <c r="M11" s="92">
        <v>44600</v>
      </c>
      <c r="N11" s="92">
        <v>44622</v>
      </c>
      <c r="O11" s="94">
        <f t="shared" si="0"/>
        <v>-22</v>
      </c>
      <c r="P11" s="94">
        <f t="shared" si="1"/>
        <v>-29</v>
      </c>
      <c r="Q11" s="95" t="s">
        <v>54</v>
      </c>
      <c r="R11" s="66" t="s">
        <v>666</v>
      </c>
      <c r="S11" s="90">
        <v>92798101</v>
      </c>
      <c r="T11" s="96">
        <v>26257.200000000001</v>
      </c>
      <c r="U11" s="92">
        <v>44634</v>
      </c>
      <c r="V11" s="92">
        <v>44638</v>
      </c>
      <c r="W11" s="109"/>
      <c r="X11" s="97"/>
    </row>
    <row r="12" spans="1:24" s="98" customFormat="1" hidden="1" x14ac:dyDescent="0.25">
      <c r="A12" s="559" t="s">
        <v>676</v>
      </c>
      <c r="B12" s="560"/>
      <c r="C12" s="90" t="s">
        <v>665</v>
      </c>
      <c r="D12" s="91">
        <v>44532</v>
      </c>
      <c r="E12" s="92">
        <v>44592</v>
      </c>
      <c r="F12" s="91">
        <v>44587</v>
      </c>
      <c r="G12" s="93">
        <f t="shared" si="2"/>
        <v>-55</v>
      </c>
      <c r="H12" s="92">
        <v>44610</v>
      </c>
      <c r="I12" s="92">
        <v>44630</v>
      </c>
      <c r="J12" s="92">
        <v>44611</v>
      </c>
      <c r="K12" s="92">
        <v>44635</v>
      </c>
      <c r="L12" s="94">
        <f t="shared" si="3"/>
        <v>-5</v>
      </c>
      <c r="M12" s="92">
        <v>44618</v>
      </c>
      <c r="N12" s="92">
        <v>44654</v>
      </c>
      <c r="O12" s="94">
        <f t="shared" si="0"/>
        <v>-19</v>
      </c>
      <c r="P12" s="94">
        <f>+L12+O12</f>
        <v>-24</v>
      </c>
      <c r="Q12" s="95" t="s">
        <v>54</v>
      </c>
      <c r="R12" s="66" t="s">
        <v>666</v>
      </c>
      <c r="S12" s="90">
        <v>92805982</v>
      </c>
      <c r="T12" s="96">
        <v>26126.400000000001</v>
      </c>
      <c r="U12" s="92">
        <v>44635</v>
      </c>
      <c r="V12" s="92"/>
      <c r="W12" s="109"/>
      <c r="X12" s="97"/>
    </row>
    <row r="13" spans="1:24" s="98" customFormat="1" hidden="1" x14ac:dyDescent="0.25">
      <c r="A13" s="559" t="s">
        <v>677</v>
      </c>
      <c r="B13" s="560"/>
      <c r="C13" s="90" t="s">
        <v>665</v>
      </c>
      <c r="D13" s="91">
        <v>44538</v>
      </c>
      <c r="E13" s="92">
        <v>44208</v>
      </c>
      <c r="F13" s="91">
        <v>44560</v>
      </c>
      <c r="G13" s="93">
        <f t="shared" si="2"/>
        <v>-22</v>
      </c>
      <c r="H13" s="92">
        <v>44566</v>
      </c>
      <c r="I13" s="92">
        <v>44586</v>
      </c>
      <c r="J13" s="92">
        <v>44587</v>
      </c>
      <c r="K13" s="92">
        <v>44608</v>
      </c>
      <c r="L13" s="94">
        <f t="shared" si="3"/>
        <v>-22</v>
      </c>
      <c r="M13" s="92">
        <v>44600</v>
      </c>
      <c r="N13" s="92">
        <v>44622</v>
      </c>
      <c r="O13" s="94">
        <f t="shared" si="0"/>
        <v>-14</v>
      </c>
      <c r="P13" s="94">
        <f t="shared" si="1"/>
        <v>-36</v>
      </c>
      <c r="Q13" s="95" t="s">
        <v>86</v>
      </c>
      <c r="R13" s="66" t="s">
        <v>666</v>
      </c>
      <c r="S13" s="90">
        <v>92797446</v>
      </c>
      <c r="T13" s="96">
        <v>23213.64</v>
      </c>
      <c r="U13" s="92">
        <v>44636</v>
      </c>
      <c r="V13" s="92">
        <v>44635</v>
      </c>
      <c r="W13" s="109"/>
      <c r="X13" s="97"/>
    </row>
    <row r="14" spans="1:24" s="102" customFormat="1" hidden="1" x14ac:dyDescent="0.25">
      <c r="A14" s="554" t="s">
        <v>678</v>
      </c>
      <c r="B14" s="555"/>
      <c r="C14" s="99" t="s">
        <v>665</v>
      </c>
      <c r="D14" s="91">
        <v>44581</v>
      </c>
      <c r="E14" s="100">
        <v>44643</v>
      </c>
      <c r="F14" s="91">
        <v>44602</v>
      </c>
      <c r="G14" s="93">
        <f t="shared" si="2"/>
        <v>-21</v>
      </c>
      <c r="H14" s="92">
        <v>44607</v>
      </c>
      <c r="I14" s="92">
        <v>44627</v>
      </c>
      <c r="J14" s="100">
        <v>44644</v>
      </c>
      <c r="K14" s="100">
        <v>44661</v>
      </c>
      <c r="L14" s="94">
        <f>_xlfn.DAYS(I14,K14)</f>
        <v>-34</v>
      </c>
      <c r="M14" s="100">
        <v>44667</v>
      </c>
      <c r="N14" s="100">
        <v>44692</v>
      </c>
      <c r="O14" s="94">
        <f t="shared" si="0"/>
        <v>-31</v>
      </c>
      <c r="P14" s="94">
        <f t="shared" si="1"/>
        <v>-65</v>
      </c>
      <c r="Q14" s="111" t="s">
        <v>679</v>
      </c>
      <c r="R14" s="99" t="s">
        <v>666</v>
      </c>
      <c r="S14" s="99">
        <v>92831908</v>
      </c>
      <c r="T14" s="101">
        <v>24356.16</v>
      </c>
      <c r="U14" s="100">
        <f>+E14+60</f>
        <v>44703</v>
      </c>
      <c r="V14" s="99"/>
      <c r="W14" s="102">
        <v>913917834</v>
      </c>
      <c r="X14" s="102" t="s">
        <v>680</v>
      </c>
    </row>
    <row r="15" spans="1:24" s="107" customFormat="1" hidden="1" x14ac:dyDescent="0.25">
      <c r="A15" s="561" t="s">
        <v>681</v>
      </c>
      <c r="B15" s="562"/>
      <c r="C15" s="66" t="s">
        <v>665</v>
      </c>
      <c r="D15" s="103">
        <v>44602</v>
      </c>
      <c r="E15" s="103">
        <v>44623</v>
      </c>
      <c r="F15" s="103">
        <v>44613</v>
      </c>
      <c r="G15" s="104">
        <f t="shared" si="2"/>
        <v>-11</v>
      </c>
      <c r="H15" s="103">
        <v>44619</v>
      </c>
      <c r="I15" s="103">
        <v>44639</v>
      </c>
      <c r="J15" s="103">
        <v>44630</v>
      </c>
      <c r="K15" s="103">
        <v>44644</v>
      </c>
      <c r="L15" s="105">
        <f t="shared" si="3"/>
        <v>-5</v>
      </c>
      <c r="M15" s="103">
        <v>44628</v>
      </c>
      <c r="N15" s="103">
        <v>44648</v>
      </c>
      <c r="O15" s="105">
        <f t="shared" si="0"/>
        <v>-4</v>
      </c>
      <c r="P15" s="105">
        <f t="shared" si="1"/>
        <v>-9</v>
      </c>
      <c r="Q15" s="112" t="s">
        <v>54</v>
      </c>
      <c r="R15" s="66" t="s">
        <v>666</v>
      </c>
      <c r="S15" s="66">
        <v>92821407</v>
      </c>
      <c r="T15" s="106">
        <v>25999.200000000001</v>
      </c>
      <c r="U15" s="100">
        <f>+E15+60</f>
        <v>44683</v>
      </c>
      <c r="V15" s="103">
        <v>44685</v>
      </c>
      <c r="W15" s="110"/>
      <c r="X15" s="102"/>
    </row>
    <row r="16" spans="1:24" s="102" customFormat="1" hidden="1" x14ac:dyDescent="0.25">
      <c r="A16" s="554" t="s">
        <v>682</v>
      </c>
      <c r="B16" s="555"/>
      <c r="C16" s="99" t="s">
        <v>665</v>
      </c>
      <c r="D16" s="91">
        <v>44602</v>
      </c>
      <c r="E16" s="100">
        <v>44670</v>
      </c>
      <c r="F16" s="91">
        <v>44614</v>
      </c>
      <c r="G16" s="93">
        <f t="shared" si="2"/>
        <v>-12</v>
      </c>
      <c r="H16" s="92">
        <v>44634</v>
      </c>
      <c r="I16" s="92">
        <v>44654</v>
      </c>
      <c r="J16" s="100">
        <v>44676</v>
      </c>
      <c r="K16" s="100">
        <v>44694</v>
      </c>
      <c r="L16" s="94">
        <f t="shared" si="3"/>
        <v>-40</v>
      </c>
      <c r="M16" s="100">
        <v>44697</v>
      </c>
      <c r="N16" s="100">
        <v>44737</v>
      </c>
      <c r="O16" s="94">
        <f t="shared" si="0"/>
        <v>-43</v>
      </c>
      <c r="P16" s="94">
        <f t="shared" si="1"/>
        <v>-83</v>
      </c>
      <c r="Q16" s="111" t="s">
        <v>54</v>
      </c>
      <c r="R16" s="66" t="s">
        <v>666</v>
      </c>
      <c r="S16" s="99">
        <v>92844225</v>
      </c>
      <c r="T16" s="101">
        <v>26294.400000000001</v>
      </c>
      <c r="U16" s="100">
        <f>+E16+60</f>
        <v>44730</v>
      </c>
      <c r="V16" s="99"/>
      <c r="W16" s="102">
        <v>914128937</v>
      </c>
      <c r="X16" s="102" t="s">
        <v>683</v>
      </c>
    </row>
    <row r="17" spans="1:24" s="102" customFormat="1" hidden="1" x14ac:dyDescent="0.25">
      <c r="A17" s="554" t="s">
        <v>684</v>
      </c>
      <c r="B17" s="555"/>
      <c r="C17" s="99" t="s">
        <v>665</v>
      </c>
      <c r="D17" s="91">
        <v>44608</v>
      </c>
      <c r="E17" s="100">
        <v>44642</v>
      </c>
      <c r="F17" s="91">
        <v>44630</v>
      </c>
      <c r="G17" s="93">
        <f t="shared" si="2"/>
        <v>-22</v>
      </c>
      <c r="H17" s="92">
        <v>44641</v>
      </c>
      <c r="I17" s="92">
        <v>44661</v>
      </c>
      <c r="J17" s="100">
        <v>44649</v>
      </c>
      <c r="K17" s="100">
        <v>44667</v>
      </c>
      <c r="L17" s="94">
        <f t="shared" si="3"/>
        <v>-6</v>
      </c>
      <c r="M17" s="100">
        <v>44661</v>
      </c>
      <c r="N17" s="100">
        <v>44704</v>
      </c>
      <c r="O17" s="94">
        <f t="shared" si="0"/>
        <v>-37</v>
      </c>
      <c r="P17" s="94">
        <f t="shared" ref="P17:P22" si="4">+L17+O17</f>
        <v>-43</v>
      </c>
      <c r="Q17" s="111" t="s">
        <v>89</v>
      </c>
      <c r="R17" s="66" t="s">
        <v>666</v>
      </c>
      <c r="S17" s="99">
        <v>92831295</v>
      </c>
      <c r="T17" s="101">
        <v>24775.200000000001</v>
      </c>
      <c r="U17" s="100">
        <f>+E17+60</f>
        <v>44702</v>
      </c>
      <c r="V17" s="99"/>
      <c r="W17" s="102">
        <v>914033517</v>
      </c>
      <c r="X17" s="102" t="s">
        <v>685</v>
      </c>
    </row>
    <row r="18" spans="1:24" hidden="1" x14ac:dyDescent="0.25">
      <c r="A18" s="554" t="s">
        <v>686</v>
      </c>
      <c r="B18" s="555"/>
      <c r="C18" s="99" t="s">
        <v>665</v>
      </c>
      <c r="D18" s="91">
        <v>44616</v>
      </c>
      <c r="E18" s="100">
        <v>44671</v>
      </c>
      <c r="F18" s="91">
        <v>44656</v>
      </c>
      <c r="G18" s="93">
        <f t="shared" si="2"/>
        <v>-40</v>
      </c>
      <c r="H18" s="92">
        <v>44672</v>
      </c>
      <c r="I18" s="92">
        <v>44692</v>
      </c>
      <c r="J18" s="100">
        <v>44677</v>
      </c>
      <c r="K18" s="100">
        <v>44694</v>
      </c>
      <c r="L18" s="94">
        <f>_xlfn.DAYS(I18,K18)</f>
        <v>-2</v>
      </c>
      <c r="M18" s="100">
        <v>44697</v>
      </c>
      <c r="N18" s="100">
        <v>44737</v>
      </c>
      <c r="O18" s="94">
        <f t="shared" si="0"/>
        <v>-43</v>
      </c>
      <c r="P18" s="94">
        <f t="shared" si="4"/>
        <v>-45</v>
      </c>
      <c r="Q18" s="111" t="s">
        <v>54</v>
      </c>
      <c r="R18" s="66" t="s">
        <v>666</v>
      </c>
      <c r="S18" s="99">
        <v>92845157</v>
      </c>
      <c r="T18" s="101">
        <v>32938.199999999997</v>
      </c>
      <c r="U18" s="100">
        <f>+E18+60</f>
        <v>44731</v>
      </c>
      <c r="V18" s="99"/>
      <c r="W18" s="102">
        <v>914170719</v>
      </c>
      <c r="X18" s="102" t="s">
        <v>683</v>
      </c>
    </row>
    <row r="19" spans="1:24" hidden="1" x14ac:dyDescent="0.25">
      <c r="A19" s="554" t="s">
        <v>687</v>
      </c>
      <c r="B19" s="555"/>
      <c r="C19" s="99" t="s">
        <v>665</v>
      </c>
      <c r="D19" s="91">
        <v>44624</v>
      </c>
      <c r="E19" s="100"/>
      <c r="F19" s="91">
        <v>44687</v>
      </c>
      <c r="G19" s="93">
        <f t="shared" si="2"/>
        <v>-63</v>
      </c>
      <c r="H19" s="92">
        <v>44696</v>
      </c>
      <c r="I19" s="92">
        <v>44716</v>
      </c>
      <c r="J19" s="100">
        <v>44741</v>
      </c>
      <c r="K19" s="100">
        <v>44764</v>
      </c>
      <c r="L19" s="94">
        <f>_xlfn.DAYS(I19,K19)</f>
        <v>-48</v>
      </c>
      <c r="M19" s="99"/>
      <c r="N19" s="99"/>
      <c r="O19" s="94">
        <f t="shared" si="0"/>
        <v>44764</v>
      </c>
      <c r="P19" s="94">
        <f t="shared" si="4"/>
        <v>44716</v>
      </c>
      <c r="Q19" s="111" t="s">
        <v>103</v>
      </c>
      <c r="R19" s="99" t="s">
        <v>688</v>
      </c>
      <c r="S19" s="99"/>
      <c r="T19" s="101"/>
      <c r="U19" s="100"/>
      <c r="V19" s="99"/>
      <c r="W19" s="102"/>
      <c r="X19" s="102"/>
    </row>
    <row r="20" spans="1:24" hidden="1" x14ac:dyDescent="0.25">
      <c r="A20" s="554" t="s">
        <v>689</v>
      </c>
      <c r="B20" s="555"/>
      <c r="C20" s="99" t="s">
        <v>665</v>
      </c>
      <c r="D20" s="91">
        <v>44624</v>
      </c>
      <c r="E20" s="100">
        <v>44694</v>
      </c>
      <c r="F20" s="91">
        <v>44687</v>
      </c>
      <c r="G20" s="93"/>
      <c r="H20" s="92">
        <v>44683</v>
      </c>
      <c r="I20" s="92">
        <v>44703</v>
      </c>
      <c r="J20" s="100">
        <v>44700</v>
      </c>
      <c r="K20" s="100">
        <v>44724</v>
      </c>
      <c r="L20" s="94">
        <f>_xlfn.DAYS(I20,K20)</f>
        <v>-21</v>
      </c>
      <c r="M20" s="100">
        <v>44701</v>
      </c>
      <c r="N20" s="100">
        <v>44757</v>
      </c>
      <c r="O20" s="94">
        <f t="shared" si="0"/>
        <v>-33</v>
      </c>
      <c r="P20" s="94">
        <f t="shared" si="4"/>
        <v>-54</v>
      </c>
      <c r="Q20" s="111" t="s">
        <v>110</v>
      </c>
      <c r="R20" s="66" t="s">
        <v>666</v>
      </c>
      <c r="S20" s="99">
        <v>92855909</v>
      </c>
      <c r="T20" s="101">
        <v>31602.84</v>
      </c>
      <c r="U20" s="100">
        <v>44754</v>
      </c>
      <c r="V20" s="99"/>
      <c r="W20" s="102">
        <v>218051476</v>
      </c>
      <c r="X20" s="102" t="s">
        <v>690</v>
      </c>
    </row>
    <row r="21" spans="1:24" x14ac:dyDescent="0.25">
      <c r="A21" s="554" t="s">
        <v>691</v>
      </c>
      <c r="B21" s="555"/>
      <c r="C21" s="99" t="s">
        <v>665</v>
      </c>
      <c r="D21" s="91">
        <v>44721</v>
      </c>
      <c r="E21" s="100">
        <v>44741</v>
      </c>
      <c r="F21" s="91">
        <v>44734</v>
      </c>
      <c r="G21" s="93"/>
      <c r="H21" s="92">
        <v>44768</v>
      </c>
      <c r="I21" s="92">
        <v>44788</v>
      </c>
      <c r="J21" s="100">
        <v>44747</v>
      </c>
      <c r="K21" s="100">
        <v>44800</v>
      </c>
      <c r="L21" s="94">
        <f>_xlfn.DAYS(I21,K21)</f>
        <v>-12</v>
      </c>
      <c r="M21" s="100">
        <v>44751</v>
      </c>
      <c r="N21" s="100">
        <v>44775</v>
      </c>
      <c r="O21" s="94">
        <f t="shared" si="0"/>
        <v>25</v>
      </c>
      <c r="P21" s="94">
        <f t="shared" si="4"/>
        <v>13</v>
      </c>
      <c r="Q21" s="111" t="s">
        <v>117</v>
      </c>
      <c r="R21" s="66" t="s">
        <v>666</v>
      </c>
      <c r="S21" s="99">
        <v>92880484</v>
      </c>
      <c r="T21" s="101">
        <v>30766.76</v>
      </c>
      <c r="U21" s="100">
        <v>44801</v>
      </c>
      <c r="V21" s="99"/>
      <c r="W21" s="102">
        <v>219246056</v>
      </c>
      <c r="X21" s="102" t="s">
        <v>692</v>
      </c>
    </row>
    <row r="22" spans="1:24" x14ac:dyDescent="0.25">
      <c r="A22" s="554" t="s">
        <v>693</v>
      </c>
      <c r="B22" s="555"/>
      <c r="C22" s="99" t="s">
        <v>665</v>
      </c>
      <c r="D22" s="91">
        <v>44739</v>
      </c>
      <c r="E22" s="100">
        <v>44763</v>
      </c>
      <c r="F22" s="91">
        <v>44753</v>
      </c>
      <c r="G22" s="93"/>
      <c r="H22" s="92">
        <v>44768</v>
      </c>
      <c r="I22" s="92">
        <v>44788</v>
      </c>
      <c r="J22" s="100">
        <v>44771</v>
      </c>
      <c r="K22" s="100">
        <v>44831</v>
      </c>
      <c r="L22" s="94">
        <f>_xlfn.DAYS(I22,K22)</f>
        <v>-43</v>
      </c>
      <c r="M22" s="100">
        <v>44770</v>
      </c>
      <c r="N22" s="100">
        <v>44812</v>
      </c>
      <c r="O22" s="94">
        <f t="shared" si="0"/>
        <v>19</v>
      </c>
      <c r="P22" s="94">
        <f t="shared" si="4"/>
        <v>-24</v>
      </c>
      <c r="Q22" s="111" t="s">
        <v>89</v>
      </c>
      <c r="R22" s="66" t="s">
        <v>666</v>
      </c>
      <c r="S22" s="99">
        <v>92892125</v>
      </c>
      <c r="T22" s="101">
        <v>32500.799999999999</v>
      </c>
      <c r="U22" s="100">
        <v>44823</v>
      </c>
      <c r="V22" s="99"/>
      <c r="W22" s="102">
        <v>914452463</v>
      </c>
      <c r="X22" s="102" t="s">
        <v>694</v>
      </c>
    </row>
    <row r="23" spans="1:24" x14ac:dyDescent="0.25">
      <c r="A23" s="554" t="s">
        <v>695</v>
      </c>
      <c r="B23" s="555"/>
      <c r="C23" s="99" t="s">
        <v>668</v>
      </c>
      <c r="D23" s="91">
        <v>44750</v>
      </c>
      <c r="E23" s="100"/>
      <c r="F23" s="91">
        <v>44757</v>
      </c>
      <c r="G23" s="93"/>
      <c r="H23" s="92"/>
      <c r="I23" s="92"/>
      <c r="J23" s="100"/>
      <c r="K23" s="100"/>
      <c r="L23" s="94"/>
      <c r="M23" s="100"/>
      <c r="N23" s="100"/>
      <c r="O23" s="94"/>
      <c r="P23" s="94"/>
      <c r="Q23" s="111" t="s">
        <v>669</v>
      </c>
      <c r="R23" s="99" t="s">
        <v>688</v>
      </c>
      <c r="S23" s="99"/>
      <c r="T23" s="101"/>
      <c r="U23" s="100"/>
      <c r="V23" s="99"/>
      <c r="W23" s="102"/>
      <c r="X23" s="102"/>
    </row>
    <row r="24" spans="1:24" x14ac:dyDescent="0.25">
      <c r="A24" s="554" t="s">
        <v>696</v>
      </c>
      <c r="B24" s="555"/>
      <c r="C24" s="99" t="s">
        <v>665</v>
      </c>
      <c r="D24" s="91"/>
      <c r="E24" s="100"/>
      <c r="F24" s="91"/>
      <c r="G24" s="93"/>
      <c r="H24" s="92"/>
      <c r="I24" s="92"/>
      <c r="J24" s="100"/>
      <c r="K24" s="100"/>
      <c r="L24" s="94"/>
      <c r="M24" s="100"/>
      <c r="N24" s="100"/>
      <c r="O24" s="94"/>
      <c r="P24" s="94"/>
      <c r="Q24" s="111"/>
      <c r="R24" s="99"/>
      <c r="S24" s="99"/>
      <c r="T24" s="101"/>
      <c r="U24" s="100"/>
      <c r="V24" s="99"/>
      <c r="W24" s="102"/>
      <c r="X24" s="102"/>
    </row>
    <row r="25" spans="1:24" x14ac:dyDescent="0.25">
      <c r="A25" s="554"/>
      <c r="B25" s="555"/>
      <c r="C25" s="99"/>
      <c r="D25" s="91"/>
      <c r="E25" s="100"/>
      <c r="F25" s="91"/>
      <c r="G25" s="93"/>
      <c r="H25" s="92"/>
      <c r="I25" s="92"/>
      <c r="J25" s="100"/>
      <c r="K25" s="100"/>
      <c r="L25" s="94"/>
      <c r="M25" s="100"/>
      <c r="N25" s="100"/>
      <c r="O25" s="94"/>
      <c r="P25" s="94"/>
      <c r="Q25" s="111"/>
      <c r="R25" s="99"/>
      <c r="S25" s="99"/>
      <c r="T25" s="101"/>
      <c r="U25" s="100"/>
      <c r="V25" s="99"/>
      <c r="W25" s="102"/>
      <c r="X25" s="102"/>
    </row>
    <row r="26" spans="1:24" x14ac:dyDescent="0.25">
      <c r="A26" s="554"/>
      <c r="B26" s="555"/>
      <c r="C26" s="99"/>
      <c r="D26" s="91"/>
      <c r="E26" s="100"/>
      <c r="F26" s="91"/>
      <c r="G26" s="93"/>
      <c r="H26" s="92"/>
      <c r="I26" s="92"/>
      <c r="J26" s="100"/>
      <c r="K26" s="100"/>
      <c r="L26" s="94"/>
      <c r="M26" s="100"/>
      <c r="N26" s="100"/>
      <c r="O26" s="94"/>
      <c r="P26" s="94"/>
      <c r="Q26" s="111"/>
      <c r="R26" s="99"/>
      <c r="S26" s="99"/>
      <c r="T26" s="101"/>
      <c r="U26" s="100"/>
      <c r="V26" s="99"/>
      <c r="W26" s="102"/>
      <c r="X26" s="102"/>
    </row>
    <row r="27" spans="1:24" x14ac:dyDescent="0.25">
      <c r="A27" s="301"/>
      <c r="B27" s="301"/>
      <c r="C27" s="102"/>
      <c r="D27" s="302"/>
      <c r="E27" s="303"/>
      <c r="F27" s="302"/>
      <c r="G27" s="304"/>
      <c r="H27" s="109"/>
      <c r="I27" s="109"/>
      <c r="J27" s="303"/>
      <c r="K27" s="303"/>
      <c r="L27" s="305"/>
      <c r="M27" s="303"/>
      <c r="N27" s="303"/>
      <c r="O27" s="305"/>
      <c r="P27" s="305"/>
      <c r="Q27" s="306"/>
      <c r="R27" s="102"/>
      <c r="S27" s="102"/>
      <c r="T27" s="307"/>
      <c r="U27" s="303"/>
      <c r="V27" s="102"/>
      <c r="W27" s="102"/>
      <c r="X27" s="102"/>
    </row>
    <row r="28" spans="1:24" x14ac:dyDescent="0.25">
      <c r="A28" s="301"/>
      <c r="B28" s="301"/>
      <c r="C28" s="102"/>
      <c r="D28" s="302"/>
      <c r="E28" s="303"/>
      <c r="F28" s="302"/>
      <c r="G28" s="304"/>
      <c r="H28" s="109"/>
      <c r="I28" s="109"/>
      <c r="J28" s="303"/>
      <c r="K28" s="303"/>
      <c r="L28" s="305"/>
      <c r="M28" s="303"/>
      <c r="N28" s="303"/>
      <c r="O28" s="305"/>
      <c r="P28" s="305"/>
      <c r="Q28" s="306"/>
      <c r="R28" s="102"/>
      <c r="S28" s="102"/>
      <c r="T28" s="307"/>
      <c r="U28" s="303"/>
      <c r="V28" s="102"/>
      <c r="W28" s="102"/>
      <c r="X28" s="102"/>
    </row>
    <row r="29" spans="1:24" x14ac:dyDescent="0.25">
      <c r="D29">
        <f>_xlfn.DAYS(N16,D16)</f>
        <v>135</v>
      </c>
      <c r="E29" t="s">
        <v>697</v>
      </c>
    </row>
    <row r="30" spans="1:24" x14ac:dyDescent="0.25">
      <c r="D30">
        <f>_xlfn.DAYS(N17,D17)</f>
        <v>96</v>
      </c>
      <c r="E30" t="s">
        <v>697</v>
      </c>
    </row>
    <row r="31" spans="1:24" x14ac:dyDescent="0.25">
      <c r="D31">
        <f>_xlfn.DAYS(N18,D18)</f>
        <v>121</v>
      </c>
      <c r="E31" t="s">
        <v>697</v>
      </c>
    </row>
  </sheetData>
  <mergeCells count="25">
    <mergeCell ref="A13:B13"/>
    <mergeCell ref="A14:B14"/>
    <mergeCell ref="A15:B15"/>
    <mergeCell ref="A21:B21"/>
    <mergeCell ref="A22:B22"/>
    <mergeCell ref="A16:B16"/>
    <mergeCell ref="A17:B17"/>
    <mergeCell ref="A18:B18"/>
    <mergeCell ref="A20:B20"/>
    <mergeCell ref="A24:B24"/>
    <mergeCell ref="A25:B25"/>
    <mergeCell ref="A26:B26"/>
    <mergeCell ref="A23:B23"/>
    <mergeCell ref="A1:D1"/>
    <mergeCell ref="A3:B3"/>
    <mergeCell ref="A4:B4"/>
    <mergeCell ref="A5:B5"/>
    <mergeCell ref="A6:B6"/>
    <mergeCell ref="A7:B7"/>
    <mergeCell ref="A19:B19"/>
    <mergeCell ref="A8:B8"/>
    <mergeCell ref="A9:B9"/>
    <mergeCell ref="A10:B10"/>
    <mergeCell ref="A11:B11"/>
    <mergeCell ref="A12:B12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D82A8-EEB7-4011-B089-0CBEEBC607FE}">
  <sheetPr codeName="Hoja6">
    <tabColor rgb="FF00B0F0"/>
  </sheetPr>
  <dimension ref="A1:BF130"/>
  <sheetViews>
    <sheetView workbookViewId="0">
      <selection activeCell="L137" sqref="L137"/>
    </sheetView>
  </sheetViews>
  <sheetFormatPr baseColWidth="10" defaultColWidth="11.42578125" defaultRowHeight="15" x14ac:dyDescent="0.25"/>
  <cols>
    <col min="4" max="5" width="0" hidden="1" customWidth="1"/>
    <col min="6" max="6" width="14.85546875" bestFit="1" customWidth="1"/>
    <col min="7" max="7" width="25" bestFit="1" customWidth="1"/>
    <col min="10" max="10" width="14.42578125" bestFit="1" customWidth="1"/>
    <col min="11" max="11" width="17.28515625" bestFit="1" customWidth="1"/>
    <col min="13" max="58" width="0" hidden="1" customWidth="1"/>
  </cols>
  <sheetData>
    <row r="1" spans="1:58" ht="15.75" x14ac:dyDescent="0.25">
      <c r="A1" s="563" t="s">
        <v>698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  <c r="R1" s="563"/>
      <c r="S1" s="563"/>
      <c r="T1" s="563"/>
      <c r="U1" s="563"/>
      <c r="V1" s="563"/>
      <c r="W1" s="563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5"/>
      <c r="BB1" s="115"/>
      <c r="BC1" s="115"/>
      <c r="BD1" s="116"/>
      <c r="BE1" s="116"/>
      <c r="BF1" s="116"/>
    </row>
    <row r="2" spans="1:58" ht="15.75" x14ac:dyDescent="0.25">
      <c r="A2" s="564" t="s">
        <v>699</v>
      </c>
      <c r="B2" s="564"/>
      <c r="C2" s="564"/>
      <c r="D2" s="564"/>
      <c r="E2" s="564"/>
      <c r="F2" s="564"/>
      <c r="G2" s="564"/>
      <c r="H2" s="564"/>
      <c r="I2" s="564"/>
      <c r="J2" s="564"/>
      <c r="K2" s="564"/>
      <c r="L2" s="564"/>
      <c r="M2" s="564"/>
      <c r="N2" s="564"/>
      <c r="O2" s="564"/>
      <c r="P2" s="564"/>
      <c r="Q2" s="564"/>
      <c r="R2" s="564"/>
      <c r="S2" s="564"/>
      <c r="T2" s="564"/>
      <c r="U2" s="564"/>
      <c r="V2" s="564"/>
      <c r="W2" s="564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5"/>
      <c r="BB2" s="115"/>
      <c r="BC2" s="115"/>
      <c r="BD2" s="116"/>
      <c r="BE2" s="116"/>
      <c r="BF2" s="116"/>
    </row>
    <row r="3" spans="1:58" x14ac:dyDescent="0.25">
      <c r="A3" s="115"/>
      <c r="B3" s="115"/>
      <c r="C3" s="115"/>
      <c r="D3" s="115"/>
      <c r="E3" s="118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6"/>
      <c r="BE3" s="116"/>
      <c r="BF3" s="116"/>
    </row>
    <row r="4" spans="1:58" ht="39" x14ac:dyDescent="0.25">
      <c r="A4" s="565" t="s">
        <v>42</v>
      </c>
      <c r="B4" s="565"/>
      <c r="C4" s="565"/>
      <c r="D4" s="565"/>
      <c r="E4" s="565"/>
      <c r="F4" s="565"/>
      <c r="G4" s="565"/>
      <c r="H4" s="565"/>
      <c r="I4" s="565"/>
      <c r="J4" s="565"/>
      <c r="K4" s="565"/>
      <c r="L4" s="565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20">
        <v>2020</v>
      </c>
      <c r="Z4" s="120">
        <v>2020</v>
      </c>
      <c r="AA4" s="120">
        <v>2020</v>
      </c>
      <c r="AB4" s="120">
        <v>2020</v>
      </c>
      <c r="AC4" s="120">
        <v>2020</v>
      </c>
      <c r="AD4" s="120">
        <v>2020</v>
      </c>
      <c r="AE4" s="120">
        <v>2020</v>
      </c>
      <c r="AF4" s="120">
        <v>2020</v>
      </c>
      <c r="AG4" s="120">
        <v>2020</v>
      </c>
      <c r="AH4" s="120">
        <v>2020</v>
      </c>
      <c r="AI4" s="120">
        <v>2020</v>
      </c>
      <c r="AJ4" s="120">
        <v>2020</v>
      </c>
      <c r="AK4" s="120">
        <v>2021</v>
      </c>
      <c r="AL4" s="120">
        <v>2021</v>
      </c>
      <c r="AM4" s="120">
        <v>2021</v>
      </c>
      <c r="AN4" s="120">
        <v>2021</v>
      </c>
      <c r="AO4" s="120">
        <v>2021</v>
      </c>
      <c r="AP4" s="120">
        <v>2021</v>
      </c>
      <c r="AQ4" s="120">
        <v>2021</v>
      </c>
      <c r="AR4" s="120">
        <v>2021</v>
      </c>
      <c r="AS4" s="120">
        <v>2021</v>
      </c>
      <c r="AT4" s="120">
        <v>2021</v>
      </c>
      <c r="AU4" s="120">
        <v>2021</v>
      </c>
      <c r="AV4" s="120">
        <v>2021</v>
      </c>
      <c r="AW4" s="120">
        <v>2022</v>
      </c>
      <c r="AX4" s="120">
        <v>2022</v>
      </c>
      <c r="AY4" s="120">
        <v>2022</v>
      </c>
      <c r="AZ4" s="121"/>
      <c r="BA4" s="122" t="s">
        <v>700</v>
      </c>
      <c r="BB4" s="122" t="s">
        <v>701</v>
      </c>
      <c r="BC4" s="122" t="s">
        <v>702</v>
      </c>
      <c r="BD4" s="123" t="s">
        <v>642</v>
      </c>
      <c r="BE4" s="116"/>
      <c r="BF4" s="116"/>
    </row>
    <row r="5" spans="1:58" ht="48" x14ac:dyDescent="0.25">
      <c r="A5" s="124" t="s">
        <v>703</v>
      </c>
      <c r="B5" s="125" t="s">
        <v>633</v>
      </c>
      <c r="C5" s="125" t="s">
        <v>8</v>
      </c>
      <c r="D5" s="126" t="s">
        <v>662</v>
      </c>
      <c r="E5" s="127" t="s">
        <v>704</v>
      </c>
      <c r="F5" s="128" t="s">
        <v>705</v>
      </c>
      <c r="G5" s="129" t="s">
        <v>706</v>
      </c>
      <c r="H5" s="124" t="s">
        <v>707</v>
      </c>
      <c r="I5" s="130" t="s">
        <v>708</v>
      </c>
      <c r="J5" s="131" t="s">
        <v>709</v>
      </c>
      <c r="K5" s="131" t="s">
        <v>710</v>
      </c>
      <c r="L5" s="132" t="s">
        <v>711</v>
      </c>
      <c r="M5" s="133" t="s">
        <v>712</v>
      </c>
      <c r="N5" s="134" t="s">
        <v>713</v>
      </c>
      <c r="O5" s="135" t="s">
        <v>714</v>
      </c>
      <c r="P5" s="136" t="s">
        <v>715</v>
      </c>
      <c r="Q5" s="137" t="s">
        <v>716</v>
      </c>
      <c r="R5" s="138" t="s">
        <v>717</v>
      </c>
      <c r="S5" s="139" t="s">
        <v>718</v>
      </c>
      <c r="T5" s="140" t="s">
        <v>719</v>
      </c>
      <c r="U5" s="141" t="s">
        <v>720</v>
      </c>
      <c r="V5" s="142" t="s">
        <v>721</v>
      </c>
      <c r="W5" s="143" t="s">
        <v>722</v>
      </c>
      <c r="X5" s="144" t="s">
        <v>723</v>
      </c>
      <c r="Y5" s="145" t="s">
        <v>712</v>
      </c>
      <c r="Z5" s="146" t="s">
        <v>713</v>
      </c>
      <c r="AA5" s="147" t="s">
        <v>714</v>
      </c>
      <c r="AB5" s="148" t="s">
        <v>715</v>
      </c>
      <c r="AC5" s="149" t="s">
        <v>716</v>
      </c>
      <c r="AD5" s="143" t="s">
        <v>717</v>
      </c>
      <c r="AE5" s="150" t="s">
        <v>718</v>
      </c>
      <c r="AF5" s="151" t="s">
        <v>719</v>
      </c>
      <c r="AG5" s="145" t="s">
        <v>724</v>
      </c>
      <c r="AH5" s="152" t="s">
        <v>725</v>
      </c>
      <c r="AI5" s="153" t="s">
        <v>726</v>
      </c>
      <c r="AJ5" s="154" t="s">
        <v>727</v>
      </c>
      <c r="AK5" s="155" t="s">
        <v>728</v>
      </c>
      <c r="AL5" s="148" t="s">
        <v>729</v>
      </c>
      <c r="AM5" s="145" t="s">
        <v>730</v>
      </c>
      <c r="AN5" s="156" t="s">
        <v>731</v>
      </c>
      <c r="AO5" s="147" t="s">
        <v>732</v>
      </c>
      <c r="AP5" s="157" t="s">
        <v>733</v>
      </c>
      <c r="AQ5" s="158" t="s">
        <v>734</v>
      </c>
      <c r="AR5" s="159" t="s">
        <v>735</v>
      </c>
      <c r="AS5" s="160" t="s">
        <v>724</v>
      </c>
      <c r="AT5" s="161" t="s">
        <v>725</v>
      </c>
      <c r="AU5" s="162" t="s">
        <v>726</v>
      </c>
      <c r="AV5" s="163" t="s">
        <v>727</v>
      </c>
      <c r="AW5" s="164" t="s">
        <v>728</v>
      </c>
      <c r="AX5" s="165" t="s">
        <v>729</v>
      </c>
      <c r="AY5" s="155" t="s">
        <v>730</v>
      </c>
      <c r="AZ5" s="166" t="s">
        <v>736</v>
      </c>
      <c r="BA5" s="167" t="s">
        <v>737</v>
      </c>
      <c r="BB5" s="168"/>
      <c r="BC5" s="168"/>
      <c r="BD5" s="169" t="s">
        <v>738</v>
      </c>
      <c r="BE5" s="170" t="s">
        <v>739</v>
      </c>
      <c r="BF5" s="171" t="s">
        <v>740</v>
      </c>
    </row>
    <row r="6" spans="1:58" ht="15.75" hidden="1" x14ac:dyDescent="0.25">
      <c r="A6" s="172">
        <v>43476</v>
      </c>
      <c r="B6" s="172">
        <v>43481</v>
      </c>
      <c r="C6" s="172">
        <v>43507</v>
      </c>
      <c r="D6" s="172">
        <v>43509</v>
      </c>
      <c r="E6" s="173">
        <v>43515</v>
      </c>
      <c r="F6" s="174">
        <v>92332682</v>
      </c>
      <c r="G6" s="175" t="s">
        <v>741</v>
      </c>
      <c r="H6" s="121">
        <v>92335771</v>
      </c>
      <c r="I6" s="121" t="s">
        <v>668</v>
      </c>
      <c r="J6" s="119">
        <v>25526.04</v>
      </c>
      <c r="K6" s="176" t="s">
        <v>742</v>
      </c>
      <c r="L6" s="177">
        <f t="shared" ref="L6:L11" si="0">A6+60</f>
        <v>43536</v>
      </c>
      <c r="M6" s="119"/>
      <c r="N6" s="119"/>
      <c r="O6" s="119"/>
      <c r="P6" s="119"/>
      <c r="Q6" s="119"/>
      <c r="R6" s="178"/>
      <c r="S6" s="119"/>
      <c r="T6" s="119"/>
      <c r="U6" s="119"/>
      <c r="V6" s="119"/>
      <c r="W6" s="179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80"/>
      <c r="AS6" s="180"/>
      <c r="AT6" s="180"/>
      <c r="AU6" s="180"/>
      <c r="AV6" s="180"/>
      <c r="AW6" s="180"/>
      <c r="AX6" s="180"/>
      <c r="AY6" s="180"/>
      <c r="AZ6" s="181">
        <f>O6</f>
        <v>0</v>
      </c>
      <c r="BA6" s="182">
        <v>19.252400000000002</v>
      </c>
      <c r="BB6" s="182">
        <v>1.1476</v>
      </c>
      <c r="BC6" s="182">
        <v>21.985800000000001</v>
      </c>
      <c r="BD6" s="183">
        <f>+J6*BA6*BB6</f>
        <v>563973.71229240962</v>
      </c>
      <c r="BE6" s="183">
        <v>557233.44999999995</v>
      </c>
      <c r="BF6" s="184">
        <f>+BE6-BD6</f>
        <v>-6740.262292409665</v>
      </c>
    </row>
    <row r="7" spans="1:58" ht="15.75" hidden="1" x14ac:dyDescent="0.25">
      <c r="A7" s="172">
        <v>43476</v>
      </c>
      <c r="B7" s="172">
        <v>43481</v>
      </c>
      <c r="C7" s="172">
        <v>43507</v>
      </c>
      <c r="D7" s="172">
        <v>43509</v>
      </c>
      <c r="E7" s="173">
        <v>43515</v>
      </c>
      <c r="F7" s="174">
        <v>92332683</v>
      </c>
      <c r="G7" s="175" t="s">
        <v>743</v>
      </c>
      <c r="H7" s="121">
        <v>92336448</v>
      </c>
      <c r="I7" s="121" t="s">
        <v>668</v>
      </c>
      <c r="J7" s="119">
        <v>22632</v>
      </c>
      <c r="K7" s="176" t="s">
        <v>744</v>
      </c>
      <c r="L7" s="177">
        <f t="shared" si="0"/>
        <v>43536</v>
      </c>
      <c r="M7" s="119"/>
      <c r="N7" s="119"/>
      <c r="O7" s="119"/>
      <c r="P7" s="119"/>
      <c r="Q7" s="119"/>
      <c r="R7" s="178"/>
      <c r="S7" s="119"/>
      <c r="T7" s="119"/>
      <c r="U7" s="119"/>
      <c r="V7" s="119"/>
      <c r="W7" s="179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80"/>
      <c r="AT7" s="180"/>
      <c r="AU7" s="180"/>
      <c r="AV7" s="180"/>
      <c r="AW7" s="180"/>
      <c r="AX7" s="180"/>
      <c r="AY7" s="180"/>
      <c r="AZ7" s="181">
        <f>O7</f>
        <v>0</v>
      </c>
      <c r="BA7" s="182">
        <v>19.252400000000002</v>
      </c>
      <c r="BB7" s="182">
        <v>1.1476</v>
      </c>
      <c r="BC7" s="182">
        <v>21.985800000000001</v>
      </c>
      <c r="BD7" s="183">
        <f>+J7*BA7*BB7</f>
        <v>500032.63555968</v>
      </c>
      <c r="BE7" s="183">
        <v>494735.52</v>
      </c>
      <c r="BF7" s="184">
        <f t="shared" ref="BF7:BF16" si="1">+BE7-BD7</f>
        <v>-5297.1155596799799</v>
      </c>
    </row>
    <row r="8" spans="1:58" ht="15.75" hidden="1" x14ac:dyDescent="0.25">
      <c r="A8" s="172">
        <v>43482</v>
      </c>
      <c r="B8" s="172">
        <v>43488</v>
      </c>
      <c r="C8" s="172">
        <v>43514</v>
      </c>
      <c r="D8" s="172">
        <v>43523</v>
      </c>
      <c r="E8" s="173">
        <v>43529</v>
      </c>
      <c r="F8" s="174">
        <v>92333464</v>
      </c>
      <c r="G8" s="175" t="s">
        <v>745</v>
      </c>
      <c r="H8" s="121">
        <v>92338345</v>
      </c>
      <c r="I8" s="121" t="s">
        <v>668</v>
      </c>
      <c r="J8" s="119">
        <v>22632</v>
      </c>
      <c r="K8" s="176" t="s">
        <v>744</v>
      </c>
      <c r="L8" s="177">
        <f t="shared" si="0"/>
        <v>43542</v>
      </c>
      <c r="M8" s="172"/>
      <c r="N8" s="172"/>
      <c r="O8" s="119"/>
      <c r="P8" s="119"/>
      <c r="Q8" s="119"/>
      <c r="R8" s="178"/>
      <c r="S8" s="119"/>
      <c r="T8" s="119"/>
      <c r="U8" s="119"/>
      <c r="V8" s="119"/>
      <c r="W8" s="179"/>
      <c r="X8" s="180"/>
      <c r="Y8" s="180"/>
      <c r="Z8" s="180"/>
      <c r="AA8" s="180"/>
      <c r="AB8" s="180"/>
      <c r="AC8" s="180"/>
      <c r="AD8" s="180"/>
      <c r="AE8" s="180"/>
      <c r="AF8" s="180"/>
      <c r="AG8" s="180"/>
      <c r="AH8" s="180"/>
      <c r="AI8" s="180"/>
      <c r="AJ8" s="180"/>
      <c r="AK8" s="180"/>
      <c r="AL8" s="180"/>
      <c r="AM8" s="180"/>
      <c r="AN8" s="180"/>
      <c r="AO8" s="180"/>
      <c r="AP8" s="180"/>
      <c r="AQ8" s="180"/>
      <c r="AR8" s="180"/>
      <c r="AS8" s="180"/>
      <c r="AT8" s="180"/>
      <c r="AU8" s="180"/>
      <c r="AV8" s="180"/>
      <c r="AW8" s="180"/>
      <c r="AX8" s="180"/>
      <c r="AY8" s="180"/>
      <c r="AZ8" s="181">
        <f>O8</f>
        <v>0</v>
      </c>
      <c r="BA8" s="182">
        <v>19.118500000000001</v>
      </c>
      <c r="BB8" s="182">
        <v>1.1476</v>
      </c>
      <c r="BC8" s="182">
        <v>21.901299999999999</v>
      </c>
      <c r="BD8" s="183">
        <f>+J8*BA8*BB8</f>
        <v>496554.92005919997</v>
      </c>
      <c r="BE8" s="183">
        <v>487945.92</v>
      </c>
      <c r="BF8" s="184">
        <f t="shared" si="1"/>
        <v>-8609.0000591999851</v>
      </c>
    </row>
    <row r="9" spans="1:58" ht="15.75" hidden="1" x14ac:dyDescent="0.25">
      <c r="A9" s="172">
        <v>43475</v>
      </c>
      <c r="B9" s="172">
        <v>43481</v>
      </c>
      <c r="C9" s="172">
        <v>43500</v>
      </c>
      <c r="D9" s="172"/>
      <c r="E9" s="173">
        <v>43509</v>
      </c>
      <c r="F9" s="174">
        <v>92333462</v>
      </c>
      <c r="G9" s="175" t="s">
        <v>746</v>
      </c>
      <c r="H9" s="121">
        <v>92335330</v>
      </c>
      <c r="I9" s="121" t="s">
        <v>665</v>
      </c>
      <c r="J9" s="119">
        <v>22737.960000000003</v>
      </c>
      <c r="K9" s="176" t="s">
        <v>747</v>
      </c>
      <c r="L9" s="177">
        <f t="shared" si="0"/>
        <v>43535</v>
      </c>
      <c r="M9" s="119"/>
      <c r="N9" s="119"/>
      <c r="O9" s="119"/>
      <c r="P9" s="119"/>
      <c r="Q9" s="119"/>
      <c r="R9" s="178"/>
      <c r="S9" s="119"/>
      <c r="T9" s="119"/>
      <c r="U9" s="119"/>
      <c r="V9" s="119"/>
      <c r="W9" s="179"/>
      <c r="X9" s="180"/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  <c r="AJ9" s="180"/>
      <c r="AK9" s="180"/>
      <c r="AL9" s="180"/>
      <c r="AM9" s="180"/>
      <c r="AN9" s="180"/>
      <c r="AO9" s="180"/>
      <c r="AP9" s="180"/>
      <c r="AQ9" s="180"/>
      <c r="AR9" s="180"/>
      <c r="AS9" s="180"/>
      <c r="AT9" s="180"/>
      <c r="AU9" s="180"/>
      <c r="AV9" s="180"/>
      <c r="AW9" s="180"/>
      <c r="AX9" s="180"/>
      <c r="AY9" s="180"/>
      <c r="AZ9" s="181">
        <f>O9</f>
        <v>0</v>
      </c>
      <c r="BA9" s="182">
        <v>19.0824</v>
      </c>
      <c r="BB9" s="182">
        <v>1.1434</v>
      </c>
      <c r="BC9" s="182">
        <v>21.614799999999999</v>
      </c>
      <c r="BD9" s="183">
        <f>+J9*BA9*BB9</f>
        <v>496115.3690934336</v>
      </c>
      <c r="BE9" s="183">
        <v>496597.05</v>
      </c>
      <c r="BF9" s="184">
        <f t="shared" si="1"/>
        <v>481.68090656638378</v>
      </c>
    </row>
    <row r="10" spans="1:58" ht="15.75" hidden="1" x14ac:dyDescent="0.25">
      <c r="A10" s="172">
        <v>43496</v>
      </c>
      <c r="B10" s="172">
        <v>43502</v>
      </c>
      <c r="C10" s="185">
        <v>43522</v>
      </c>
      <c r="D10" s="172">
        <v>43525</v>
      </c>
      <c r="E10" s="186">
        <v>43531</v>
      </c>
      <c r="F10" s="174">
        <v>92336475</v>
      </c>
      <c r="G10" s="175" t="s">
        <v>748</v>
      </c>
      <c r="H10" s="121">
        <v>92344683</v>
      </c>
      <c r="I10" s="121" t="s">
        <v>749</v>
      </c>
      <c r="J10" s="187">
        <v>22389.03</v>
      </c>
      <c r="K10" s="176" t="s">
        <v>750</v>
      </c>
      <c r="L10" s="177">
        <f t="shared" si="0"/>
        <v>43556</v>
      </c>
      <c r="M10" s="119"/>
      <c r="N10" s="119"/>
      <c r="O10" s="119"/>
      <c r="P10" s="119"/>
      <c r="Q10" s="119"/>
      <c r="R10" s="178"/>
      <c r="S10" s="119"/>
      <c r="T10" s="119"/>
      <c r="U10" s="119"/>
      <c r="V10" s="119"/>
      <c r="W10" s="179"/>
      <c r="X10" s="180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0"/>
      <c r="AT10" s="180"/>
      <c r="AU10" s="180"/>
      <c r="AV10" s="180"/>
      <c r="AW10" s="180"/>
      <c r="AX10" s="180"/>
      <c r="AY10" s="180"/>
      <c r="AZ10" s="181">
        <f t="shared" ref="AZ10:AZ15" si="2">P10</f>
        <v>0</v>
      </c>
      <c r="BA10" s="188">
        <v>19.163</v>
      </c>
      <c r="BB10" s="188">
        <v>1.1476</v>
      </c>
      <c r="BC10" s="188">
        <v>21.989000000000001</v>
      </c>
      <c r="BD10" s="189">
        <f t="shared" ref="BD10:BD16" si="3">+J10*BA10*BB10</f>
        <v>492367.43081696396</v>
      </c>
      <c r="BE10" s="189">
        <f>+J10*21.535</f>
        <v>482147.76104999997</v>
      </c>
      <c r="BF10" s="190">
        <f t="shared" si="1"/>
        <v>-10219.669766963983</v>
      </c>
    </row>
    <row r="11" spans="1:58" ht="15.75" hidden="1" x14ac:dyDescent="0.25">
      <c r="A11" s="172">
        <v>43496</v>
      </c>
      <c r="B11" s="172">
        <v>43502</v>
      </c>
      <c r="C11" s="185">
        <v>43521</v>
      </c>
      <c r="D11" s="172"/>
      <c r="E11" s="173">
        <v>43525</v>
      </c>
      <c r="F11" s="174">
        <v>92337118</v>
      </c>
      <c r="G11" s="175" t="s">
        <v>751</v>
      </c>
      <c r="H11" s="121">
        <v>92344706</v>
      </c>
      <c r="I11" s="121" t="s">
        <v>665</v>
      </c>
      <c r="J11" s="187">
        <v>23941.599999999999</v>
      </c>
      <c r="K11" s="176" t="s">
        <v>750</v>
      </c>
      <c r="L11" s="177">
        <f t="shared" si="0"/>
        <v>43556</v>
      </c>
      <c r="M11" s="119"/>
      <c r="N11" s="119"/>
      <c r="O11" s="119"/>
      <c r="P11" s="119"/>
      <c r="Q11" s="119"/>
      <c r="R11" s="178"/>
      <c r="S11" s="119"/>
      <c r="T11" s="119"/>
      <c r="U11" s="119"/>
      <c r="V11" s="119"/>
      <c r="W11" s="179"/>
      <c r="X11" s="180"/>
      <c r="Y11" s="180"/>
      <c r="Z11" s="180"/>
      <c r="AA11" s="180"/>
      <c r="AB11" s="180"/>
      <c r="AC11" s="180"/>
      <c r="AD11" s="180"/>
      <c r="AE11" s="180"/>
      <c r="AF11" s="180"/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  <c r="AT11" s="180"/>
      <c r="AU11" s="180"/>
      <c r="AV11" s="180"/>
      <c r="AW11" s="180"/>
      <c r="AX11" s="180"/>
      <c r="AY11" s="180"/>
      <c r="AZ11" s="181">
        <f t="shared" si="2"/>
        <v>0</v>
      </c>
      <c r="BA11" s="191">
        <v>19.2652</v>
      </c>
      <c r="BB11" s="191">
        <v>1.1476</v>
      </c>
      <c r="BC11" s="191">
        <v>21.726299999999998</v>
      </c>
      <c r="BD11" s="189">
        <f t="shared" si="3"/>
        <v>529318.693858432</v>
      </c>
      <c r="BE11" s="190">
        <f>+J11*21.535</f>
        <v>515582.35599999997</v>
      </c>
      <c r="BF11" s="190">
        <f t="shared" si="1"/>
        <v>-13736.337858432031</v>
      </c>
    </row>
    <row r="12" spans="1:58" ht="15.75" hidden="1" x14ac:dyDescent="0.25">
      <c r="A12" s="172">
        <v>43517</v>
      </c>
      <c r="B12" s="172">
        <v>43521</v>
      </c>
      <c r="C12" s="185">
        <v>43544</v>
      </c>
      <c r="D12" s="172"/>
      <c r="E12" s="173">
        <v>43550</v>
      </c>
      <c r="F12" s="174">
        <v>92346985</v>
      </c>
      <c r="G12" s="175" t="s">
        <v>752</v>
      </c>
      <c r="H12" s="121">
        <v>92353879</v>
      </c>
      <c r="I12" s="121" t="s">
        <v>668</v>
      </c>
      <c r="J12" s="187">
        <v>27290.28</v>
      </c>
      <c r="K12" s="176" t="s">
        <v>742</v>
      </c>
      <c r="L12" s="177" t="e">
        <f>#REF!+60</f>
        <v>#REF!</v>
      </c>
      <c r="M12" s="119"/>
      <c r="N12" s="119"/>
      <c r="O12" s="119"/>
      <c r="P12" s="119"/>
      <c r="Q12" s="119"/>
      <c r="R12" s="178"/>
      <c r="S12" s="119"/>
      <c r="T12" s="119"/>
      <c r="U12" s="119"/>
      <c r="V12" s="119"/>
      <c r="W12" s="179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>
        <f t="shared" si="2"/>
        <v>0</v>
      </c>
      <c r="BA12" s="191">
        <v>19.3233</v>
      </c>
      <c r="BB12" s="191">
        <v>1.13855</v>
      </c>
      <c r="BC12" s="191">
        <v>21.574999999999999</v>
      </c>
      <c r="BD12" s="189">
        <f t="shared" si="3"/>
        <v>600400.98448945023</v>
      </c>
      <c r="BE12" s="190">
        <v>579099.74</v>
      </c>
      <c r="BF12" s="190">
        <f t="shared" si="1"/>
        <v>-21301.244489450241</v>
      </c>
    </row>
    <row r="13" spans="1:58" ht="15.75" hidden="1" x14ac:dyDescent="0.25">
      <c r="A13" s="172">
        <v>43517</v>
      </c>
      <c r="B13" s="172">
        <v>43523</v>
      </c>
      <c r="C13" s="185">
        <v>43543</v>
      </c>
      <c r="D13" s="172">
        <v>43544</v>
      </c>
      <c r="E13" s="173">
        <v>43554</v>
      </c>
      <c r="F13" s="174">
        <v>92348015</v>
      </c>
      <c r="G13" s="175" t="s">
        <v>753</v>
      </c>
      <c r="H13" s="121">
        <v>92353914</v>
      </c>
      <c r="I13" s="121" t="s">
        <v>749</v>
      </c>
      <c r="J13" s="187">
        <v>21302.04</v>
      </c>
      <c r="K13" s="176" t="s">
        <v>750</v>
      </c>
      <c r="L13" s="177" t="e">
        <f>#REF!+60</f>
        <v>#REF!</v>
      </c>
      <c r="M13" s="119"/>
      <c r="N13" s="119"/>
      <c r="O13" s="119"/>
      <c r="P13" s="119"/>
      <c r="Q13" s="119"/>
      <c r="R13" s="178"/>
      <c r="S13" s="119"/>
      <c r="T13" s="119"/>
      <c r="U13" s="119"/>
      <c r="V13" s="119"/>
      <c r="W13" s="179"/>
      <c r="X13" s="180"/>
      <c r="Y13" s="180"/>
      <c r="Z13" s="180"/>
      <c r="AA13" s="180"/>
      <c r="AB13" s="180"/>
      <c r="AC13" s="180"/>
      <c r="AD13" s="180"/>
      <c r="AE13" s="180"/>
      <c r="AF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  <c r="AR13" s="180"/>
      <c r="AS13" s="180"/>
      <c r="AT13" s="180"/>
      <c r="AU13" s="180"/>
      <c r="AV13" s="180"/>
      <c r="AW13" s="180"/>
      <c r="AX13" s="180"/>
      <c r="AY13" s="180"/>
      <c r="AZ13" s="181">
        <f t="shared" si="2"/>
        <v>0</v>
      </c>
      <c r="BA13" s="191">
        <v>19.217600000000001</v>
      </c>
      <c r="BB13" s="191">
        <v>1.1385000000000001</v>
      </c>
      <c r="BC13" s="191">
        <v>21.479600000000001</v>
      </c>
      <c r="BD13" s="189">
        <f t="shared" si="3"/>
        <v>466072.39452470408</v>
      </c>
      <c r="BE13" s="190">
        <v>452029.29</v>
      </c>
      <c r="BF13" s="190">
        <f t="shared" si="1"/>
        <v>-14043.104524704104</v>
      </c>
    </row>
    <row r="14" spans="1:58" ht="15.75" hidden="1" x14ac:dyDescent="0.25">
      <c r="A14" s="172">
        <v>43517</v>
      </c>
      <c r="B14" s="172">
        <v>43523</v>
      </c>
      <c r="C14" s="185">
        <v>43543</v>
      </c>
      <c r="D14" s="172">
        <v>43544</v>
      </c>
      <c r="E14" s="173">
        <v>43556</v>
      </c>
      <c r="F14" s="174">
        <v>92348012</v>
      </c>
      <c r="G14" s="175" t="s">
        <v>754</v>
      </c>
      <c r="H14" s="121">
        <v>92353960</v>
      </c>
      <c r="I14" s="121" t="s">
        <v>749</v>
      </c>
      <c r="J14" s="187">
        <v>21254.33</v>
      </c>
      <c r="K14" s="176" t="s">
        <v>750</v>
      </c>
      <c r="L14" s="177" t="e">
        <f>#REF!+60</f>
        <v>#REF!</v>
      </c>
      <c r="M14" s="119"/>
      <c r="N14" s="119"/>
      <c r="O14" s="119"/>
      <c r="P14" s="119"/>
      <c r="Q14" s="119"/>
      <c r="R14" s="178"/>
      <c r="S14" s="119"/>
      <c r="T14" s="119"/>
      <c r="U14" s="119"/>
      <c r="V14" s="119"/>
      <c r="W14" s="179"/>
      <c r="X14" s="180"/>
      <c r="Y14" s="180"/>
      <c r="Z14" s="180"/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0"/>
      <c r="AX14" s="180"/>
      <c r="AY14" s="180"/>
      <c r="AZ14" s="181">
        <f t="shared" si="2"/>
        <v>0</v>
      </c>
      <c r="BA14" s="191">
        <v>19.217600000000001</v>
      </c>
      <c r="BB14" s="191">
        <v>1.13855</v>
      </c>
      <c r="BC14" s="191">
        <v>21.479600000000001</v>
      </c>
      <c r="BD14" s="189">
        <f t="shared" si="3"/>
        <v>465048.95895941847</v>
      </c>
      <c r="BE14" s="190">
        <f>+J14*21.2279</f>
        <v>451184.79180700006</v>
      </c>
      <c r="BF14" s="190">
        <f t="shared" si="1"/>
        <v>-13864.167152418406</v>
      </c>
    </row>
    <row r="15" spans="1:58" ht="15.75" hidden="1" x14ac:dyDescent="0.25">
      <c r="A15" s="172">
        <v>43518</v>
      </c>
      <c r="B15" s="172">
        <v>43523</v>
      </c>
      <c r="C15" s="185">
        <v>43542</v>
      </c>
      <c r="D15" s="172">
        <v>43546</v>
      </c>
      <c r="E15" s="173">
        <v>43546</v>
      </c>
      <c r="F15" s="174">
        <v>92348041</v>
      </c>
      <c r="G15" s="175" t="s">
        <v>755</v>
      </c>
      <c r="H15" s="121">
        <v>92354411</v>
      </c>
      <c r="I15" s="121" t="s">
        <v>665</v>
      </c>
      <c r="J15" s="187">
        <v>24011.279999999999</v>
      </c>
      <c r="K15" s="176" t="s">
        <v>750</v>
      </c>
      <c r="L15" s="177">
        <f>A15+60</f>
        <v>43578</v>
      </c>
      <c r="M15" s="119"/>
      <c r="N15" s="119"/>
      <c r="O15" s="119"/>
      <c r="P15" s="119"/>
      <c r="Q15" s="119"/>
      <c r="R15" s="178"/>
      <c r="S15" s="119"/>
      <c r="T15" s="119"/>
      <c r="U15" s="119"/>
      <c r="V15" s="119"/>
      <c r="W15" s="179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  <c r="AT15" s="180"/>
      <c r="AU15" s="180"/>
      <c r="AV15" s="180"/>
      <c r="AW15" s="180"/>
      <c r="AX15" s="180"/>
      <c r="AY15" s="180"/>
      <c r="AZ15" s="181">
        <f t="shared" si="2"/>
        <v>0</v>
      </c>
      <c r="BA15" s="191">
        <v>19.3233</v>
      </c>
      <c r="BB15" s="191">
        <v>1.13855</v>
      </c>
      <c r="BC15" s="191">
        <v>21.574999999999999</v>
      </c>
      <c r="BD15" s="189">
        <f t="shared" si="3"/>
        <v>528261.20328746515</v>
      </c>
      <c r="BE15" s="190">
        <f>+J15*21.2801</f>
        <v>510962.43952800002</v>
      </c>
      <c r="BF15" s="190">
        <f t="shared" si="1"/>
        <v>-17298.763759465131</v>
      </c>
    </row>
    <row r="16" spans="1:58" ht="15.75" hidden="1" x14ac:dyDescent="0.25">
      <c r="A16" s="172">
        <v>43516</v>
      </c>
      <c r="B16" s="172">
        <v>43523</v>
      </c>
      <c r="C16" s="185">
        <v>43542</v>
      </c>
      <c r="D16" s="172">
        <v>43546</v>
      </c>
      <c r="E16" s="173">
        <v>43551</v>
      </c>
      <c r="F16" s="174">
        <v>92351054</v>
      </c>
      <c r="G16" s="175" t="s">
        <v>756</v>
      </c>
      <c r="H16" s="121">
        <v>92353217</v>
      </c>
      <c r="I16" s="121" t="s">
        <v>665</v>
      </c>
      <c r="J16" s="187">
        <v>23010</v>
      </c>
      <c r="K16" s="176" t="s">
        <v>747</v>
      </c>
      <c r="L16" s="177" t="e">
        <f>#REF!+60</f>
        <v>#REF!</v>
      </c>
      <c r="M16" s="119"/>
      <c r="N16" s="119"/>
      <c r="O16" s="119"/>
      <c r="P16" s="119"/>
      <c r="Q16" s="119"/>
      <c r="R16" s="178"/>
      <c r="S16" s="119"/>
      <c r="T16" s="119"/>
      <c r="U16" s="119"/>
      <c r="V16" s="119"/>
      <c r="W16" s="179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  <c r="AT16" s="180"/>
      <c r="AU16" s="180"/>
      <c r="AV16" s="180"/>
      <c r="AW16" s="180"/>
      <c r="AX16" s="180"/>
      <c r="AY16" s="180"/>
      <c r="AZ16" s="181">
        <f>P16</f>
        <v>0</v>
      </c>
      <c r="BA16" s="191">
        <v>19.3233</v>
      </c>
      <c r="BB16" s="191">
        <v>1.13855</v>
      </c>
      <c r="BC16" s="191">
        <v>21.574999999999999</v>
      </c>
      <c r="BD16" s="189">
        <f t="shared" si="3"/>
        <v>506232.49937714997</v>
      </c>
      <c r="BE16" s="190">
        <f>+J16*21.3515</f>
        <v>491298.01500000001</v>
      </c>
      <c r="BF16" s="190">
        <f t="shared" si="1"/>
        <v>-14934.484377149958</v>
      </c>
    </row>
    <row r="17" spans="1:58" ht="15.75" hidden="1" x14ac:dyDescent="0.25">
      <c r="A17" s="172">
        <v>43538</v>
      </c>
      <c r="B17" s="172">
        <v>43544</v>
      </c>
      <c r="C17" s="185">
        <v>43564</v>
      </c>
      <c r="D17" s="172"/>
      <c r="E17" s="173">
        <v>43571</v>
      </c>
      <c r="F17" s="174">
        <v>92356355</v>
      </c>
      <c r="G17" s="175" t="s">
        <v>757</v>
      </c>
      <c r="H17" s="121">
        <v>92363190</v>
      </c>
      <c r="I17" s="121" t="s">
        <v>749</v>
      </c>
      <c r="J17" s="187">
        <v>21445.02</v>
      </c>
      <c r="K17" s="176" t="s">
        <v>750</v>
      </c>
      <c r="L17" s="177">
        <f>A17+60</f>
        <v>43598</v>
      </c>
      <c r="M17" s="119"/>
      <c r="N17" s="119"/>
      <c r="O17" s="119"/>
      <c r="P17" s="119"/>
      <c r="Q17" s="119"/>
      <c r="R17" s="178"/>
      <c r="S17" s="119"/>
      <c r="T17" s="119"/>
      <c r="U17" s="119"/>
      <c r="V17" s="119"/>
      <c r="W17" s="179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  <c r="AT17" s="180"/>
      <c r="AU17" s="180"/>
      <c r="AV17" s="180"/>
      <c r="AW17" s="180"/>
      <c r="AX17" s="180"/>
      <c r="AY17" s="180"/>
      <c r="AZ17" s="181">
        <f>Q17</f>
        <v>0</v>
      </c>
      <c r="BA17" s="191">
        <v>18.970099999999999</v>
      </c>
      <c r="BB17" s="191">
        <v>1.1226499999999999</v>
      </c>
      <c r="BC17" s="191">
        <v>21.238499999999998</v>
      </c>
      <c r="BD17" s="192">
        <f>+J17*BA17*BB17</f>
        <v>456709.9323310802</v>
      </c>
      <c r="BE17" s="192">
        <f>+J17*21.38</f>
        <v>458494.52759999997</v>
      </c>
      <c r="BF17" s="192">
        <f>+BE17-BD17</f>
        <v>1784.5952689197729</v>
      </c>
    </row>
    <row r="18" spans="1:58" ht="15.75" hidden="1" x14ac:dyDescent="0.25">
      <c r="A18" s="172">
        <v>43552</v>
      </c>
      <c r="B18" s="172">
        <f>C18-21</f>
        <v>43558</v>
      </c>
      <c r="C18" s="185">
        <v>43579</v>
      </c>
      <c r="D18" s="172"/>
      <c r="E18" s="173">
        <v>43585</v>
      </c>
      <c r="F18" s="174">
        <v>92364276</v>
      </c>
      <c r="G18" s="175" t="s">
        <v>758</v>
      </c>
      <c r="H18" s="121">
        <v>92369566</v>
      </c>
      <c r="I18" s="121" t="s">
        <v>668</v>
      </c>
      <c r="J18" s="187">
        <v>27280.86</v>
      </c>
      <c r="K18" s="176" t="s">
        <v>742</v>
      </c>
      <c r="L18" s="177">
        <f>A18+60</f>
        <v>43612</v>
      </c>
      <c r="M18" s="119"/>
      <c r="N18" s="119"/>
      <c r="O18" s="119"/>
      <c r="P18" s="119"/>
      <c r="Q18" s="119"/>
      <c r="R18" s="178"/>
      <c r="S18" s="119"/>
      <c r="T18" s="119"/>
      <c r="U18" s="119"/>
      <c r="V18" s="119"/>
      <c r="W18" s="179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  <c r="AT18" s="180"/>
      <c r="AU18" s="180"/>
      <c r="AV18" s="180"/>
      <c r="AW18" s="180"/>
      <c r="AX18" s="180"/>
      <c r="AY18" s="180"/>
      <c r="AZ18" s="181">
        <f>Q18</f>
        <v>0</v>
      </c>
      <c r="BA18" s="193">
        <v>18.835899999999999</v>
      </c>
      <c r="BB18" s="193">
        <v>1.1226499999999999</v>
      </c>
      <c r="BC18" s="193">
        <v>21.302299999999999</v>
      </c>
      <c r="BD18" s="192">
        <f>+J18*BA18*BB18</f>
        <v>576884.42478869599</v>
      </c>
      <c r="BE18" s="192">
        <f>+J18*21.3389</f>
        <v>582143.54345400003</v>
      </c>
      <c r="BF18" s="192">
        <f>+BE18-BD18</f>
        <v>5259.1186653040349</v>
      </c>
    </row>
    <row r="19" spans="1:58" ht="15.75" hidden="1" x14ac:dyDescent="0.25">
      <c r="A19" s="172" t="e">
        <f>L19-60</f>
        <v>#REF!</v>
      </c>
      <c r="B19" s="172">
        <v>43565</v>
      </c>
      <c r="C19" s="185">
        <v>43584</v>
      </c>
      <c r="D19" s="172"/>
      <c r="E19" s="173">
        <v>43588</v>
      </c>
      <c r="F19" s="174">
        <v>92366830</v>
      </c>
      <c r="G19" s="175" t="s">
        <v>759</v>
      </c>
      <c r="H19" s="121">
        <v>92373182</v>
      </c>
      <c r="I19" s="121" t="s">
        <v>665</v>
      </c>
      <c r="J19" s="187">
        <v>23898.48</v>
      </c>
      <c r="K19" s="176" t="s">
        <v>747</v>
      </c>
      <c r="L19" s="177" t="e">
        <f>#REF!+60</f>
        <v>#REF!</v>
      </c>
      <c r="M19" s="119"/>
      <c r="N19" s="119"/>
      <c r="O19" s="119"/>
      <c r="P19" s="119"/>
      <c r="Q19" s="119"/>
      <c r="R19" s="194"/>
      <c r="S19" s="119"/>
      <c r="T19" s="119"/>
      <c r="U19" s="119"/>
      <c r="V19" s="119"/>
      <c r="W19" s="179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  <c r="AT19" s="180"/>
      <c r="AU19" s="180"/>
      <c r="AV19" s="180"/>
      <c r="AW19" s="180"/>
      <c r="AX19" s="180"/>
      <c r="AY19" s="180"/>
      <c r="AZ19" s="181">
        <f>R19</f>
        <v>0</v>
      </c>
      <c r="BA19" s="193">
        <v>19.094200000000001</v>
      </c>
      <c r="BB19" s="193">
        <v>1.1226499999999999</v>
      </c>
      <c r="BC19" s="193">
        <v>21.206</v>
      </c>
      <c r="BD19" s="119">
        <f>+J19*BA19*BB19</f>
        <v>512290.29387948237</v>
      </c>
      <c r="BE19" s="195">
        <f>+J19*21.9441</f>
        <v>524430.634968</v>
      </c>
      <c r="BF19" s="192">
        <f t="shared" ref="BF19:BF44" si="4">+BE19-BD19</f>
        <v>12140.341088517627</v>
      </c>
    </row>
    <row r="20" spans="1:58" ht="15.75" hidden="1" x14ac:dyDescent="0.25">
      <c r="A20" s="172">
        <v>43564</v>
      </c>
      <c r="B20" s="172">
        <v>43570</v>
      </c>
      <c r="C20" s="185">
        <v>43593</v>
      </c>
      <c r="D20" s="172"/>
      <c r="E20" s="173">
        <v>42505</v>
      </c>
      <c r="F20" s="174">
        <v>92371475</v>
      </c>
      <c r="G20" s="175" t="s">
        <v>760</v>
      </c>
      <c r="H20" s="121">
        <v>92374654</v>
      </c>
      <c r="I20" s="121" t="s">
        <v>668</v>
      </c>
      <c r="J20" s="187">
        <v>22632</v>
      </c>
      <c r="K20" s="176" t="s">
        <v>744</v>
      </c>
      <c r="L20" s="177">
        <f>A20+60</f>
        <v>43624</v>
      </c>
      <c r="M20" s="119"/>
      <c r="N20" s="119"/>
      <c r="O20" s="119"/>
      <c r="P20" s="119"/>
      <c r="Q20" s="119"/>
      <c r="R20" s="194"/>
      <c r="S20" s="119"/>
      <c r="T20" s="119"/>
      <c r="U20" s="119"/>
      <c r="V20" s="119"/>
      <c r="W20" s="179"/>
      <c r="X20" s="180"/>
      <c r="Y20" s="180"/>
      <c r="Z20" s="180"/>
      <c r="AA20" s="180"/>
      <c r="AB20" s="180"/>
      <c r="AC20" s="180"/>
      <c r="AD20" s="180"/>
      <c r="AE20" s="180"/>
      <c r="AF20" s="180"/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  <c r="AT20" s="180"/>
      <c r="AU20" s="180"/>
      <c r="AV20" s="180"/>
      <c r="AW20" s="180"/>
      <c r="AX20" s="180"/>
      <c r="AY20" s="180"/>
      <c r="AZ20" s="181">
        <f>R20</f>
        <v>0</v>
      </c>
      <c r="BA20" s="193">
        <v>19.001200000000001</v>
      </c>
      <c r="BB20" s="193">
        <v>1.1226499999999999</v>
      </c>
      <c r="BC20" s="193">
        <v>21.398299999999999</v>
      </c>
      <c r="BD20" s="119">
        <f t="shared" ref="BD20:BD44" si="5">+J20*BA20*BB20</f>
        <v>482778.97057775996</v>
      </c>
      <c r="BE20" s="195">
        <f>+J20*21.7</f>
        <v>491114.39999999997</v>
      </c>
      <c r="BF20" s="192">
        <f t="shared" si="4"/>
        <v>8335.4294222400058</v>
      </c>
    </row>
    <row r="21" spans="1:58" ht="15.75" hidden="1" x14ac:dyDescent="0.25">
      <c r="A21" s="172">
        <v>43594</v>
      </c>
      <c r="B21" s="172">
        <v>43599</v>
      </c>
      <c r="C21" s="185">
        <v>43621</v>
      </c>
      <c r="D21" s="172"/>
      <c r="E21" s="173">
        <v>43628</v>
      </c>
      <c r="F21" s="174">
        <v>92375232</v>
      </c>
      <c r="G21" s="175" t="s">
        <v>761</v>
      </c>
      <c r="H21" s="121">
        <v>92387912</v>
      </c>
      <c r="I21" s="121" t="s">
        <v>668</v>
      </c>
      <c r="J21" s="187">
        <v>23263.200000000001</v>
      </c>
      <c r="K21" s="176" t="s">
        <v>744</v>
      </c>
      <c r="L21" s="177">
        <f>A21+60</f>
        <v>43654</v>
      </c>
      <c r="M21" s="119"/>
      <c r="N21" s="119"/>
      <c r="O21" s="119"/>
      <c r="P21" s="119"/>
      <c r="Q21" s="119"/>
      <c r="R21" s="194"/>
      <c r="S21" s="119"/>
      <c r="T21" s="119"/>
      <c r="U21" s="119"/>
      <c r="V21" s="119"/>
      <c r="W21" s="179"/>
      <c r="X21" s="180"/>
      <c r="Y21" s="180"/>
      <c r="Z21" s="180"/>
      <c r="AA21" s="180"/>
      <c r="AB21" s="180"/>
      <c r="AC21" s="180"/>
      <c r="AD21" s="180"/>
      <c r="AE21" s="180"/>
      <c r="AF21" s="180"/>
      <c r="AG21" s="180"/>
      <c r="AH21" s="180"/>
      <c r="AI21" s="180"/>
      <c r="AJ21" s="180"/>
      <c r="AK21" s="180"/>
      <c r="AL21" s="180"/>
      <c r="AM21" s="180"/>
      <c r="AN21" s="180"/>
      <c r="AO21" s="180"/>
      <c r="AP21" s="180"/>
      <c r="AQ21" s="180"/>
      <c r="AR21" s="180"/>
      <c r="AS21" s="180"/>
      <c r="AT21" s="180"/>
      <c r="AU21" s="180"/>
      <c r="AV21" s="180"/>
      <c r="AW21" s="180"/>
      <c r="AX21" s="180"/>
      <c r="AY21" s="180"/>
      <c r="AZ21" s="181">
        <f>S21</f>
        <v>0</v>
      </c>
      <c r="BA21" s="193">
        <v>19.642600000000002</v>
      </c>
      <c r="BB21" s="193">
        <v>1.1208499999999999</v>
      </c>
      <c r="BC21" s="193">
        <v>22.067399999999999</v>
      </c>
      <c r="BD21" s="196">
        <f t="shared" si="5"/>
        <v>512172.10747087206</v>
      </c>
      <c r="BE21" s="197">
        <f>+J21*21.21</f>
        <v>493412.47200000001</v>
      </c>
      <c r="BF21" s="197">
        <f t="shared" si="4"/>
        <v>-18759.635470872046</v>
      </c>
    </row>
    <row r="22" spans="1:58" ht="15.75" hidden="1" x14ac:dyDescent="0.25">
      <c r="A22" s="172">
        <v>43570</v>
      </c>
      <c r="B22" s="172">
        <v>43572</v>
      </c>
      <c r="C22" s="185">
        <v>43591</v>
      </c>
      <c r="D22" s="172"/>
      <c r="E22" s="173">
        <v>43598</v>
      </c>
      <c r="F22" s="174">
        <v>92373782</v>
      </c>
      <c r="G22" s="175" t="s">
        <v>762</v>
      </c>
      <c r="H22" s="121">
        <v>92376991</v>
      </c>
      <c r="I22" s="121" t="s">
        <v>665</v>
      </c>
      <c r="J22" s="187">
        <v>20577.72</v>
      </c>
      <c r="K22" s="176" t="s">
        <v>747</v>
      </c>
      <c r="L22" s="177">
        <f>A22+60</f>
        <v>43630</v>
      </c>
      <c r="M22" s="119"/>
      <c r="N22" s="119"/>
      <c r="O22" s="119"/>
      <c r="P22" s="119"/>
      <c r="Q22" s="119"/>
      <c r="R22" s="194"/>
      <c r="S22" s="119"/>
      <c r="T22" s="119"/>
      <c r="U22" s="119"/>
      <c r="V22" s="119"/>
      <c r="W22" s="179"/>
      <c r="X22" s="180"/>
      <c r="Y22" s="180"/>
      <c r="Z22" s="180"/>
      <c r="AA22" s="180"/>
      <c r="AB22" s="180"/>
      <c r="AC22" s="180"/>
      <c r="AD22" s="180"/>
      <c r="AE22" s="180"/>
      <c r="AF22" s="180"/>
      <c r="AG22" s="180"/>
      <c r="AH22" s="180"/>
      <c r="AI22" s="180"/>
      <c r="AJ22" s="180"/>
      <c r="AK22" s="180"/>
      <c r="AL22" s="180"/>
      <c r="AM22" s="180"/>
      <c r="AN22" s="180"/>
      <c r="AO22" s="180"/>
      <c r="AP22" s="180"/>
      <c r="AQ22" s="180"/>
      <c r="AR22" s="180"/>
      <c r="AS22" s="180"/>
      <c r="AT22" s="180"/>
      <c r="AU22" s="180"/>
      <c r="AV22" s="180"/>
      <c r="AW22" s="180"/>
      <c r="AX22" s="180"/>
      <c r="AY22" s="180"/>
      <c r="AZ22" s="181"/>
      <c r="BA22" s="193">
        <v>18.978100000000001</v>
      </c>
      <c r="BB22" s="193">
        <v>1.1208499999999999</v>
      </c>
      <c r="BC22" s="193">
        <v>21.331099999999999</v>
      </c>
      <c r="BD22" s="119">
        <f t="shared" si="5"/>
        <v>437721.09840758221</v>
      </c>
      <c r="BE22" s="197">
        <f>+J22*21.56</f>
        <v>443655.64319999999</v>
      </c>
      <c r="BF22" s="197">
        <f t="shared" si="4"/>
        <v>5934.5447924177861</v>
      </c>
    </row>
    <row r="23" spans="1:58" ht="15.75" hidden="1" x14ac:dyDescent="0.25">
      <c r="A23" s="172">
        <v>43587</v>
      </c>
      <c r="B23" s="172">
        <v>43593</v>
      </c>
      <c r="C23" s="185">
        <v>43613</v>
      </c>
      <c r="D23" s="172"/>
      <c r="E23" s="173">
        <v>43621</v>
      </c>
      <c r="F23" s="174">
        <v>92375946</v>
      </c>
      <c r="G23" s="175" t="s">
        <v>763</v>
      </c>
      <c r="H23" s="121">
        <v>92385058</v>
      </c>
      <c r="I23" s="121" t="s">
        <v>749</v>
      </c>
      <c r="J23" s="187">
        <v>21767.65</v>
      </c>
      <c r="K23" s="176" t="s">
        <v>750</v>
      </c>
      <c r="L23" s="177">
        <f>A23+60</f>
        <v>43647</v>
      </c>
      <c r="M23" s="119"/>
      <c r="N23" s="119"/>
      <c r="O23" s="119"/>
      <c r="P23" s="119"/>
      <c r="Q23" s="119"/>
      <c r="R23" s="194"/>
      <c r="S23" s="119"/>
      <c r="T23" s="119"/>
      <c r="U23" s="119"/>
      <c r="V23" s="119"/>
      <c r="W23" s="179"/>
      <c r="X23" s="180"/>
      <c r="Y23" s="180"/>
      <c r="Z23" s="180"/>
      <c r="AA23" s="180"/>
      <c r="AB23" s="180"/>
      <c r="AC23" s="180"/>
      <c r="AD23" s="180"/>
      <c r="AE23" s="180"/>
      <c r="AF23" s="180"/>
      <c r="AG23" s="180"/>
      <c r="AH23" s="180"/>
      <c r="AI23" s="180"/>
      <c r="AJ23" s="180"/>
      <c r="AK23" s="180"/>
      <c r="AL23" s="180"/>
      <c r="AM23" s="180"/>
      <c r="AN23" s="180"/>
      <c r="AO23" s="180"/>
      <c r="AP23" s="180"/>
      <c r="AQ23" s="180"/>
      <c r="AR23" s="180"/>
      <c r="AS23" s="180"/>
      <c r="AT23" s="180"/>
      <c r="AU23" s="180"/>
      <c r="AV23" s="180"/>
      <c r="AW23" s="180"/>
      <c r="AX23" s="180"/>
      <c r="AY23" s="180"/>
      <c r="AZ23" s="181">
        <f>S23</f>
        <v>0</v>
      </c>
      <c r="BA23" s="193">
        <v>19.0122</v>
      </c>
      <c r="BB23" s="193">
        <v>1.1208499999999999</v>
      </c>
      <c r="BC23" s="193">
        <v>21.3231</v>
      </c>
      <c r="BD23" s="196">
        <f t="shared" si="5"/>
        <v>463864.79844763048</v>
      </c>
      <c r="BE23" s="197">
        <f>+J23*21.555</f>
        <v>469201.69575000001</v>
      </c>
      <c r="BF23" s="197">
        <f t="shared" si="4"/>
        <v>5336.8973023695289</v>
      </c>
    </row>
    <row r="24" spans="1:58" ht="15.75" hidden="1" x14ac:dyDescent="0.25">
      <c r="A24" s="172">
        <v>43585</v>
      </c>
      <c r="B24" s="172">
        <v>43592</v>
      </c>
      <c r="C24" s="185">
        <v>43614</v>
      </c>
      <c r="D24" s="172"/>
      <c r="E24" s="198">
        <v>43622</v>
      </c>
      <c r="F24" s="174">
        <v>92351805</v>
      </c>
      <c r="G24" s="175" t="s">
        <v>764</v>
      </c>
      <c r="H24" s="121">
        <v>92383794</v>
      </c>
      <c r="I24" s="121" t="s">
        <v>668</v>
      </c>
      <c r="J24" s="187">
        <v>26437.94</v>
      </c>
      <c r="K24" s="176" t="s">
        <v>742</v>
      </c>
      <c r="L24" s="177" t="e">
        <f>#REF!+60</f>
        <v>#REF!</v>
      </c>
      <c r="M24" s="119"/>
      <c r="N24" s="119"/>
      <c r="O24" s="119"/>
      <c r="P24" s="119"/>
      <c r="Q24" s="119"/>
      <c r="R24" s="194"/>
      <c r="S24" s="119"/>
      <c r="T24" s="119"/>
      <c r="U24" s="119"/>
      <c r="V24" s="119"/>
      <c r="W24" s="179"/>
      <c r="X24" s="180"/>
      <c r="Y24" s="180"/>
      <c r="Z24" s="180"/>
      <c r="AA24" s="180"/>
      <c r="AB24" s="180"/>
      <c r="AC24" s="180"/>
      <c r="AD24" s="180"/>
      <c r="AE24" s="180"/>
      <c r="AF24" s="180"/>
      <c r="AG24" s="180"/>
      <c r="AH24" s="180"/>
      <c r="AI24" s="180"/>
      <c r="AJ24" s="180"/>
      <c r="AK24" s="180"/>
      <c r="AL24" s="180"/>
      <c r="AM24" s="180"/>
      <c r="AN24" s="180"/>
      <c r="AO24" s="180"/>
      <c r="AP24" s="180"/>
      <c r="AQ24" s="180"/>
      <c r="AR24" s="180"/>
      <c r="AS24" s="180"/>
      <c r="AT24" s="180"/>
      <c r="AU24" s="180"/>
      <c r="AV24" s="180"/>
      <c r="AW24" s="180"/>
      <c r="AX24" s="180"/>
      <c r="AY24" s="180"/>
      <c r="AZ24" s="181"/>
      <c r="BA24" s="193">
        <v>19.0685</v>
      </c>
      <c r="BB24" s="193">
        <v>1.1208499999999999</v>
      </c>
      <c r="BC24" s="193">
        <v>21.443899999999999</v>
      </c>
      <c r="BD24" s="119">
        <f t="shared" si="5"/>
        <v>565056.19403685641</v>
      </c>
      <c r="BE24" s="195">
        <f>+J24*21.6</f>
        <v>571059.50399999996</v>
      </c>
      <c r="BF24" s="197">
        <f t="shared" si="4"/>
        <v>6003.3099631435471</v>
      </c>
    </row>
    <row r="25" spans="1:58" ht="15.75" hidden="1" x14ac:dyDescent="0.25">
      <c r="A25" s="172">
        <v>43598</v>
      </c>
      <c r="B25" s="172">
        <v>43600</v>
      </c>
      <c r="C25" s="185">
        <v>43619</v>
      </c>
      <c r="D25" s="172"/>
      <c r="E25" s="173">
        <v>43621</v>
      </c>
      <c r="F25" s="174">
        <v>92382444</v>
      </c>
      <c r="G25" s="175" t="s">
        <v>765</v>
      </c>
      <c r="H25" s="121">
        <v>92389022</v>
      </c>
      <c r="I25" s="121" t="s">
        <v>665</v>
      </c>
      <c r="J25" s="187">
        <v>22752.91</v>
      </c>
      <c r="K25" s="176" t="s">
        <v>766</v>
      </c>
      <c r="L25" s="177">
        <f>A25+60</f>
        <v>43658</v>
      </c>
      <c r="M25" s="119"/>
      <c r="N25" s="119"/>
      <c r="O25" s="119"/>
      <c r="P25" s="119"/>
      <c r="Q25" s="119"/>
      <c r="R25" s="194"/>
      <c r="S25" s="119"/>
      <c r="T25" s="119"/>
      <c r="U25" s="119"/>
      <c r="V25" s="119"/>
      <c r="W25" s="179"/>
      <c r="X25" s="180"/>
      <c r="Y25" s="180"/>
      <c r="Z25" s="180"/>
      <c r="AA25" s="180"/>
      <c r="AB25" s="180"/>
      <c r="AC25" s="180"/>
      <c r="AD25" s="180"/>
      <c r="AE25" s="180"/>
      <c r="AF25" s="180"/>
      <c r="AG25" s="180"/>
      <c r="AH25" s="180"/>
      <c r="AI25" s="180"/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0"/>
      <c r="AU25" s="180"/>
      <c r="AV25" s="180"/>
      <c r="AW25" s="180"/>
      <c r="AX25" s="180"/>
      <c r="AY25" s="180"/>
      <c r="AZ25" s="181">
        <f>S25</f>
        <v>0</v>
      </c>
      <c r="BA25" s="193">
        <v>19.068300000000001</v>
      </c>
      <c r="BB25" s="193">
        <v>1.1208499999999999</v>
      </c>
      <c r="BC25" s="193">
        <v>22.101600000000001</v>
      </c>
      <c r="BD25" s="196">
        <f t="shared" si="5"/>
        <v>486291.21182005003</v>
      </c>
      <c r="BE25" s="197">
        <f>+J25*21.3815</f>
        <v>486491.34516499995</v>
      </c>
      <c r="BF25" s="197">
        <f t="shared" si="4"/>
        <v>200.13334494992159</v>
      </c>
    </row>
    <row r="26" spans="1:58" ht="15.75" hidden="1" x14ac:dyDescent="0.25">
      <c r="A26" s="172">
        <v>43608</v>
      </c>
      <c r="B26" s="172">
        <v>43612</v>
      </c>
      <c r="C26" s="185">
        <v>43634</v>
      </c>
      <c r="D26" s="172"/>
      <c r="E26" s="173">
        <v>43645</v>
      </c>
      <c r="F26" s="174">
        <v>92391687</v>
      </c>
      <c r="G26" s="175" t="s">
        <v>767</v>
      </c>
      <c r="H26" s="121">
        <v>92394345</v>
      </c>
      <c r="I26" s="121" t="s">
        <v>668</v>
      </c>
      <c r="J26" s="187">
        <v>24011.040000000001</v>
      </c>
      <c r="K26" s="176" t="s">
        <v>768</v>
      </c>
      <c r="L26" s="177" t="e">
        <f>#REF!+60</f>
        <v>#REF!</v>
      </c>
      <c r="M26" s="119"/>
      <c r="N26" s="119"/>
      <c r="O26" s="119"/>
      <c r="P26" s="119"/>
      <c r="Q26" s="119"/>
      <c r="R26" s="194"/>
      <c r="S26" s="119"/>
      <c r="T26" s="119"/>
      <c r="U26" s="119"/>
      <c r="V26" s="119"/>
      <c r="W26" s="179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0"/>
      <c r="AR26" s="180"/>
      <c r="AS26" s="180"/>
      <c r="AT26" s="180"/>
      <c r="AU26" s="180"/>
      <c r="AV26" s="180"/>
      <c r="AW26" s="180"/>
      <c r="AX26" s="180"/>
      <c r="AY26" s="180"/>
      <c r="AZ26" s="181">
        <f>S26</f>
        <v>0</v>
      </c>
      <c r="BA26" s="193">
        <v>19.148700000000002</v>
      </c>
      <c r="BB26" s="193">
        <v>1.1146</v>
      </c>
      <c r="BC26" s="193">
        <v>21.397099999999998</v>
      </c>
      <c r="BD26" s="196">
        <f>+J26*BA26*BB26</f>
        <v>512471.01275686087</v>
      </c>
      <c r="BE26" s="197">
        <f>+J26*21.3371</f>
        <v>512325.96158400003</v>
      </c>
      <c r="BF26" s="197">
        <f t="shared" si="4"/>
        <v>-145.05117286083987</v>
      </c>
    </row>
    <row r="27" spans="1:58" ht="15.75" hidden="1" x14ac:dyDescent="0.25">
      <c r="A27" s="172">
        <v>43620</v>
      </c>
      <c r="B27" s="172">
        <v>43626</v>
      </c>
      <c r="C27" s="185">
        <v>43649</v>
      </c>
      <c r="D27" s="172"/>
      <c r="E27" s="173">
        <v>43655</v>
      </c>
      <c r="F27" s="174">
        <v>923911237</v>
      </c>
      <c r="G27" s="175" t="s">
        <v>769</v>
      </c>
      <c r="H27" s="121">
        <v>92399437</v>
      </c>
      <c r="I27" s="121" t="s">
        <v>668</v>
      </c>
      <c r="J27" s="187">
        <v>25632.12</v>
      </c>
      <c r="K27" s="176" t="s">
        <v>742</v>
      </c>
      <c r="L27" s="177">
        <f t="shared" ref="L27:L34" si="6">A27+60</f>
        <v>43680</v>
      </c>
      <c r="M27" s="119"/>
      <c r="N27" s="119"/>
      <c r="O27" s="119"/>
      <c r="P27" s="119"/>
      <c r="Q27" s="119"/>
      <c r="R27" s="194"/>
      <c r="S27" s="119"/>
      <c r="T27" s="119"/>
      <c r="U27" s="119"/>
      <c r="V27" s="119"/>
      <c r="W27" s="179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180"/>
      <c r="AK27" s="180"/>
      <c r="AL27" s="180"/>
      <c r="AM27" s="180"/>
      <c r="AN27" s="180"/>
      <c r="AO27" s="180"/>
      <c r="AP27" s="180"/>
      <c r="AQ27" s="180"/>
      <c r="AR27" s="180"/>
      <c r="AS27" s="180"/>
      <c r="AT27" s="180"/>
      <c r="AU27" s="180"/>
      <c r="AV27" s="180"/>
      <c r="AW27" s="180"/>
      <c r="AX27" s="180"/>
      <c r="AY27" s="180"/>
      <c r="AZ27" s="181">
        <f>T27</f>
        <v>0</v>
      </c>
      <c r="BA27" s="193">
        <v>19.2087</v>
      </c>
      <c r="BB27" s="193">
        <v>1.1146</v>
      </c>
      <c r="BC27" s="193">
        <v>21.5456</v>
      </c>
      <c r="BD27" s="119">
        <f t="shared" si="5"/>
        <v>548784.12545868242</v>
      </c>
      <c r="BE27" s="197">
        <f>+J27*21.2333</f>
        <v>544254.49359600001</v>
      </c>
      <c r="BF27" s="197">
        <f t="shared" si="4"/>
        <v>-4529.6318626824068</v>
      </c>
    </row>
    <row r="28" spans="1:58" ht="15.75" hidden="1" x14ac:dyDescent="0.25">
      <c r="A28" s="172">
        <v>43622</v>
      </c>
      <c r="B28" s="172">
        <v>43626</v>
      </c>
      <c r="C28" s="185">
        <v>43649</v>
      </c>
      <c r="D28" s="172"/>
      <c r="E28" s="173">
        <v>43655</v>
      </c>
      <c r="F28" s="174">
        <v>92397182</v>
      </c>
      <c r="G28" s="175" t="s">
        <v>770</v>
      </c>
      <c r="H28" s="121">
        <v>92400777</v>
      </c>
      <c r="I28" s="121" t="s">
        <v>668</v>
      </c>
      <c r="J28" s="187">
        <v>24490.5</v>
      </c>
      <c r="K28" s="176" t="s">
        <v>771</v>
      </c>
      <c r="L28" s="177">
        <f t="shared" si="6"/>
        <v>43682</v>
      </c>
      <c r="M28" s="119"/>
      <c r="N28" s="119"/>
      <c r="O28" s="119"/>
      <c r="P28" s="119"/>
      <c r="Q28" s="119"/>
      <c r="R28" s="194"/>
      <c r="S28" s="119"/>
      <c r="T28" s="119"/>
      <c r="U28" s="119"/>
      <c r="V28" s="119"/>
      <c r="W28" s="179"/>
      <c r="X28" s="180"/>
      <c r="Y28" s="180"/>
      <c r="Z28" s="180"/>
      <c r="AA28" s="180"/>
      <c r="AB28" s="180"/>
      <c r="AC28" s="180"/>
      <c r="AD28" s="180"/>
      <c r="AE28" s="180"/>
      <c r="AF28" s="180"/>
      <c r="AG28" s="180"/>
      <c r="AH28" s="180"/>
      <c r="AI28" s="180"/>
      <c r="AJ28" s="180"/>
      <c r="AK28" s="180"/>
      <c r="AL28" s="180"/>
      <c r="AM28" s="180"/>
      <c r="AN28" s="180"/>
      <c r="AO28" s="180"/>
      <c r="AP28" s="180"/>
      <c r="AQ28" s="180"/>
      <c r="AR28" s="180"/>
      <c r="AS28" s="180"/>
      <c r="AT28" s="180"/>
      <c r="AU28" s="180"/>
      <c r="AV28" s="180"/>
      <c r="AW28" s="180"/>
      <c r="AX28" s="180"/>
      <c r="AY28" s="180"/>
      <c r="AZ28" s="181">
        <f>T28</f>
        <v>0</v>
      </c>
      <c r="BA28" s="193">
        <v>19.2087</v>
      </c>
      <c r="BB28" s="193">
        <v>1.1146</v>
      </c>
      <c r="BC28" s="193">
        <v>21.5456</v>
      </c>
      <c r="BD28" s="119">
        <f t="shared" si="5"/>
        <v>524342.02182830998</v>
      </c>
      <c r="BE28" s="197">
        <f>+J28*21.5539</f>
        <v>527865.78794999991</v>
      </c>
      <c r="BF28" s="197">
        <f t="shared" si="4"/>
        <v>3523.7661216899287</v>
      </c>
    </row>
    <row r="29" spans="1:58" ht="15.75" hidden="1" x14ac:dyDescent="0.25">
      <c r="A29" s="172">
        <v>43636</v>
      </c>
      <c r="B29" s="172">
        <v>43642</v>
      </c>
      <c r="C29" s="185">
        <v>43661</v>
      </c>
      <c r="D29" s="172"/>
      <c r="E29" s="173">
        <v>43665</v>
      </c>
      <c r="F29" s="174">
        <v>92401346</v>
      </c>
      <c r="G29" s="175" t="s">
        <v>772</v>
      </c>
      <c r="H29" s="121">
        <v>92407480</v>
      </c>
      <c r="I29" s="121" t="s">
        <v>665</v>
      </c>
      <c r="J29" s="187">
        <v>21103.200000000001</v>
      </c>
      <c r="K29" s="176" t="s">
        <v>747</v>
      </c>
      <c r="L29" s="177">
        <f t="shared" si="6"/>
        <v>43696</v>
      </c>
      <c r="M29" s="119"/>
      <c r="N29" s="119"/>
      <c r="O29" s="119"/>
      <c r="P29" s="119"/>
      <c r="Q29" s="119"/>
      <c r="R29" s="194"/>
      <c r="S29" s="119"/>
      <c r="T29" s="119"/>
      <c r="U29" s="119"/>
      <c r="V29" s="119"/>
      <c r="W29" s="179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  <c r="AK29" s="180"/>
      <c r="AL29" s="180"/>
      <c r="AM29" s="180"/>
      <c r="AN29" s="180"/>
      <c r="AO29" s="180"/>
      <c r="AP29" s="180"/>
      <c r="AQ29" s="180"/>
      <c r="AR29" s="180"/>
      <c r="AS29" s="180"/>
      <c r="AT29" s="180"/>
      <c r="AU29" s="180"/>
      <c r="AV29" s="180"/>
      <c r="AW29" s="180"/>
      <c r="AX29" s="180"/>
      <c r="AY29" s="180"/>
      <c r="AZ29" s="181">
        <f>T29</f>
        <v>0</v>
      </c>
      <c r="BA29" s="193">
        <v>19.122699999999998</v>
      </c>
      <c r="BB29" s="193">
        <v>1.1386000000000001</v>
      </c>
      <c r="BC29" s="193">
        <v>21.405999999999999</v>
      </c>
      <c r="BD29" s="119">
        <f t="shared" si="5"/>
        <v>459482.21518190403</v>
      </c>
      <c r="BE29" s="197">
        <f>+J29*22.12</f>
        <v>466802.78400000004</v>
      </c>
      <c r="BF29" s="197">
        <f t="shared" si="4"/>
        <v>7320.5688180960133</v>
      </c>
    </row>
    <row r="30" spans="1:58" ht="15.75" hidden="1" x14ac:dyDescent="0.25">
      <c r="A30" s="172">
        <v>43635</v>
      </c>
      <c r="B30" s="172">
        <v>43640</v>
      </c>
      <c r="C30" s="185">
        <v>43663</v>
      </c>
      <c r="D30" s="172"/>
      <c r="E30" s="173">
        <v>43669</v>
      </c>
      <c r="F30" s="174">
        <v>92401347</v>
      </c>
      <c r="G30" s="175" t="s">
        <v>773</v>
      </c>
      <c r="H30" s="121">
        <v>92406517</v>
      </c>
      <c r="I30" s="121" t="s">
        <v>668</v>
      </c>
      <c r="J30" s="187">
        <v>26779.919999999998</v>
      </c>
      <c r="K30" s="176" t="s">
        <v>742</v>
      </c>
      <c r="L30" s="177">
        <f t="shared" si="6"/>
        <v>43695</v>
      </c>
      <c r="M30" s="119"/>
      <c r="N30" s="119"/>
      <c r="O30" s="119"/>
      <c r="P30" s="119"/>
      <c r="Q30" s="119"/>
      <c r="R30" s="194"/>
      <c r="S30" s="119"/>
      <c r="T30" s="119"/>
      <c r="U30" s="119"/>
      <c r="V30" s="119"/>
      <c r="W30" s="179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0"/>
      <c r="AR30" s="180"/>
      <c r="AS30" s="180"/>
      <c r="AT30" s="180"/>
      <c r="AU30" s="180"/>
      <c r="AV30" s="180"/>
      <c r="AW30" s="180"/>
      <c r="AX30" s="180"/>
      <c r="AY30" s="180"/>
      <c r="AZ30" s="181">
        <f>T30</f>
        <v>0</v>
      </c>
      <c r="BA30" s="193">
        <v>19.0307</v>
      </c>
      <c r="BB30" s="193">
        <v>1.1386499999999999</v>
      </c>
      <c r="BC30" s="193">
        <v>21.412299999999998</v>
      </c>
      <c r="BD30" s="119">
        <f t="shared" si="5"/>
        <v>580302.29599837551</v>
      </c>
      <c r="BE30" s="197">
        <f>+J30*21.4411</f>
        <v>574190.94271199987</v>
      </c>
      <c r="BF30" s="197">
        <f t="shared" si="4"/>
        <v>-6111.3532863756409</v>
      </c>
    </row>
    <row r="31" spans="1:58" ht="15.75" hidden="1" x14ac:dyDescent="0.25">
      <c r="A31" s="172">
        <v>43656</v>
      </c>
      <c r="B31" s="172">
        <v>43661</v>
      </c>
      <c r="C31" s="185">
        <v>43683</v>
      </c>
      <c r="D31" s="172"/>
      <c r="E31" s="173">
        <v>43693</v>
      </c>
      <c r="F31" s="174">
        <v>92412211</v>
      </c>
      <c r="G31" s="175" t="s">
        <v>774</v>
      </c>
      <c r="H31" s="121">
        <v>92416086</v>
      </c>
      <c r="I31" s="121" t="s">
        <v>668</v>
      </c>
      <c r="J31" s="187">
        <v>22852.799999999999</v>
      </c>
      <c r="K31" s="176" t="s">
        <v>744</v>
      </c>
      <c r="L31" s="177">
        <f t="shared" si="6"/>
        <v>43716</v>
      </c>
      <c r="M31" s="119"/>
      <c r="N31" s="119"/>
      <c r="O31" s="119"/>
      <c r="P31" s="119"/>
      <c r="Q31" s="119"/>
      <c r="R31" s="194"/>
      <c r="S31" s="119"/>
      <c r="T31" s="119"/>
      <c r="U31" s="119"/>
      <c r="V31" s="119"/>
      <c r="W31" s="179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0"/>
      <c r="AM31" s="180"/>
      <c r="AN31" s="180"/>
      <c r="AO31" s="180"/>
      <c r="AP31" s="180"/>
      <c r="AQ31" s="180"/>
      <c r="AR31" s="180"/>
      <c r="AS31" s="180"/>
      <c r="AT31" s="180"/>
      <c r="AU31" s="180"/>
      <c r="AV31" s="180"/>
      <c r="AW31" s="180"/>
      <c r="AX31" s="180"/>
      <c r="AY31" s="180"/>
      <c r="AZ31" s="181">
        <f>U31</f>
        <v>0</v>
      </c>
      <c r="BA31" s="193">
        <v>19.311599999999999</v>
      </c>
      <c r="BB31" s="193">
        <v>1.1386499999999999</v>
      </c>
      <c r="BC31" s="193">
        <v>21.987500000000001</v>
      </c>
      <c r="BD31" s="119">
        <f t="shared" si="5"/>
        <v>502513.72344835196</v>
      </c>
      <c r="BE31" s="197">
        <f>+J31*21.5889</f>
        <v>493366.81391999999</v>
      </c>
      <c r="BF31" s="197">
        <f>+BE31-BD31</f>
        <v>-9146.9095283519709</v>
      </c>
    </row>
    <row r="32" spans="1:58" ht="15.75" hidden="1" x14ac:dyDescent="0.25">
      <c r="A32" s="172">
        <v>43678</v>
      </c>
      <c r="B32" s="172">
        <v>43682</v>
      </c>
      <c r="C32" s="185">
        <v>43705</v>
      </c>
      <c r="D32" s="172"/>
      <c r="E32" s="173">
        <v>43711</v>
      </c>
      <c r="F32" s="174">
        <v>92417291</v>
      </c>
      <c r="G32" s="175" t="s">
        <v>775</v>
      </c>
      <c r="H32" s="121">
        <v>92426478</v>
      </c>
      <c r="I32" s="121" t="s">
        <v>668</v>
      </c>
      <c r="J32" s="187">
        <f>9.2*2472</f>
        <v>22742.399999999998</v>
      </c>
      <c r="K32" s="176" t="s">
        <v>744</v>
      </c>
      <c r="L32" s="177">
        <f t="shared" si="6"/>
        <v>43738</v>
      </c>
      <c r="M32" s="119"/>
      <c r="N32" s="119"/>
      <c r="O32" s="119"/>
      <c r="P32" s="119"/>
      <c r="Q32" s="119"/>
      <c r="R32" s="194"/>
      <c r="S32" s="119"/>
      <c r="T32" s="119"/>
      <c r="U32" s="119"/>
      <c r="V32" s="119"/>
      <c r="W32" s="179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  <c r="AM32" s="180"/>
      <c r="AN32" s="180"/>
      <c r="AO32" s="180"/>
      <c r="AP32" s="180"/>
      <c r="AQ32" s="180"/>
      <c r="AR32" s="180"/>
      <c r="AS32" s="180"/>
      <c r="AT32" s="180"/>
      <c r="AU32" s="180"/>
      <c r="AV32" s="180"/>
      <c r="AW32" s="180"/>
      <c r="AX32" s="180"/>
      <c r="AY32" s="180"/>
      <c r="AZ32" s="181">
        <f>U32</f>
        <v>0</v>
      </c>
      <c r="BA32" s="193">
        <v>19.908899999999999</v>
      </c>
      <c r="BB32" s="193">
        <v>1.1134999999999999</v>
      </c>
      <c r="BC32" s="193">
        <v>22.221800000000002</v>
      </c>
      <c r="BD32" s="119">
        <f t="shared" si="5"/>
        <v>504166.26235535991</v>
      </c>
      <c r="BE32" s="197">
        <f>+J32*21.538</f>
        <v>489825.81119999994</v>
      </c>
      <c r="BF32" s="197">
        <f t="shared" si="4"/>
        <v>-14340.451155359973</v>
      </c>
    </row>
    <row r="33" spans="1:58" ht="15.75" hidden="1" x14ac:dyDescent="0.25">
      <c r="A33" s="172">
        <v>43672</v>
      </c>
      <c r="B33" s="172">
        <v>43677</v>
      </c>
      <c r="C33" s="185">
        <v>43696</v>
      </c>
      <c r="D33" s="172"/>
      <c r="E33" s="173">
        <v>43700</v>
      </c>
      <c r="F33" s="174">
        <v>92418730</v>
      </c>
      <c r="G33" s="175" t="s">
        <v>776</v>
      </c>
      <c r="H33" s="121">
        <v>92423908</v>
      </c>
      <c r="I33" s="121" t="s">
        <v>665</v>
      </c>
      <c r="J33" s="187">
        <v>23103.48</v>
      </c>
      <c r="K33" s="176" t="s">
        <v>766</v>
      </c>
      <c r="L33" s="177">
        <f t="shared" si="6"/>
        <v>43732</v>
      </c>
      <c r="M33" s="119"/>
      <c r="N33" s="119"/>
      <c r="O33" s="119"/>
      <c r="P33" s="119"/>
      <c r="Q33" s="119"/>
      <c r="R33" s="194"/>
      <c r="S33" s="119"/>
      <c r="T33" s="119"/>
      <c r="U33" s="119"/>
      <c r="V33" s="119"/>
      <c r="W33" s="179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  <c r="AK33" s="180"/>
      <c r="AL33" s="180"/>
      <c r="AM33" s="180"/>
      <c r="AN33" s="180"/>
      <c r="AO33" s="180"/>
      <c r="AP33" s="180"/>
      <c r="AQ33" s="180"/>
      <c r="AR33" s="180"/>
      <c r="AS33" s="180"/>
      <c r="AT33" s="180"/>
      <c r="AU33" s="180"/>
      <c r="AV33" s="180"/>
      <c r="AW33" s="180"/>
      <c r="AX33" s="180"/>
      <c r="AY33" s="180"/>
      <c r="AZ33" s="181">
        <f>U33</f>
        <v>0</v>
      </c>
      <c r="BA33" s="193">
        <v>19.636500000000002</v>
      </c>
      <c r="BB33" s="193">
        <v>1.1134999999999999</v>
      </c>
      <c r="BC33" s="193">
        <v>22.011800000000001</v>
      </c>
      <c r="BD33" s="119">
        <f t="shared" si="5"/>
        <v>505163.19856976997</v>
      </c>
      <c r="BE33" s="197">
        <f>+J33*21.42</f>
        <v>494876.54160000006</v>
      </c>
      <c r="BF33" s="197">
        <f t="shared" si="4"/>
        <v>-10286.656969769916</v>
      </c>
    </row>
    <row r="34" spans="1:58" ht="15.75" hidden="1" x14ac:dyDescent="0.25">
      <c r="A34" s="172">
        <v>43692</v>
      </c>
      <c r="B34" s="172">
        <v>43696</v>
      </c>
      <c r="C34" s="185">
        <v>43721</v>
      </c>
      <c r="D34" s="172"/>
      <c r="E34" s="173">
        <v>43725</v>
      </c>
      <c r="F34" s="174">
        <v>92426567</v>
      </c>
      <c r="G34" s="175" t="s">
        <v>777</v>
      </c>
      <c r="H34" s="121">
        <v>92432777</v>
      </c>
      <c r="I34" s="121" t="s">
        <v>668</v>
      </c>
      <c r="J34" s="187">
        <v>27455.759999999998</v>
      </c>
      <c r="K34" s="176" t="s">
        <v>742</v>
      </c>
      <c r="L34" s="177">
        <f t="shared" si="6"/>
        <v>43752</v>
      </c>
      <c r="M34" s="119"/>
      <c r="N34" s="119"/>
      <c r="O34" s="119"/>
      <c r="P34" s="119"/>
      <c r="Q34" s="119"/>
      <c r="R34" s="194"/>
      <c r="S34" s="119"/>
      <c r="T34" s="119"/>
      <c r="U34" s="119"/>
      <c r="V34" s="119"/>
      <c r="W34" s="179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  <c r="AR34" s="180"/>
      <c r="AS34" s="180"/>
      <c r="AT34" s="180"/>
      <c r="AU34" s="180"/>
      <c r="AV34" s="180"/>
      <c r="AW34" s="180"/>
      <c r="AX34" s="180"/>
      <c r="AY34" s="180"/>
      <c r="AZ34" s="181">
        <f>V34</f>
        <v>0</v>
      </c>
      <c r="BA34" s="193">
        <v>19.5398</v>
      </c>
      <c r="BB34" s="193">
        <v>1.10155</v>
      </c>
      <c r="BC34" s="193">
        <v>21.517199999999999</v>
      </c>
      <c r="BD34" s="119">
        <f t="shared" si="5"/>
        <v>590959.60926463432</v>
      </c>
      <c r="BE34" s="197">
        <f>+J34*21.4196</f>
        <v>588091.3968959999</v>
      </c>
      <c r="BF34" s="197">
        <f t="shared" si="4"/>
        <v>-2868.212368634413</v>
      </c>
    </row>
    <row r="35" spans="1:58" ht="15.75" hidden="1" x14ac:dyDescent="0.25">
      <c r="A35" s="172">
        <v>43700</v>
      </c>
      <c r="B35" s="172">
        <v>43705</v>
      </c>
      <c r="C35" s="185">
        <v>43726</v>
      </c>
      <c r="D35" s="172"/>
      <c r="E35" s="173">
        <v>43731</v>
      </c>
      <c r="F35" s="174">
        <v>92431557</v>
      </c>
      <c r="G35" s="175" t="s">
        <v>778</v>
      </c>
      <c r="H35" s="121">
        <v>92436295</v>
      </c>
      <c r="I35" s="121" t="s">
        <v>749</v>
      </c>
      <c r="J35" s="187">
        <v>20376.810000000001</v>
      </c>
      <c r="K35" s="176" t="s">
        <v>750</v>
      </c>
      <c r="L35" s="177">
        <v>43760</v>
      </c>
      <c r="M35" s="119"/>
      <c r="N35" s="119"/>
      <c r="O35" s="119"/>
      <c r="P35" s="119"/>
      <c r="Q35" s="119"/>
      <c r="R35" s="194"/>
      <c r="S35" s="119"/>
      <c r="T35" s="119"/>
      <c r="U35" s="119"/>
      <c r="V35" s="119"/>
      <c r="W35" s="179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  <c r="AM35" s="180"/>
      <c r="AN35" s="180"/>
      <c r="AO35" s="180"/>
      <c r="AP35" s="180"/>
      <c r="AQ35" s="180"/>
      <c r="AR35" s="180"/>
      <c r="AS35" s="180"/>
      <c r="AT35" s="180"/>
      <c r="AU35" s="180"/>
      <c r="AV35" s="180"/>
      <c r="AW35" s="180"/>
      <c r="AX35" s="180"/>
      <c r="AY35" s="180"/>
      <c r="AZ35" s="181">
        <f>V35</f>
        <v>0</v>
      </c>
      <c r="BA35" s="193">
        <v>19.426500000000001</v>
      </c>
      <c r="BB35" s="193">
        <v>1.10155</v>
      </c>
      <c r="BC35" s="193">
        <v>21.415400000000002</v>
      </c>
      <c r="BD35" s="119">
        <f t="shared" si="5"/>
        <v>436048.67706567078</v>
      </c>
      <c r="BE35" s="197">
        <f>+J35*21.3586</f>
        <v>435220.134066</v>
      </c>
      <c r="BF35" s="197">
        <f t="shared" si="4"/>
        <v>-828.54299967078259</v>
      </c>
    </row>
    <row r="36" spans="1:58" ht="15.75" hidden="1" x14ac:dyDescent="0.25">
      <c r="A36" s="172">
        <v>43717</v>
      </c>
      <c r="B36" s="172">
        <v>43719</v>
      </c>
      <c r="C36" s="185">
        <v>43739</v>
      </c>
      <c r="D36" s="172">
        <v>43738</v>
      </c>
      <c r="E36" s="173">
        <v>43742</v>
      </c>
      <c r="F36" s="174">
        <v>92438514</v>
      </c>
      <c r="G36" s="175" t="s">
        <v>779</v>
      </c>
      <c r="H36" s="121">
        <v>92443563</v>
      </c>
      <c r="I36" s="121" t="s">
        <v>665</v>
      </c>
      <c r="J36" s="187">
        <v>20475.48</v>
      </c>
      <c r="K36" s="176" t="s">
        <v>780</v>
      </c>
      <c r="L36" s="177">
        <f t="shared" ref="L36:L44" si="7">A36+60</f>
        <v>43777</v>
      </c>
      <c r="M36" s="119"/>
      <c r="N36" s="119"/>
      <c r="O36" s="119"/>
      <c r="P36" s="119"/>
      <c r="Q36" s="119"/>
      <c r="R36" s="194"/>
      <c r="S36" s="119"/>
      <c r="T36" s="119"/>
      <c r="U36" s="119"/>
      <c r="V36" s="119"/>
      <c r="W36" s="199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  <c r="AM36" s="180"/>
      <c r="AN36" s="180"/>
      <c r="AO36" s="180"/>
      <c r="AP36" s="180"/>
      <c r="AQ36" s="180"/>
      <c r="AR36" s="180"/>
      <c r="AS36" s="180"/>
      <c r="AT36" s="180"/>
      <c r="AU36" s="180"/>
      <c r="AV36" s="180"/>
      <c r="AW36" s="180"/>
      <c r="AX36" s="180"/>
      <c r="AY36" s="180"/>
      <c r="AZ36" s="181">
        <f>W36</f>
        <v>0</v>
      </c>
      <c r="BA36" s="193">
        <v>19.636299999999999</v>
      </c>
      <c r="BB36" s="193">
        <v>1.10155</v>
      </c>
      <c r="BC36" s="193">
        <v>21.553999999999998</v>
      </c>
      <c r="BD36" s="119">
        <f t="shared" si="5"/>
        <v>442892.13185168215</v>
      </c>
      <c r="BE36" s="197">
        <f>+J36*21.2045</f>
        <v>434172.31565999996</v>
      </c>
      <c r="BF36" s="197">
        <f t="shared" si="4"/>
        <v>-8719.8161916821846</v>
      </c>
    </row>
    <row r="37" spans="1:58" ht="15.75" hidden="1" x14ac:dyDescent="0.25">
      <c r="A37" s="172">
        <v>43738</v>
      </c>
      <c r="B37" s="172">
        <v>43740</v>
      </c>
      <c r="C37" s="185">
        <v>43760</v>
      </c>
      <c r="D37" s="172"/>
      <c r="E37" s="173">
        <v>43762</v>
      </c>
      <c r="F37" s="174">
        <v>92447389</v>
      </c>
      <c r="G37" s="175" t="s">
        <v>781</v>
      </c>
      <c r="H37" s="121">
        <v>92452704</v>
      </c>
      <c r="I37" s="121" t="s">
        <v>665</v>
      </c>
      <c r="J37" s="187">
        <v>19908.04</v>
      </c>
      <c r="K37" s="176" t="s">
        <v>782</v>
      </c>
      <c r="L37" s="177">
        <f t="shared" si="7"/>
        <v>43798</v>
      </c>
      <c r="M37" s="119"/>
      <c r="N37" s="119"/>
      <c r="O37" s="119"/>
      <c r="P37" s="119"/>
      <c r="Q37" s="119"/>
      <c r="R37" s="194"/>
      <c r="S37" s="119"/>
      <c r="T37" s="119"/>
      <c r="U37" s="119"/>
      <c r="V37" s="119"/>
      <c r="W37" s="199"/>
      <c r="X37" s="180"/>
      <c r="Y37" s="180"/>
      <c r="Z37" s="180"/>
      <c r="AA37" s="180"/>
      <c r="AB37" s="180"/>
      <c r="AC37" s="180"/>
      <c r="AD37" s="180"/>
      <c r="AE37" s="180"/>
      <c r="AF37" s="180"/>
      <c r="AG37" s="180"/>
      <c r="AH37" s="180"/>
      <c r="AI37" s="180"/>
      <c r="AJ37" s="180"/>
      <c r="AK37" s="180"/>
      <c r="AL37" s="180"/>
      <c r="AM37" s="180"/>
      <c r="AN37" s="180"/>
      <c r="AO37" s="180"/>
      <c r="AP37" s="180"/>
      <c r="AQ37" s="180"/>
      <c r="AR37" s="180"/>
      <c r="AS37" s="180"/>
      <c r="AT37" s="180"/>
      <c r="AU37" s="180"/>
      <c r="AV37" s="180"/>
      <c r="AW37" s="180"/>
      <c r="AX37" s="180"/>
      <c r="AY37" s="180"/>
      <c r="AZ37" s="181">
        <f>W37</f>
        <v>0</v>
      </c>
      <c r="BA37" s="193">
        <v>19.160499999999999</v>
      </c>
      <c r="BB37" s="193">
        <v>1.0902499999999999</v>
      </c>
      <c r="BC37" s="193">
        <v>21.3675</v>
      </c>
      <c r="BD37" s="119">
        <f t="shared" si="5"/>
        <v>415873.68245790497</v>
      </c>
      <c r="BE37" s="197">
        <f>+J37*21.3767</f>
        <v>425568.198668</v>
      </c>
      <c r="BF37" s="197">
        <f t="shared" si="4"/>
        <v>9694.5162100950256</v>
      </c>
    </row>
    <row r="38" spans="1:58" ht="15.75" hidden="1" x14ac:dyDescent="0.25">
      <c r="A38" s="172">
        <v>43766</v>
      </c>
      <c r="B38" s="172">
        <v>43768</v>
      </c>
      <c r="C38" s="185">
        <v>43788</v>
      </c>
      <c r="D38" s="172">
        <v>43787</v>
      </c>
      <c r="E38" s="173">
        <v>43790</v>
      </c>
      <c r="F38" s="174">
        <v>92458284</v>
      </c>
      <c r="G38" s="175" t="s">
        <v>783</v>
      </c>
      <c r="H38" s="121">
        <v>92465668</v>
      </c>
      <c r="I38" s="121" t="s">
        <v>665</v>
      </c>
      <c r="J38" s="187">
        <v>19811.16</v>
      </c>
      <c r="K38" s="176" t="s">
        <v>784</v>
      </c>
      <c r="L38" s="177">
        <f t="shared" si="7"/>
        <v>43826</v>
      </c>
      <c r="M38" s="119"/>
      <c r="N38" s="119"/>
      <c r="O38" s="119"/>
      <c r="P38" s="119"/>
      <c r="Q38" s="119"/>
      <c r="R38" s="194"/>
      <c r="S38" s="119"/>
      <c r="T38" s="119"/>
      <c r="U38" s="119"/>
      <c r="V38" s="119"/>
      <c r="W38" s="199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  <c r="AM38" s="180"/>
      <c r="AN38" s="180"/>
      <c r="AO38" s="180"/>
      <c r="AP38" s="180"/>
      <c r="AQ38" s="180"/>
      <c r="AR38" s="180"/>
      <c r="AS38" s="180"/>
      <c r="AT38" s="180"/>
      <c r="AU38" s="180"/>
      <c r="AV38" s="180"/>
      <c r="AW38" s="180"/>
      <c r="AX38" s="180"/>
      <c r="AY38" s="180"/>
      <c r="AZ38" s="181">
        <f>X38</f>
        <v>0</v>
      </c>
      <c r="BA38" s="193">
        <v>19.422799999999999</v>
      </c>
      <c r="BB38" s="193">
        <v>1.11405</v>
      </c>
      <c r="BC38" s="193">
        <v>21.4557</v>
      </c>
      <c r="BD38" s="119">
        <f t="shared" si="5"/>
        <v>428673.29248099437</v>
      </c>
      <c r="BE38" s="200">
        <f>+J38*21.2204</f>
        <v>420400.73966400005</v>
      </c>
      <c r="BF38" s="200">
        <f t="shared" si="4"/>
        <v>-8272.5528169943136</v>
      </c>
    </row>
    <row r="39" spans="1:58" ht="15.75" hidden="1" x14ac:dyDescent="0.25">
      <c r="A39" s="172">
        <v>43767</v>
      </c>
      <c r="B39" s="172">
        <v>43773</v>
      </c>
      <c r="C39" s="185">
        <v>43796</v>
      </c>
      <c r="D39" s="172"/>
      <c r="E39" s="173">
        <v>43805</v>
      </c>
      <c r="F39" s="174">
        <v>92463052</v>
      </c>
      <c r="G39" s="175" t="s">
        <v>785</v>
      </c>
      <c r="H39" s="121">
        <v>92466697</v>
      </c>
      <c r="I39" s="121" t="s">
        <v>668</v>
      </c>
      <c r="J39" s="187">
        <v>23541</v>
      </c>
      <c r="K39" s="176" t="s">
        <v>742</v>
      </c>
      <c r="L39" s="177">
        <f t="shared" si="7"/>
        <v>43827</v>
      </c>
      <c r="M39" s="119"/>
      <c r="N39" s="119"/>
      <c r="O39" s="119"/>
      <c r="P39" s="119"/>
      <c r="Q39" s="119"/>
      <c r="R39" s="194"/>
      <c r="S39" s="119"/>
      <c r="T39" s="119"/>
      <c r="U39" s="119"/>
      <c r="V39" s="119"/>
      <c r="W39" s="199"/>
      <c r="X39" s="180"/>
      <c r="Y39" s="180"/>
      <c r="Z39" s="180"/>
      <c r="AA39" s="180"/>
      <c r="AB39" s="180"/>
      <c r="AC39" s="180"/>
      <c r="AD39" s="180"/>
      <c r="AE39" s="180"/>
      <c r="AF39" s="180"/>
      <c r="AG39" s="180"/>
      <c r="AH39" s="180"/>
      <c r="AI39" s="180"/>
      <c r="AJ39" s="180"/>
      <c r="AK39" s="180"/>
      <c r="AL39" s="180"/>
      <c r="AM39" s="180"/>
      <c r="AN39" s="180"/>
      <c r="AO39" s="180"/>
      <c r="AP39" s="180"/>
      <c r="AQ39" s="180"/>
      <c r="AR39" s="180"/>
      <c r="AS39" s="180"/>
      <c r="AT39" s="180"/>
      <c r="AU39" s="180"/>
      <c r="AV39" s="180"/>
      <c r="AW39" s="180"/>
      <c r="AX39" s="180"/>
      <c r="AY39" s="180"/>
      <c r="AZ39" s="181">
        <f>X39</f>
        <v>0</v>
      </c>
      <c r="BA39" s="193">
        <v>19.4468</v>
      </c>
      <c r="BB39" s="193">
        <v>1.11405</v>
      </c>
      <c r="BC39" s="193">
        <v>21.531400000000001</v>
      </c>
      <c r="BD39" s="119">
        <f t="shared" si="5"/>
        <v>510008.88019914</v>
      </c>
      <c r="BE39" s="200">
        <f>+J39*21.2097</f>
        <v>499297.54770000005</v>
      </c>
      <c r="BF39" s="200">
        <f t="shared" si="4"/>
        <v>-10711.332499139942</v>
      </c>
    </row>
    <row r="40" spans="1:58" ht="15.75" hidden="1" x14ac:dyDescent="0.25">
      <c r="A40" s="172">
        <v>43780</v>
      </c>
      <c r="B40" s="172">
        <v>43783</v>
      </c>
      <c r="C40" s="185">
        <v>43802</v>
      </c>
      <c r="D40" s="172"/>
      <c r="E40" s="173">
        <v>43806</v>
      </c>
      <c r="F40" s="174">
        <v>92471542</v>
      </c>
      <c r="G40" s="175" t="s">
        <v>786</v>
      </c>
      <c r="H40" s="121">
        <v>92472558</v>
      </c>
      <c r="I40" s="121" t="s">
        <v>665</v>
      </c>
      <c r="J40" s="187">
        <v>19829.52</v>
      </c>
      <c r="K40" s="201" t="s">
        <v>784</v>
      </c>
      <c r="L40" s="177">
        <f t="shared" si="7"/>
        <v>43840</v>
      </c>
      <c r="M40" s="119"/>
      <c r="N40" s="119"/>
      <c r="O40" s="119"/>
      <c r="P40" s="119"/>
      <c r="Q40" s="119"/>
      <c r="R40" s="194"/>
      <c r="S40" s="119"/>
      <c r="T40" s="119"/>
      <c r="U40" s="119"/>
      <c r="V40" s="119"/>
      <c r="W40" s="199"/>
      <c r="X40" s="180"/>
      <c r="Y40" s="180"/>
      <c r="Z40" s="180"/>
      <c r="AA40" s="180"/>
      <c r="AB40" s="180"/>
      <c r="AC40" s="180"/>
      <c r="AD40" s="180"/>
      <c r="AE40" s="180"/>
      <c r="AF40" s="180"/>
      <c r="AG40" s="180"/>
      <c r="AH40" s="180"/>
      <c r="AI40" s="180"/>
      <c r="AJ40" s="180"/>
      <c r="AK40" s="180"/>
      <c r="AL40" s="180"/>
      <c r="AM40" s="180"/>
      <c r="AN40" s="180"/>
      <c r="AO40" s="180"/>
      <c r="AP40" s="180"/>
      <c r="AQ40" s="180"/>
      <c r="AR40" s="180"/>
      <c r="AS40" s="180"/>
      <c r="AT40" s="180"/>
      <c r="AU40" s="180"/>
      <c r="AV40" s="180"/>
      <c r="AW40" s="180"/>
      <c r="AX40" s="180"/>
      <c r="AY40" s="180"/>
      <c r="AZ40" s="181">
        <f>Y40</f>
        <v>0</v>
      </c>
      <c r="BA40" s="193">
        <v>19.5352</v>
      </c>
      <c r="BB40" s="193">
        <v>1.11405</v>
      </c>
      <c r="BC40" s="193">
        <v>21.6723</v>
      </c>
      <c r="BD40" s="119">
        <f t="shared" si="5"/>
        <v>431553.6026438112</v>
      </c>
      <c r="BE40" s="200">
        <f>+J40*21.3</f>
        <v>422368.77600000001</v>
      </c>
      <c r="BF40" s="200">
        <f t="shared" si="4"/>
        <v>-9184.8266438111896</v>
      </c>
    </row>
    <row r="41" spans="1:58" ht="15.75" hidden="1" x14ac:dyDescent="0.25">
      <c r="A41" s="172">
        <v>43780</v>
      </c>
      <c r="B41" s="172">
        <v>43782</v>
      </c>
      <c r="C41" s="185">
        <v>43803</v>
      </c>
      <c r="D41" s="172"/>
      <c r="E41" s="173">
        <v>43809</v>
      </c>
      <c r="F41" s="202">
        <v>92469631</v>
      </c>
      <c r="G41" s="175" t="s">
        <v>787</v>
      </c>
      <c r="H41" s="121">
        <v>92472610</v>
      </c>
      <c r="I41" s="121" t="s">
        <v>749</v>
      </c>
      <c r="J41" s="187">
        <v>19381.560000000001</v>
      </c>
      <c r="K41" s="176" t="s">
        <v>750</v>
      </c>
      <c r="L41" s="177">
        <f t="shared" si="7"/>
        <v>43840</v>
      </c>
      <c r="M41" s="119"/>
      <c r="N41" s="119"/>
      <c r="O41" s="119"/>
      <c r="P41" s="119"/>
      <c r="Q41" s="119"/>
      <c r="R41" s="194"/>
      <c r="S41" s="119"/>
      <c r="T41" s="119"/>
      <c r="U41" s="119"/>
      <c r="V41" s="119"/>
      <c r="W41" s="199"/>
      <c r="X41" s="180"/>
      <c r="Y41" s="180"/>
      <c r="Z41" s="180"/>
      <c r="AA41" s="180"/>
      <c r="AB41" s="180"/>
      <c r="AC41" s="180"/>
      <c r="AD41" s="180"/>
      <c r="AE41" s="180"/>
      <c r="AF41" s="180"/>
      <c r="AG41" s="180"/>
      <c r="AH41" s="180"/>
      <c r="AI41" s="180"/>
      <c r="AJ41" s="180"/>
      <c r="AK41" s="180"/>
      <c r="AL41" s="180"/>
      <c r="AM41" s="180"/>
      <c r="AN41" s="180"/>
      <c r="AO41" s="180"/>
      <c r="AP41" s="180"/>
      <c r="AQ41" s="180"/>
      <c r="AR41" s="180"/>
      <c r="AS41" s="180"/>
      <c r="AT41" s="180"/>
      <c r="AU41" s="180"/>
      <c r="AV41" s="180"/>
      <c r="AW41" s="180"/>
      <c r="AX41" s="180"/>
      <c r="AY41" s="180"/>
      <c r="AZ41" s="181">
        <f>Y41</f>
        <v>0</v>
      </c>
      <c r="BA41" s="193">
        <v>19.5717</v>
      </c>
      <c r="BB41" s="193">
        <v>1.11405</v>
      </c>
      <c r="BC41" s="193">
        <v>21.554099999999998</v>
      </c>
      <c r="BD41" s="119">
        <f t="shared" si="5"/>
        <v>422592.67323102063</v>
      </c>
      <c r="BE41" s="200">
        <f>+J41*21.0638</f>
        <v>408249.30352800002</v>
      </c>
      <c r="BF41" s="200">
        <f t="shared" si="4"/>
        <v>-14343.369703020609</v>
      </c>
    </row>
    <row r="42" spans="1:58" ht="15.75" hidden="1" x14ac:dyDescent="0.25">
      <c r="A42" s="172">
        <v>43791</v>
      </c>
      <c r="B42" s="172">
        <v>43796</v>
      </c>
      <c r="C42" s="185">
        <v>43816</v>
      </c>
      <c r="D42" s="172"/>
      <c r="E42" s="173">
        <v>43820</v>
      </c>
      <c r="F42" s="202">
        <v>92471985</v>
      </c>
      <c r="G42" s="175" t="s">
        <v>788</v>
      </c>
      <c r="H42" s="121">
        <v>92478180</v>
      </c>
      <c r="I42" s="121" t="s">
        <v>665</v>
      </c>
      <c r="J42" s="187">
        <v>19884.599999999999</v>
      </c>
      <c r="K42" s="203" t="s">
        <v>789</v>
      </c>
      <c r="L42" s="177">
        <f t="shared" si="7"/>
        <v>43851</v>
      </c>
      <c r="M42" s="119"/>
      <c r="N42" s="119"/>
      <c r="O42" s="119"/>
      <c r="P42" s="119"/>
      <c r="Q42" s="119"/>
      <c r="R42" s="194"/>
      <c r="S42" s="119"/>
      <c r="T42" s="119"/>
      <c r="U42" s="119"/>
      <c r="V42" s="119"/>
      <c r="W42" s="199"/>
      <c r="X42" s="180"/>
      <c r="Y42" s="180"/>
      <c r="Z42" s="180"/>
      <c r="AA42" s="180"/>
      <c r="AB42" s="180"/>
      <c r="AC42" s="180"/>
      <c r="AD42" s="180"/>
      <c r="AE42" s="180"/>
      <c r="AF42" s="180"/>
      <c r="AG42" s="180"/>
      <c r="AH42" s="180"/>
      <c r="AI42" s="180"/>
      <c r="AJ42" s="180"/>
      <c r="AK42" s="180"/>
      <c r="AL42" s="180"/>
      <c r="AM42" s="180"/>
      <c r="AN42" s="180"/>
      <c r="AO42" s="180"/>
      <c r="AP42" s="180"/>
      <c r="AQ42" s="180"/>
      <c r="AR42" s="180"/>
      <c r="AS42" s="180"/>
      <c r="AT42" s="180"/>
      <c r="AU42" s="180"/>
      <c r="AV42" s="180"/>
      <c r="AW42" s="180"/>
      <c r="AX42" s="180"/>
      <c r="AY42" s="180"/>
      <c r="AZ42" s="181">
        <f>Y42</f>
        <v>0</v>
      </c>
      <c r="BA42" s="193">
        <v>19.1785</v>
      </c>
      <c r="BB42" s="193">
        <v>1.1025499999999999</v>
      </c>
      <c r="BC42" s="193">
        <v>21.141300000000001</v>
      </c>
      <c r="BD42" s="119">
        <f t="shared" si="5"/>
        <v>420464.94105280493</v>
      </c>
      <c r="BE42" s="200">
        <f>+J42*21.1489</f>
        <v>420537.41693999997</v>
      </c>
      <c r="BF42" s="200">
        <f t="shared" si="4"/>
        <v>72.475887195032556</v>
      </c>
    </row>
    <row r="43" spans="1:58" ht="15.75" hidden="1" x14ac:dyDescent="0.25">
      <c r="A43" s="172">
        <v>43805</v>
      </c>
      <c r="B43" s="172">
        <v>43810</v>
      </c>
      <c r="C43" s="185">
        <v>43830</v>
      </c>
      <c r="D43" s="172"/>
      <c r="E43" s="204">
        <v>43839</v>
      </c>
      <c r="F43" s="202">
        <v>92473167</v>
      </c>
      <c r="G43" s="175" t="s">
        <v>790</v>
      </c>
      <c r="H43" s="121">
        <v>92484707</v>
      </c>
      <c r="I43" s="121" t="s">
        <v>665</v>
      </c>
      <c r="J43" s="187">
        <v>19774.439999999999</v>
      </c>
      <c r="K43" s="203" t="s">
        <v>782</v>
      </c>
      <c r="L43" s="177">
        <f t="shared" si="7"/>
        <v>43865</v>
      </c>
      <c r="M43" s="119"/>
      <c r="N43" s="119"/>
      <c r="O43" s="119"/>
      <c r="P43" s="119"/>
      <c r="Q43" s="119"/>
      <c r="R43" s="194"/>
      <c r="S43" s="119"/>
      <c r="T43" s="119"/>
      <c r="U43" s="119"/>
      <c r="V43" s="119"/>
      <c r="W43" s="199"/>
      <c r="X43" s="180"/>
      <c r="Y43" s="180"/>
      <c r="Z43" s="180"/>
      <c r="AA43" s="180"/>
      <c r="AB43" s="180"/>
      <c r="AC43" s="180"/>
      <c r="AD43" s="180"/>
      <c r="AE43" s="180"/>
      <c r="AF43" s="180"/>
      <c r="AG43" s="180"/>
      <c r="AH43" s="180"/>
      <c r="AI43" s="180"/>
      <c r="AJ43" s="180"/>
      <c r="AK43" s="180"/>
      <c r="AL43" s="180"/>
      <c r="AM43" s="180"/>
      <c r="AN43" s="180"/>
      <c r="AO43" s="180"/>
      <c r="AP43" s="180"/>
      <c r="AQ43" s="180"/>
      <c r="AR43" s="180"/>
      <c r="AS43" s="180"/>
      <c r="AT43" s="180"/>
      <c r="AU43" s="180"/>
      <c r="AV43" s="180"/>
      <c r="AW43" s="180"/>
      <c r="AX43" s="180"/>
      <c r="AY43" s="180"/>
      <c r="AZ43" s="181">
        <f>Z43</f>
        <v>0</v>
      </c>
      <c r="BA43" s="193">
        <v>18.8642</v>
      </c>
      <c r="BB43" s="193">
        <v>1.1025499999999999</v>
      </c>
      <c r="BC43" s="193">
        <v>21.0002</v>
      </c>
      <c r="BD43" s="205">
        <f t="shared" si="5"/>
        <v>411283.11407997238</v>
      </c>
      <c r="BE43" s="206">
        <f>+J43*20.9438</f>
        <v>414151.91647199995</v>
      </c>
      <c r="BF43" s="206">
        <f t="shared" si="4"/>
        <v>2868.8023920275737</v>
      </c>
    </row>
    <row r="44" spans="1:58" ht="15.75" hidden="1" x14ac:dyDescent="0.25">
      <c r="A44" s="172">
        <v>43822</v>
      </c>
      <c r="B44" s="172">
        <v>43824</v>
      </c>
      <c r="C44" s="185">
        <v>43844</v>
      </c>
      <c r="D44" s="172"/>
      <c r="E44" s="204">
        <v>43850</v>
      </c>
      <c r="F44" s="202">
        <v>92487475</v>
      </c>
      <c r="G44" s="175" t="s">
        <v>791</v>
      </c>
      <c r="H44" s="121">
        <v>92492190</v>
      </c>
      <c r="I44" s="121" t="s">
        <v>665</v>
      </c>
      <c r="J44" s="187">
        <v>20109.72</v>
      </c>
      <c r="K44" s="203" t="s">
        <v>789</v>
      </c>
      <c r="L44" s="177">
        <f t="shared" si="7"/>
        <v>43882</v>
      </c>
      <c r="M44" s="119"/>
      <c r="N44" s="119"/>
      <c r="O44" s="119"/>
      <c r="P44" s="119"/>
      <c r="Q44" s="119"/>
      <c r="R44" s="194"/>
      <c r="S44" s="119"/>
      <c r="T44" s="119"/>
      <c r="U44" s="119"/>
      <c r="V44" s="119"/>
      <c r="W44" s="199"/>
      <c r="X44" s="180"/>
      <c r="Y44" s="180"/>
      <c r="Z44" s="180"/>
      <c r="AA44" s="180"/>
      <c r="AB44" s="180"/>
      <c r="AC44" s="180"/>
      <c r="AD44" s="180"/>
      <c r="AE44" s="180"/>
      <c r="AF44" s="180"/>
      <c r="AG44" s="180"/>
      <c r="AH44" s="180"/>
      <c r="AI44" s="180"/>
      <c r="AJ44" s="180"/>
      <c r="AK44" s="180"/>
      <c r="AL44" s="180"/>
      <c r="AM44" s="180"/>
      <c r="AN44" s="180"/>
      <c r="AO44" s="180"/>
      <c r="AP44" s="180"/>
      <c r="AQ44" s="180"/>
      <c r="AR44" s="180"/>
      <c r="AS44" s="180"/>
      <c r="AT44" s="180"/>
      <c r="AU44" s="180"/>
      <c r="AV44" s="180"/>
      <c r="AW44" s="180"/>
      <c r="AX44" s="180"/>
      <c r="AY44" s="180"/>
      <c r="AZ44" s="181">
        <f>Z44</f>
        <v>0</v>
      </c>
      <c r="BA44" s="193">
        <v>18.773199999999999</v>
      </c>
      <c r="BB44" s="193">
        <v>1.1225000000000001</v>
      </c>
      <c r="BC44" s="193">
        <v>20.937799999999999</v>
      </c>
      <c r="BD44" s="205">
        <f t="shared" si="5"/>
        <v>423770.46045324003</v>
      </c>
      <c r="BE44" s="206">
        <f>+J44*20.9408</f>
        <v>421113.62457600003</v>
      </c>
      <c r="BF44" s="206">
        <f t="shared" si="4"/>
        <v>-2656.8358772399952</v>
      </c>
    </row>
    <row r="45" spans="1:58" ht="15.75" hidden="1" x14ac:dyDescent="0.25">
      <c r="A45" s="172">
        <v>43471</v>
      </c>
      <c r="B45" s="172">
        <v>43839</v>
      </c>
      <c r="C45" s="185">
        <v>43858</v>
      </c>
      <c r="D45" s="172">
        <v>43860</v>
      </c>
      <c r="E45" s="204">
        <v>43866</v>
      </c>
      <c r="F45" s="174">
        <v>92480309</v>
      </c>
      <c r="G45" s="175" t="s">
        <v>792</v>
      </c>
      <c r="H45" s="121">
        <v>92495808</v>
      </c>
      <c r="I45" s="121" t="s">
        <v>665</v>
      </c>
      <c r="J45" s="187">
        <v>19774.439999999999</v>
      </c>
      <c r="K45" s="203" t="s">
        <v>782</v>
      </c>
      <c r="L45" s="177">
        <v>43896</v>
      </c>
      <c r="M45" s="119"/>
      <c r="N45" s="119"/>
      <c r="O45" s="119"/>
      <c r="P45" s="119"/>
      <c r="Q45" s="119"/>
      <c r="R45" s="194"/>
      <c r="S45" s="119"/>
      <c r="T45" s="119"/>
      <c r="U45" s="119"/>
      <c r="V45" s="119"/>
      <c r="W45" s="199"/>
      <c r="X45" s="180"/>
      <c r="Y45" s="180"/>
      <c r="Z45" s="180" t="s">
        <v>642</v>
      </c>
      <c r="AA45" s="180"/>
      <c r="AB45" s="180"/>
      <c r="AC45" s="180"/>
      <c r="AD45" s="180"/>
      <c r="AE45" s="180"/>
      <c r="AF45" s="180"/>
      <c r="AG45" s="180"/>
      <c r="AH45" s="180"/>
      <c r="AI45" s="180"/>
      <c r="AJ45" s="180"/>
      <c r="AK45" s="180"/>
      <c r="AL45" s="180"/>
      <c r="AM45" s="180"/>
      <c r="AN45" s="180"/>
      <c r="AO45" s="180"/>
      <c r="AP45" s="180"/>
      <c r="AQ45" s="180"/>
      <c r="AR45" s="180"/>
      <c r="AS45" s="180"/>
      <c r="AT45" s="180"/>
      <c r="AU45" s="180"/>
      <c r="AV45" s="180"/>
      <c r="AW45" s="180"/>
      <c r="AX45" s="180"/>
      <c r="AY45" s="180"/>
      <c r="AZ45" s="181">
        <f>AA45</f>
        <v>0</v>
      </c>
      <c r="BA45" s="193">
        <v>18.802199999999999</v>
      </c>
      <c r="BB45" s="193">
        <v>1.1225000000000001</v>
      </c>
      <c r="BC45" s="193">
        <v>20.706099999999999</v>
      </c>
      <c r="BD45" s="119"/>
      <c r="BE45" s="200"/>
      <c r="BF45" s="200"/>
    </row>
    <row r="46" spans="1:58" ht="15.75" hidden="1" x14ac:dyDescent="0.25">
      <c r="A46" s="172">
        <v>43832</v>
      </c>
      <c r="B46" s="172">
        <v>43836</v>
      </c>
      <c r="C46" s="185">
        <v>43859</v>
      </c>
      <c r="D46" s="172"/>
      <c r="E46" s="173"/>
      <c r="F46" s="174">
        <v>92489546</v>
      </c>
      <c r="G46" s="175" t="s">
        <v>793</v>
      </c>
      <c r="H46" s="121">
        <v>92494787</v>
      </c>
      <c r="I46" s="121" t="s">
        <v>668</v>
      </c>
      <c r="J46" s="187">
        <v>22888.43</v>
      </c>
      <c r="K46" s="203" t="s">
        <v>742</v>
      </c>
      <c r="L46" s="177">
        <f>A46+60</f>
        <v>43892</v>
      </c>
      <c r="M46" s="119"/>
      <c r="N46" s="119"/>
      <c r="O46" s="119"/>
      <c r="P46" s="119"/>
      <c r="Q46" s="119"/>
      <c r="R46" s="194"/>
      <c r="S46" s="119"/>
      <c r="T46" s="119"/>
      <c r="U46" s="119"/>
      <c r="V46" s="119"/>
      <c r="W46" s="199"/>
      <c r="X46" s="180"/>
      <c r="Y46" s="180"/>
      <c r="Z46" s="180"/>
      <c r="AA46" s="180"/>
      <c r="AB46" s="180"/>
      <c r="AC46" s="180"/>
      <c r="AD46" s="180"/>
      <c r="AE46" s="180"/>
      <c r="AF46" s="180"/>
      <c r="AG46" s="180"/>
      <c r="AH46" s="180"/>
      <c r="AI46" s="180"/>
      <c r="AJ46" s="180"/>
      <c r="AK46" s="180"/>
      <c r="AL46" s="180"/>
      <c r="AM46" s="180"/>
      <c r="AN46" s="180"/>
      <c r="AO46" s="180"/>
      <c r="AP46" s="180"/>
      <c r="AQ46" s="180"/>
      <c r="AR46" s="180"/>
      <c r="AS46" s="180"/>
      <c r="AT46" s="180"/>
      <c r="AU46" s="180"/>
      <c r="AV46" s="180"/>
      <c r="AW46" s="180"/>
      <c r="AX46" s="180"/>
      <c r="AY46" s="180"/>
      <c r="AZ46" s="181">
        <f>AA46</f>
        <v>0</v>
      </c>
      <c r="BA46" s="193">
        <v>18.9407</v>
      </c>
      <c r="BB46" s="193">
        <v>1.1225000000000001</v>
      </c>
      <c r="BC46" s="193">
        <v>20.580200000000001</v>
      </c>
      <c r="BD46" s="119"/>
      <c r="BE46" s="200"/>
      <c r="BF46" s="200"/>
    </row>
    <row r="47" spans="1:58" ht="15.75" hidden="1" x14ac:dyDescent="0.25">
      <c r="A47" s="172">
        <v>44039</v>
      </c>
      <c r="B47" s="172">
        <v>43860</v>
      </c>
      <c r="C47" s="185">
        <v>43879</v>
      </c>
      <c r="D47" s="172"/>
      <c r="E47" s="173"/>
      <c r="F47" s="174">
        <v>92503121</v>
      </c>
      <c r="G47" s="175" t="s">
        <v>794</v>
      </c>
      <c r="H47" s="121">
        <v>92505624</v>
      </c>
      <c r="I47" s="121" t="s">
        <v>665</v>
      </c>
      <c r="J47" s="187">
        <v>20035.68</v>
      </c>
      <c r="K47" s="176" t="s">
        <v>795</v>
      </c>
      <c r="L47" s="177">
        <v>43917</v>
      </c>
      <c r="M47" s="119"/>
      <c r="N47" s="119"/>
      <c r="O47" s="119"/>
      <c r="P47" s="119"/>
      <c r="Q47" s="119"/>
      <c r="R47" s="194"/>
      <c r="S47" s="119"/>
      <c r="T47" s="119"/>
      <c r="U47" s="119"/>
      <c r="V47" s="119"/>
      <c r="W47" s="199"/>
      <c r="X47" s="180"/>
      <c r="Y47" s="180"/>
      <c r="Z47" s="180"/>
      <c r="AA47" s="180"/>
      <c r="AB47" s="180"/>
      <c r="AC47" s="180"/>
      <c r="AD47" s="180"/>
      <c r="AE47" s="180"/>
      <c r="AF47" s="180"/>
      <c r="AG47" s="180"/>
      <c r="AH47" s="180"/>
      <c r="AI47" s="180"/>
      <c r="AJ47" s="180"/>
      <c r="AK47" s="180"/>
      <c r="AL47" s="180"/>
      <c r="AM47" s="180"/>
      <c r="AN47" s="180"/>
      <c r="AO47" s="180"/>
      <c r="AP47" s="180"/>
      <c r="AQ47" s="180"/>
      <c r="AR47" s="180"/>
      <c r="AS47" s="180"/>
      <c r="AT47" s="180"/>
      <c r="AU47" s="180"/>
      <c r="AV47" s="180"/>
      <c r="AW47" s="180"/>
      <c r="AX47" s="180"/>
      <c r="AY47" s="180"/>
      <c r="AZ47" s="181">
        <f>AA47</f>
        <v>0</v>
      </c>
      <c r="BA47" s="193">
        <v>18.645800000000001</v>
      </c>
      <c r="BB47" s="193">
        <v>1.1077999999999999</v>
      </c>
      <c r="BC47" s="193">
        <v>20.113900000000001</v>
      </c>
      <c r="BD47" s="119"/>
      <c r="BE47" s="200"/>
      <c r="BF47" s="200"/>
    </row>
    <row r="48" spans="1:58" ht="15.75" hidden="1" x14ac:dyDescent="0.25">
      <c r="A48" s="207">
        <f>B48-6</f>
        <v>43860</v>
      </c>
      <c r="B48" s="207">
        <v>43866</v>
      </c>
      <c r="C48" s="208">
        <v>43886</v>
      </c>
      <c r="D48" s="207"/>
      <c r="E48" s="209"/>
      <c r="F48" s="210" t="s">
        <v>796</v>
      </c>
      <c r="G48" s="211" t="s">
        <v>797</v>
      </c>
      <c r="H48" s="212"/>
      <c r="I48" s="212" t="s">
        <v>665</v>
      </c>
      <c r="J48" s="213">
        <v>19817.28</v>
      </c>
      <c r="K48" s="214" t="s">
        <v>795</v>
      </c>
      <c r="L48" s="177">
        <f>A48+60</f>
        <v>43920</v>
      </c>
      <c r="M48" s="119"/>
      <c r="N48" s="119"/>
      <c r="O48" s="119"/>
      <c r="P48" s="119"/>
      <c r="Q48" s="119"/>
      <c r="R48" s="194"/>
      <c r="S48" s="119"/>
      <c r="T48" s="119"/>
      <c r="U48" s="119"/>
      <c r="V48" s="119"/>
      <c r="W48" s="199"/>
      <c r="X48" s="180"/>
      <c r="Y48" s="180"/>
      <c r="Z48" s="180"/>
      <c r="AA48" s="180"/>
      <c r="AB48" s="180"/>
      <c r="AC48" s="180"/>
      <c r="AD48" s="180"/>
      <c r="AE48" s="180"/>
      <c r="AF48" s="180"/>
      <c r="AG48" s="180"/>
      <c r="AH48" s="180"/>
      <c r="AI48" s="180"/>
      <c r="AJ48" s="180"/>
      <c r="AK48" s="180"/>
      <c r="AL48" s="180"/>
      <c r="AM48" s="180"/>
      <c r="AN48" s="180"/>
      <c r="AO48" s="180"/>
      <c r="AP48" s="180"/>
      <c r="AQ48" s="180"/>
      <c r="AR48" s="180"/>
      <c r="AS48" s="180"/>
      <c r="AT48" s="180"/>
      <c r="AU48" s="180"/>
      <c r="AV48" s="180"/>
      <c r="AW48" s="180"/>
      <c r="AX48" s="180"/>
      <c r="AY48" s="180"/>
      <c r="AZ48" s="181"/>
      <c r="BA48" s="193"/>
      <c r="BB48" s="193"/>
      <c r="BC48" s="193"/>
      <c r="BD48" s="119"/>
      <c r="BE48" s="200"/>
      <c r="BF48" s="200"/>
    </row>
    <row r="49" spans="1:58" ht="15.75" hidden="1" x14ac:dyDescent="0.25">
      <c r="A49" s="566"/>
      <c r="B49" s="567"/>
      <c r="C49" s="567"/>
      <c r="D49" s="567"/>
      <c r="E49" s="567"/>
      <c r="F49" s="567"/>
      <c r="G49" s="567"/>
      <c r="H49" s="567"/>
      <c r="I49" s="567"/>
      <c r="J49" s="567"/>
      <c r="K49" s="567"/>
      <c r="L49" s="567"/>
      <c r="M49" s="567"/>
      <c r="N49" s="567"/>
      <c r="O49" s="567"/>
      <c r="P49" s="567"/>
      <c r="Q49" s="567"/>
      <c r="R49" s="567"/>
      <c r="S49" s="567"/>
      <c r="T49" s="567"/>
      <c r="U49" s="567"/>
      <c r="V49" s="567"/>
      <c r="W49" s="567"/>
      <c r="X49" s="567"/>
      <c r="Y49" s="567"/>
      <c r="Z49" s="567"/>
      <c r="AA49" s="567"/>
      <c r="AB49" s="567"/>
      <c r="AC49" s="567"/>
      <c r="AD49" s="567"/>
      <c r="AE49" s="567"/>
      <c r="AF49" s="567"/>
      <c r="AG49" s="567"/>
      <c r="AH49" s="567"/>
      <c r="AI49" s="567"/>
      <c r="AJ49" s="567"/>
      <c r="AK49" s="567"/>
      <c r="AL49" s="567"/>
      <c r="AM49" s="567"/>
      <c r="AN49" s="567"/>
      <c r="AO49" s="567"/>
      <c r="AP49" s="567"/>
      <c r="AQ49" s="567"/>
      <c r="AR49" s="567"/>
      <c r="AS49" s="567"/>
      <c r="AT49" s="567"/>
      <c r="AU49" s="567"/>
      <c r="AV49" s="567"/>
      <c r="AW49" s="567"/>
      <c r="AX49" s="567"/>
      <c r="AY49" s="567"/>
      <c r="AZ49" s="567"/>
      <c r="BA49" s="567"/>
      <c r="BB49" s="567"/>
      <c r="BC49" s="567"/>
      <c r="BD49" s="567"/>
      <c r="BE49" s="567"/>
      <c r="BF49" s="568"/>
    </row>
    <row r="50" spans="1:58" ht="15.75" hidden="1" x14ac:dyDescent="0.25">
      <c r="A50" s="172">
        <v>43878</v>
      </c>
      <c r="B50" s="172">
        <v>43881</v>
      </c>
      <c r="C50" s="185">
        <v>43901</v>
      </c>
      <c r="D50" s="172"/>
      <c r="E50" s="173"/>
      <c r="F50" s="202">
        <v>92509520</v>
      </c>
      <c r="G50" s="175" t="s">
        <v>798</v>
      </c>
      <c r="H50" s="121">
        <v>92515308</v>
      </c>
      <c r="I50" s="121" t="s">
        <v>749</v>
      </c>
      <c r="J50" s="187">
        <v>17912.400000000001</v>
      </c>
      <c r="K50" s="176" t="s">
        <v>799</v>
      </c>
      <c r="L50" s="177">
        <v>43938</v>
      </c>
      <c r="M50" s="119"/>
      <c r="N50" s="119"/>
      <c r="O50" s="119"/>
      <c r="P50" s="119"/>
      <c r="Q50" s="119"/>
      <c r="R50" s="194"/>
      <c r="S50" s="119"/>
      <c r="T50" s="119"/>
      <c r="U50" s="119"/>
      <c r="V50" s="119"/>
      <c r="W50" s="199"/>
      <c r="X50" s="180"/>
      <c r="Y50" s="180"/>
      <c r="Z50" s="180"/>
      <c r="AA50" s="180"/>
      <c r="AB50" s="180"/>
      <c r="AC50" s="180"/>
      <c r="AD50" s="180"/>
      <c r="AE50" s="180"/>
      <c r="AF50" s="180"/>
      <c r="AG50" s="180"/>
      <c r="AH50" s="180"/>
      <c r="AI50" s="180"/>
      <c r="AJ50" s="180"/>
      <c r="AK50" s="180"/>
      <c r="AL50" s="180"/>
      <c r="AM50" s="180"/>
      <c r="AN50" s="180"/>
      <c r="AO50" s="180"/>
      <c r="AP50" s="180"/>
      <c r="AQ50" s="180"/>
      <c r="AR50" s="180"/>
      <c r="AS50" s="180"/>
      <c r="AT50" s="180"/>
      <c r="AU50" s="180"/>
      <c r="AV50" s="180"/>
      <c r="AW50" s="180"/>
      <c r="AX50" s="180"/>
      <c r="AY50" s="180"/>
      <c r="AZ50" s="181">
        <f>AB50</f>
        <v>0</v>
      </c>
      <c r="BA50" s="193">
        <v>20.162299999999998</v>
      </c>
      <c r="BB50" s="193">
        <v>1.0983499999999999</v>
      </c>
      <c r="BC50" s="193">
        <v>23.889500000000002</v>
      </c>
      <c r="BD50" s="119"/>
      <c r="BE50" s="195">
        <f>17912.4*26.1185</f>
        <v>467845.01940000005</v>
      </c>
      <c r="BF50" s="200">
        <f>+BE50-BD50</f>
        <v>467845.01940000005</v>
      </c>
    </row>
    <row r="51" spans="1:58" ht="15.75" hidden="1" x14ac:dyDescent="0.25">
      <c r="A51" s="172">
        <v>43874</v>
      </c>
      <c r="B51" s="172">
        <v>43876</v>
      </c>
      <c r="C51" s="185">
        <v>43898</v>
      </c>
      <c r="D51" s="172"/>
      <c r="E51" s="173"/>
      <c r="F51" s="202">
        <v>92514221</v>
      </c>
      <c r="G51" s="175" t="s">
        <v>800</v>
      </c>
      <c r="H51" s="121">
        <v>92514233</v>
      </c>
      <c r="I51" s="121" t="s">
        <v>668</v>
      </c>
      <c r="J51" s="187">
        <v>24394.74</v>
      </c>
      <c r="K51" s="176" t="s">
        <v>742</v>
      </c>
      <c r="L51" s="177">
        <v>43934</v>
      </c>
      <c r="M51" s="119"/>
      <c r="N51" s="119"/>
      <c r="O51" s="119"/>
      <c r="P51" s="119"/>
      <c r="Q51" s="119"/>
      <c r="R51" s="194"/>
      <c r="S51" s="119"/>
      <c r="T51" s="119"/>
      <c r="U51" s="119"/>
      <c r="V51" s="119"/>
      <c r="W51" s="199"/>
      <c r="X51" s="180"/>
      <c r="Y51" s="180"/>
      <c r="Z51" s="180"/>
      <c r="AA51" s="180"/>
      <c r="AB51" s="180"/>
      <c r="AC51" s="180"/>
      <c r="AD51" s="180"/>
      <c r="AE51" s="180"/>
      <c r="AF51" s="180"/>
      <c r="AG51" s="180"/>
      <c r="AH51" s="180"/>
      <c r="AI51" s="180"/>
      <c r="AJ51" s="180"/>
      <c r="AK51" s="180"/>
      <c r="AL51" s="180"/>
      <c r="AM51" s="180"/>
      <c r="AN51" s="180"/>
      <c r="AO51" s="180"/>
      <c r="AP51" s="180"/>
      <c r="AQ51" s="180"/>
      <c r="AR51" s="180"/>
      <c r="AS51" s="180"/>
      <c r="AT51" s="180"/>
      <c r="AU51" s="180"/>
      <c r="AV51" s="180"/>
      <c r="AW51" s="180"/>
      <c r="AX51" s="180"/>
      <c r="AY51" s="180"/>
      <c r="AZ51" s="181">
        <f>AB51</f>
        <v>0</v>
      </c>
      <c r="BA51" s="193">
        <v>20.162299999999998</v>
      </c>
      <c r="BB51" s="193">
        <v>1.0983499999999999</v>
      </c>
      <c r="BC51" s="193">
        <v>23.889500000000002</v>
      </c>
      <c r="BD51" s="205">
        <f>+J51*BA51*BB51</f>
        <v>540227.9137228016</v>
      </c>
      <c r="BE51" s="119">
        <f>+J51*26.28</f>
        <v>641093.76720000012</v>
      </c>
      <c r="BF51" s="200">
        <f>+BE51-BD51</f>
        <v>100865.85347719851</v>
      </c>
    </row>
    <row r="52" spans="1:58" ht="15.75" hidden="1" x14ac:dyDescent="0.25">
      <c r="A52" s="172">
        <v>43885</v>
      </c>
      <c r="B52" s="172">
        <v>43888</v>
      </c>
      <c r="C52" s="185">
        <v>43908</v>
      </c>
      <c r="D52" s="172"/>
      <c r="E52" s="173"/>
      <c r="F52" s="202">
        <v>92516518</v>
      </c>
      <c r="G52" s="175" t="s">
        <v>801</v>
      </c>
      <c r="H52" s="121">
        <v>92518922</v>
      </c>
      <c r="I52" s="121" t="s">
        <v>665</v>
      </c>
      <c r="J52" s="187">
        <v>18526.68</v>
      </c>
      <c r="K52" s="176" t="s">
        <v>750</v>
      </c>
      <c r="L52" s="177">
        <v>43945</v>
      </c>
      <c r="M52" s="119"/>
      <c r="N52" s="119"/>
      <c r="O52" s="119"/>
      <c r="P52" s="119"/>
      <c r="Q52" s="119"/>
      <c r="R52" s="194"/>
      <c r="S52" s="119"/>
      <c r="T52" s="119"/>
      <c r="U52" s="119"/>
      <c r="V52" s="119"/>
      <c r="W52" s="199"/>
      <c r="X52" s="180"/>
      <c r="Y52" s="180"/>
      <c r="Z52" s="180"/>
      <c r="AA52" s="180"/>
      <c r="AB52" s="180"/>
      <c r="AC52" s="180"/>
      <c r="AD52" s="180"/>
      <c r="AE52" s="180"/>
      <c r="AF52" s="180"/>
      <c r="AG52" s="180"/>
      <c r="AH52" s="180"/>
      <c r="AI52" s="180"/>
      <c r="AJ52" s="180"/>
      <c r="AK52" s="180"/>
      <c r="AL52" s="180"/>
      <c r="AM52" s="180"/>
      <c r="AN52" s="180"/>
      <c r="AO52" s="180"/>
      <c r="AP52" s="180"/>
      <c r="AQ52" s="180"/>
      <c r="AR52" s="180"/>
      <c r="AS52" s="180"/>
      <c r="AT52" s="180"/>
      <c r="AU52" s="180"/>
      <c r="AV52" s="180"/>
      <c r="AW52" s="180"/>
      <c r="AX52" s="180"/>
      <c r="AY52" s="180"/>
      <c r="AZ52" s="181">
        <f>AB52</f>
        <v>0</v>
      </c>
      <c r="BA52" s="193">
        <v>23.9008</v>
      </c>
      <c r="BB52" s="193">
        <v>1.0983499999999999</v>
      </c>
      <c r="BC52" s="193">
        <v>25.824400000000001</v>
      </c>
      <c r="BD52" s="205">
        <f t="shared" ref="BD52:BD77" si="8">+J52*BA52*BB52</f>
        <v>486352.09659738239</v>
      </c>
      <c r="BE52" s="200">
        <f>+J52*25.9305</f>
        <v>480406.07574</v>
      </c>
      <c r="BF52" s="200">
        <f t="shared" ref="BF52:BF59" si="9">+BE52-BD52</f>
        <v>-5946.0208573823911</v>
      </c>
    </row>
    <row r="53" spans="1:58" ht="15.75" hidden="1" x14ac:dyDescent="0.25">
      <c r="A53" s="172">
        <v>43909</v>
      </c>
      <c r="B53" s="172">
        <v>43911</v>
      </c>
      <c r="C53" s="185">
        <v>43933</v>
      </c>
      <c r="D53" s="172"/>
      <c r="E53" s="173"/>
      <c r="F53" s="202">
        <v>92520845</v>
      </c>
      <c r="G53" s="175" t="s">
        <v>802</v>
      </c>
      <c r="H53" s="121">
        <v>92529664</v>
      </c>
      <c r="I53" s="121" t="s">
        <v>668</v>
      </c>
      <c r="J53" s="187">
        <v>22566.12</v>
      </c>
      <c r="K53" s="176" t="s">
        <v>742</v>
      </c>
      <c r="L53" s="177">
        <v>43969</v>
      </c>
      <c r="M53" s="119"/>
      <c r="N53" s="119"/>
      <c r="O53" s="119"/>
      <c r="P53" s="119"/>
      <c r="Q53" s="119"/>
      <c r="R53" s="194"/>
      <c r="S53" s="119"/>
      <c r="T53" s="119"/>
      <c r="U53" s="119"/>
      <c r="V53" s="119"/>
      <c r="W53" s="199"/>
      <c r="X53" s="180"/>
      <c r="Y53" s="180"/>
      <c r="Z53" s="180"/>
      <c r="AA53" s="180"/>
      <c r="AB53" s="180"/>
      <c r="AC53" s="180"/>
      <c r="AD53" s="180"/>
      <c r="AE53" s="180"/>
      <c r="AF53" s="180"/>
      <c r="AG53" s="180"/>
      <c r="AH53" s="180"/>
      <c r="AI53" s="180"/>
      <c r="AJ53" s="180"/>
      <c r="AK53" s="180"/>
      <c r="AL53" s="180"/>
      <c r="AM53" s="180"/>
      <c r="AN53" s="180"/>
      <c r="AO53" s="180"/>
      <c r="AP53" s="180"/>
      <c r="AQ53" s="180"/>
      <c r="AR53" s="180"/>
      <c r="AS53" s="180"/>
      <c r="AT53" s="180"/>
      <c r="AU53" s="180"/>
      <c r="AV53" s="180"/>
      <c r="AW53" s="180"/>
      <c r="AX53" s="180"/>
      <c r="AY53" s="180"/>
      <c r="AZ53" s="181">
        <f>AC53</f>
        <v>0</v>
      </c>
      <c r="BA53" s="193">
        <v>24.038799999999998</v>
      </c>
      <c r="BB53" s="193">
        <v>1.0972</v>
      </c>
      <c r="BC53" s="193">
        <v>25.9116</v>
      </c>
      <c r="BD53" s="205">
        <f t="shared" si="8"/>
        <v>595189.7951543231</v>
      </c>
      <c r="BE53" s="200">
        <f>+J53*25.9943</f>
        <v>586590.49311599997</v>
      </c>
      <c r="BF53" s="200">
        <f t="shared" si="9"/>
        <v>-8599.3020383231342</v>
      </c>
    </row>
    <row r="54" spans="1:58" ht="15.75" hidden="1" x14ac:dyDescent="0.25">
      <c r="A54" s="172">
        <v>43952</v>
      </c>
      <c r="B54" s="172">
        <v>43958</v>
      </c>
      <c r="C54" s="185">
        <v>43979</v>
      </c>
      <c r="D54" s="172"/>
      <c r="E54" s="173"/>
      <c r="F54" s="202">
        <v>92538691</v>
      </c>
      <c r="G54" s="175" t="s">
        <v>803</v>
      </c>
      <c r="H54" s="121">
        <v>92540608</v>
      </c>
      <c r="I54" s="121" t="s">
        <v>749</v>
      </c>
      <c r="J54" s="187">
        <v>15832.8</v>
      </c>
      <c r="K54" s="176" t="s">
        <v>799</v>
      </c>
      <c r="L54" s="177">
        <f>A54+60</f>
        <v>44012</v>
      </c>
      <c r="M54" s="119"/>
      <c r="N54" s="119"/>
      <c r="O54" s="119"/>
      <c r="P54" s="119"/>
      <c r="Q54" s="119"/>
      <c r="R54" s="194"/>
      <c r="S54" s="119"/>
      <c r="T54" s="119"/>
      <c r="U54" s="119"/>
      <c r="V54" s="119"/>
      <c r="W54" s="199"/>
      <c r="X54" s="180"/>
      <c r="Y54" s="180"/>
      <c r="Z54" s="180"/>
      <c r="AA54" s="180"/>
      <c r="AB54" s="180"/>
      <c r="AC54" s="180"/>
      <c r="AD54" s="180">
        <f>J608</f>
        <v>0</v>
      </c>
      <c r="AE54" s="180"/>
      <c r="AF54" s="180"/>
      <c r="AG54" s="180"/>
      <c r="AH54" s="180"/>
      <c r="AI54" s="180"/>
      <c r="AJ54" s="180"/>
      <c r="AK54" s="180"/>
      <c r="AL54" s="180"/>
      <c r="AM54" s="180"/>
      <c r="AN54" s="180"/>
      <c r="AO54" s="180"/>
      <c r="AP54" s="180"/>
      <c r="AQ54" s="180"/>
      <c r="AR54" s="180"/>
      <c r="AS54" s="180"/>
      <c r="AT54" s="180"/>
      <c r="AU54" s="180"/>
      <c r="AV54" s="180"/>
      <c r="AW54" s="180"/>
      <c r="AX54" s="180"/>
      <c r="AY54" s="180"/>
      <c r="AZ54" s="181">
        <f>AD54</f>
        <v>0</v>
      </c>
      <c r="BA54" s="193">
        <v>22.562999999999999</v>
      </c>
      <c r="BB54" s="193">
        <v>1.0948</v>
      </c>
      <c r="BC54" s="193">
        <v>24.639900000000001</v>
      </c>
      <c r="BD54" s="205">
        <f t="shared" si="8"/>
        <v>391101.38861471997</v>
      </c>
      <c r="BE54" s="200">
        <f>15832.8*25.3992</f>
        <v>402140.45376</v>
      </c>
      <c r="BF54" s="200">
        <f t="shared" si="9"/>
        <v>11039.065145280038</v>
      </c>
    </row>
    <row r="55" spans="1:58" ht="15.75" hidden="1" x14ac:dyDescent="0.25">
      <c r="A55" s="172">
        <v>43966</v>
      </c>
      <c r="B55" s="172">
        <v>43972</v>
      </c>
      <c r="C55" s="185">
        <v>43991</v>
      </c>
      <c r="D55" s="172"/>
      <c r="E55" s="173"/>
      <c r="F55" s="202">
        <v>92543943</v>
      </c>
      <c r="G55" s="175" t="s">
        <v>804</v>
      </c>
      <c r="H55" s="121">
        <v>92544909</v>
      </c>
      <c r="I55" s="121" t="s">
        <v>665</v>
      </c>
      <c r="J55" s="187">
        <v>19968</v>
      </c>
      <c r="K55" s="176" t="s">
        <v>805</v>
      </c>
      <c r="L55" s="177">
        <v>44026</v>
      </c>
      <c r="M55" s="119"/>
      <c r="N55" s="119"/>
      <c r="O55" s="119"/>
      <c r="P55" s="119"/>
      <c r="Q55" s="119"/>
      <c r="R55" s="194"/>
      <c r="S55" s="119"/>
      <c r="T55" s="119"/>
      <c r="U55" s="119"/>
      <c r="V55" s="119"/>
      <c r="W55" s="199"/>
      <c r="X55" s="180"/>
      <c r="Y55" s="180"/>
      <c r="Z55" s="180"/>
      <c r="AA55" s="180"/>
      <c r="AB55" s="180"/>
      <c r="AC55" s="180"/>
      <c r="AD55" s="180"/>
      <c r="AE55" s="180"/>
      <c r="AF55" s="180"/>
      <c r="AG55" s="180"/>
      <c r="AH55" s="180"/>
      <c r="AI55" s="180"/>
      <c r="AJ55" s="180"/>
      <c r="AK55" s="180"/>
      <c r="AL55" s="180"/>
      <c r="AM55" s="180"/>
      <c r="AN55" s="180"/>
      <c r="AO55" s="180"/>
      <c r="AP55" s="180"/>
      <c r="AQ55" s="180"/>
      <c r="AR55" s="180"/>
      <c r="AS55" s="180"/>
      <c r="AT55" s="180"/>
      <c r="AU55" s="180"/>
      <c r="AV55" s="180"/>
      <c r="AW55" s="180"/>
      <c r="AX55" s="180"/>
      <c r="AY55" s="180"/>
      <c r="AZ55" s="181">
        <f>AE55</f>
        <v>0</v>
      </c>
      <c r="BA55" s="193">
        <v>21.838799999999999</v>
      </c>
      <c r="BB55" s="193">
        <v>1.1126</v>
      </c>
      <c r="BC55" s="193">
        <v>24.406500000000001</v>
      </c>
      <c r="BD55" s="205">
        <f t="shared" si="8"/>
        <v>485179.44643583999</v>
      </c>
      <c r="BE55" s="200">
        <f>+J55*26.2399</f>
        <v>523958.32319999998</v>
      </c>
      <c r="BF55" s="200">
        <f t="shared" si="9"/>
        <v>38778.876764159999</v>
      </c>
    </row>
    <row r="56" spans="1:58" ht="15.75" hidden="1" x14ac:dyDescent="0.25">
      <c r="A56" s="172">
        <v>43997</v>
      </c>
      <c r="B56" s="172">
        <v>44000</v>
      </c>
      <c r="C56" s="185">
        <v>44019</v>
      </c>
      <c r="D56" s="172"/>
      <c r="E56" s="173"/>
      <c r="F56" s="202">
        <v>92550843</v>
      </c>
      <c r="G56" s="175" t="s">
        <v>806</v>
      </c>
      <c r="H56" s="121">
        <v>92559333</v>
      </c>
      <c r="I56" s="121" t="s">
        <v>665</v>
      </c>
      <c r="J56" s="187">
        <v>20615.62</v>
      </c>
      <c r="K56" s="176" t="s">
        <v>805</v>
      </c>
      <c r="L56" s="177">
        <v>44057</v>
      </c>
      <c r="M56" s="119"/>
      <c r="N56" s="119"/>
      <c r="O56" s="119"/>
      <c r="P56" s="119"/>
      <c r="Q56" s="119"/>
      <c r="R56" s="194"/>
      <c r="S56" s="119"/>
      <c r="T56" s="119"/>
      <c r="U56" s="119"/>
      <c r="V56" s="119"/>
      <c r="W56" s="199"/>
      <c r="X56" s="180"/>
      <c r="Y56" s="180"/>
      <c r="Z56" s="180"/>
      <c r="AA56" s="180"/>
      <c r="AB56" s="180"/>
      <c r="AC56" s="180"/>
      <c r="AD56" s="180"/>
      <c r="AE56" s="180"/>
      <c r="AF56" s="180"/>
      <c r="AG56" s="180"/>
      <c r="AH56" s="180"/>
      <c r="AI56" s="180"/>
      <c r="AJ56" s="180"/>
      <c r="AK56" s="180"/>
      <c r="AL56" s="180"/>
      <c r="AM56" s="180"/>
      <c r="AN56" s="180"/>
      <c r="AO56" s="180"/>
      <c r="AP56" s="180"/>
      <c r="AQ56" s="180"/>
      <c r="AR56" s="180"/>
      <c r="AS56" s="180"/>
      <c r="AT56" s="180"/>
      <c r="AU56" s="180"/>
      <c r="AV56" s="180"/>
      <c r="AW56" s="180"/>
      <c r="AX56" s="180"/>
      <c r="AY56" s="180"/>
      <c r="AZ56" s="181">
        <f>AF56</f>
        <v>0</v>
      </c>
      <c r="BA56" s="193">
        <v>22.522500000000001</v>
      </c>
      <c r="BB56" s="193">
        <v>1.1126</v>
      </c>
      <c r="BC56" s="193">
        <v>25.2163</v>
      </c>
      <c r="BD56" s="205">
        <f t="shared" si="8"/>
        <v>516597.20439326996</v>
      </c>
      <c r="BE56" s="119">
        <f>+J56*25.9495</f>
        <v>534965.03119000001</v>
      </c>
      <c r="BF56" s="200">
        <f t="shared" si="9"/>
        <v>18367.826796730049</v>
      </c>
    </row>
    <row r="57" spans="1:58" ht="15.75" hidden="1" x14ac:dyDescent="0.25">
      <c r="A57" s="172">
        <v>44000</v>
      </c>
      <c r="B57" s="172">
        <v>44006</v>
      </c>
      <c r="C57" s="185">
        <v>44028</v>
      </c>
      <c r="D57" s="172"/>
      <c r="E57" s="173"/>
      <c r="F57" s="202">
        <v>92555757</v>
      </c>
      <c r="G57" s="175" t="s">
        <v>807</v>
      </c>
      <c r="H57" s="121">
        <v>92557540</v>
      </c>
      <c r="I57" s="121" t="s">
        <v>749</v>
      </c>
      <c r="J57" s="187">
        <v>16759.32</v>
      </c>
      <c r="K57" s="176" t="s">
        <v>750</v>
      </c>
      <c r="L57" s="177">
        <v>44061</v>
      </c>
      <c r="M57" s="119"/>
      <c r="N57" s="119"/>
      <c r="O57" s="119"/>
      <c r="P57" s="119"/>
      <c r="Q57" s="119"/>
      <c r="R57" s="194"/>
      <c r="S57" s="119"/>
      <c r="T57" s="119"/>
      <c r="U57" s="119"/>
      <c r="V57" s="119"/>
      <c r="W57" s="199"/>
      <c r="X57" s="180"/>
      <c r="Y57" s="180"/>
      <c r="Z57" s="180"/>
      <c r="AA57" s="180"/>
      <c r="AB57" s="180"/>
      <c r="AC57" s="180"/>
      <c r="AD57" s="180"/>
      <c r="AE57" s="180"/>
      <c r="AF57" s="180"/>
      <c r="AG57" s="180"/>
      <c r="AH57" s="180"/>
      <c r="AI57" s="180"/>
      <c r="AJ57" s="180"/>
      <c r="AK57" s="180"/>
      <c r="AL57" s="180"/>
      <c r="AM57" s="180"/>
      <c r="AN57" s="180"/>
      <c r="AO57" s="180"/>
      <c r="AP57" s="180"/>
      <c r="AQ57" s="180"/>
      <c r="AR57" s="180"/>
      <c r="AS57" s="180"/>
      <c r="AT57" s="180"/>
      <c r="AU57" s="180"/>
      <c r="AV57" s="180"/>
      <c r="AW57" s="180"/>
      <c r="AX57" s="180"/>
      <c r="AY57" s="180"/>
      <c r="AZ57" s="181">
        <f>AF57</f>
        <v>0</v>
      </c>
      <c r="BA57" s="193">
        <v>22.534199999999998</v>
      </c>
      <c r="BB57" s="193">
        <v>1.1228499999999999</v>
      </c>
      <c r="BC57" s="193">
        <v>25.7181</v>
      </c>
      <c r="BD57" s="205">
        <f t="shared" si="8"/>
        <v>424053.13791920035</v>
      </c>
      <c r="BE57" s="200">
        <v>434203.75</v>
      </c>
      <c r="BF57" s="200">
        <f t="shared" si="9"/>
        <v>10150.612080799649</v>
      </c>
    </row>
    <row r="58" spans="1:58" ht="15.75" hidden="1" x14ac:dyDescent="0.25">
      <c r="A58" s="172">
        <f>B58-6</f>
        <v>44029</v>
      </c>
      <c r="B58" s="172">
        <v>44035</v>
      </c>
      <c r="C58" s="185">
        <v>44056</v>
      </c>
      <c r="D58" s="172"/>
      <c r="E58" s="173"/>
      <c r="F58" s="202">
        <v>92566122</v>
      </c>
      <c r="G58" s="175" t="s">
        <v>808</v>
      </c>
      <c r="H58" s="121">
        <v>92570200</v>
      </c>
      <c r="I58" s="121" t="s">
        <v>749</v>
      </c>
      <c r="J58" s="187">
        <v>16626</v>
      </c>
      <c r="K58" s="176" t="s">
        <v>750</v>
      </c>
      <c r="L58" s="177">
        <f>A58+60</f>
        <v>44089</v>
      </c>
      <c r="M58" s="119"/>
      <c r="N58" s="119"/>
      <c r="O58" s="119"/>
      <c r="P58" s="119"/>
      <c r="Q58" s="119"/>
      <c r="R58" s="194"/>
      <c r="S58" s="119"/>
      <c r="T58" s="119"/>
      <c r="U58" s="119"/>
      <c r="V58" s="119"/>
      <c r="W58" s="199"/>
      <c r="X58" s="180"/>
      <c r="Y58" s="180"/>
      <c r="Z58" s="180"/>
      <c r="AA58" s="180"/>
      <c r="AB58" s="180"/>
      <c r="AC58" s="180"/>
      <c r="AD58" s="180"/>
      <c r="AE58" s="180"/>
      <c r="AF58" s="180"/>
      <c r="AG58" s="180"/>
      <c r="AH58" s="180"/>
      <c r="AI58" s="180"/>
      <c r="AJ58" s="180"/>
      <c r="AK58" s="180"/>
      <c r="AL58" s="180"/>
      <c r="AM58" s="180"/>
      <c r="AN58" s="180"/>
      <c r="AO58" s="180"/>
      <c r="AP58" s="180"/>
      <c r="AQ58" s="180"/>
      <c r="AR58" s="180"/>
      <c r="AS58" s="180"/>
      <c r="AT58" s="180"/>
      <c r="AU58" s="180"/>
      <c r="AV58" s="180"/>
      <c r="AW58" s="180"/>
      <c r="AX58" s="180"/>
      <c r="AY58" s="180"/>
      <c r="AZ58" s="181">
        <f>AG58</f>
        <v>0</v>
      </c>
      <c r="BA58" s="193">
        <v>22.4892</v>
      </c>
      <c r="BB58" s="193">
        <v>1.18285</v>
      </c>
      <c r="BC58" s="193">
        <v>26.3461</v>
      </c>
      <c r="BD58" s="205">
        <f t="shared" si="8"/>
        <v>442274.04875771998</v>
      </c>
      <c r="BE58" s="200">
        <v>424444.62</v>
      </c>
      <c r="BF58" s="200">
        <f t="shared" si="9"/>
        <v>-17829.428757719987</v>
      </c>
    </row>
    <row r="59" spans="1:58" ht="15.75" hidden="1" x14ac:dyDescent="0.25">
      <c r="A59" s="172">
        <v>44043</v>
      </c>
      <c r="B59" s="172">
        <v>44048</v>
      </c>
      <c r="C59" s="185">
        <v>44068</v>
      </c>
      <c r="D59" s="172"/>
      <c r="E59" s="173"/>
      <c r="F59" s="202">
        <v>92572813</v>
      </c>
      <c r="G59" s="175" t="s">
        <v>809</v>
      </c>
      <c r="H59" s="121">
        <v>92576335</v>
      </c>
      <c r="I59" s="121" t="s">
        <v>665</v>
      </c>
      <c r="J59" s="187">
        <v>20424.14</v>
      </c>
      <c r="K59" s="176" t="s">
        <v>750</v>
      </c>
      <c r="L59" s="177">
        <v>44103</v>
      </c>
      <c r="M59" s="119"/>
      <c r="N59" s="119"/>
      <c r="O59" s="119"/>
      <c r="P59" s="119"/>
      <c r="Q59" s="119"/>
      <c r="R59" s="194"/>
      <c r="S59" s="119"/>
      <c r="T59" s="119"/>
      <c r="U59" s="119"/>
      <c r="V59" s="119"/>
      <c r="W59" s="199"/>
      <c r="X59" s="180"/>
      <c r="Y59" s="180"/>
      <c r="Z59" s="180"/>
      <c r="AA59" s="180"/>
      <c r="AB59" s="180"/>
      <c r="AC59" s="180"/>
      <c r="AD59" s="180"/>
      <c r="AE59" s="180"/>
      <c r="AF59" s="180"/>
      <c r="AG59" s="180"/>
      <c r="AH59" s="180"/>
      <c r="AI59" s="180"/>
      <c r="AJ59" s="180"/>
      <c r="AK59" s="180"/>
      <c r="AL59" s="180"/>
      <c r="AM59" s="180"/>
      <c r="AN59" s="180"/>
      <c r="AO59" s="180"/>
      <c r="AP59" s="180"/>
      <c r="AQ59" s="180"/>
      <c r="AR59" s="180"/>
      <c r="AS59" s="180"/>
      <c r="AT59" s="180"/>
      <c r="AU59" s="180"/>
      <c r="AV59" s="180"/>
      <c r="AW59" s="180"/>
      <c r="AX59" s="180"/>
      <c r="AY59" s="180"/>
      <c r="AZ59" s="181">
        <f>AG59</f>
        <v>0</v>
      </c>
      <c r="BA59" s="193">
        <v>22.175999999999998</v>
      </c>
      <c r="BB59" s="193">
        <v>1.18285</v>
      </c>
      <c r="BC59" s="193">
        <v>26.011500000000002</v>
      </c>
      <c r="BD59" s="205">
        <f t="shared" si="8"/>
        <v>535743.19812182395</v>
      </c>
      <c r="BE59" s="200">
        <v>517628.98</v>
      </c>
      <c r="BF59" s="200">
        <f t="shared" si="9"/>
        <v>-18114.218121823971</v>
      </c>
    </row>
    <row r="60" spans="1:58" ht="15.75" hidden="1" x14ac:dyDescent="0.25">
      <c r="A60" s="172">
        <v>44071</v>
      </c>
      <c r="B60" s="172">
        <v>44076</v>
      </c>
      <c r="C60" s="185">
        <v>44096</v>
      </c>
      <c r="D60" s="172"/>
      <c r="E60" s="173"/>
      <c r="F60" s="202">
        <v>92585846</v>
      </c>
      <c r="G60" s="175" t="s">
        <v>810</v>
      </c>
      <c r="H60" s="121">
        <v>92588298</v>
      </c>
      <c r="I60" s="121" t="s">
        <v>665</v>
      </c>
      <c r="J60" s="187">
        <v>20945.400000000001</v>
      </c>
      <c r="K60" s="176" t="s">
        <v>750</v>
      </c>
      <c r="L60" s="177">
        <v>44131</v>
      </c>
      <c r="M60" s="119"/>
      <c r="N60" s="119"/>
      <c r="O60" s="119"/>
      <c r="P60" s="119"/>
      <c r="Q60" s="119"/>
      <c r="R60" s="194"/>
      <c r="S60" s="119"/>
      <c r="T60" s="119"/>
      <c r="U60" s="119"/>
      <c r="V60" s="119"/>
      <c r="W60" s="199"/>
      <c r="X60" s="180"/>
      <c r="Y60" s="180"/>
      <c r="Z60" s="180"/>
      <c r="AA60" s="180"/>
      <c r="AB60" s="180"/>
      <c r="AC60" s="180"/>
      <c r="AD60" s="180"/>
      <c r="AE60" s="180"/>
      <c r="AF60" s="180"/>
      <c r="AG60" s="180"/>
      <c r="AH60" s="180"/>
      <c r="AI60" s="180"/>
      <c r="AJ60" s="180"/>
      <c r="AK60" s="180"/>
      <c r="AL60" s="180"/>
      <c r="AM60" s="180"/>
      <c r="AN60" s="180"/>
      <c r="AO60" s="180"/>
      <c r="AP60" s="180"/>
      <c r="AQ60" s="180"/>
      <c r="AR60" s="180"/>
      <c r="AS60" s="180"/>
      <c r="AT60" s="180"/>
      <c r="AU60" s="180"/>
      <c r="AV60" s="180"/>
      <c r="AW60" s="180"/>
      <c r="AX60" s="180"/>
      <c r="AY60" s="180"/>
      <c r="AZ60" s="181">
        <f>AH60</f>
        <v>0</v>
      </c>
      <c r="BA60" s="193">
        <v>20.984999999999999</v>
      </c>
      <c r="BB60" s="193">
        <v>1.1960500000000001</v>
      </c>
      <c r="BC60" s="193">
        <v>25.099109250000001</v>
      </c>
      <c r="BD60" s="205">
        <f t="shared" si="8"/>
        <v>525710.88288495003</v>
      </c>
      <c r="BE60" s="200"/>
      <c r="BF60" s="200"/>
    </row>
    <row r="61" spans="1:58" ht="15.75" hidden="1" x14ac:dyDescent="0.25">
      <c r="A61" s="207"/>
      <c r="B61" s="207"/>
      <c r="C61" s="208"/>
      <c r="D61" s="207"/>
      <c r="E61" s="209"/>
      <c r="F61" s="210" t="s">
        <v>796</v>
      </c>
      <c r="G61" s="211" t="s">
        <v>811</v>
      </c>
      <c r="H61" s="212"/>
      <c r="I61" s="212" t="s">
        <v>665</v>
      </c>
      <c r="J61" s="213"/>
      <c r="K61" s="214" t="s">
        <v>812</v>
      </c>
      <c r="L61" s="215"/>
      <c r="M61" s="119"/>
      <c r="N61" s="119"/>
      <c r="O61" s="119"/>
      <c r="P61" s="119"/>
      <c r="Q61" s="119"/>
      <c r="R61" s="194"/>
      <c r="S61" s="119"/>
      <c r="T61" s="119"/>
      <c r="U61" s="119"/>
      <c r="V61" s="119"/>
      <c r="W61" s="199"/>
      <c r="X61" s="180"/>
      <c r="Y61" s="180"/>
      <c r="Z61" s="180"/>
      <c r="AA61" s="180"/>
      <c r="AB61" s="180"/>
      <c r="AC61" s="180"/>
      <c r="AD61" s="180"/>
      <c r="AE61" s="180"/>
      <c r="AF61" s="180"/>
      <c r="AG61" s="180"/>
      <c r="AH61" s="180"/>
      <c r="AI61" s="180"/>
      <c r="AJ61" s="180"/>
      <c r="AK61" s="180"/>
      <c r="AL61" s="180"/>
      <c r="AM61" s="180"/>
      <c r="AN61" s="180"/>
      <c r="AO61" s="180"/>
      <c r="AP61" s="180"/>
      <c r="AQ61" s="180"/>
      <c r="AR61" s="180"/>
      <c r="AS61" s="180"/>
      <c r="AT61" s="180"/>
      <c r="AU61" s="180"/>
      <c r="AV61" s="180"/>
      <c r="AW61" s="180"/>
      <c r="AX61" s="180"/>
      <c r="AY61" s="180"/>
      <c r="AZ61" s="181"/>
      <c r="BA61" s="216"/>
      <c r="BB61" s="216"/>
      <c r="BC61" s="216"/>
      <c r="BD61" s="205">
        <f t="shared" si="8"/>
        <v>0</v>
      </c>
      <c r="BE61" s="200"/>
      <c r="BF61" s="200"/>
    </row>
    <row r="62" spans="1:58" ht="15.75" hidden="1" x14ac:dyDescent="0.25">
      <c r="A62" s="172">
        <v>44104</v>
      </c>
      <c r="B62" s="172">
        <f>A62+7</f>
        <v>44111</v>
      </c>
      <c r="C62" s="185">
        <v>44133</v>
      </c>
      <c r="D62" s="172"/>
      <c r="E62" s="173"/>
      <c r="F62" s="174">
        <v>92593893</v>
      </c>
      <c r="G62" s="175" t="s">
        <v>813</v>
      </c>
      <c r="H62" s="121">
        <v>92602719</v>
      </c>
      <c r="I62" s="121" t="s">
        <v>749</v>
      </c>
      <c r="J62" s="187">
        <v>18224.64</v>
      </c>
      <c r="K62" s="176" t="s">
        <v>750</v>
      </c>
      <c r="L62" s="177">
        <v>44164</v>
      </c>
      <c r="M62" s="119"/>
      <c r="N62" s="119"/>
      <c r="O62" s="119"/>
      <c r="P62" s="119"/>
      <c r="Q62" s="119"/>
      <c r="R62" s="194"/>
      <c r="S62" s="119"/>
      <c r="T62" s="119"/>
      <c r="U62" s="119"/>
      <c r="V62" s="119"/>
      <c r="W62" s="199"/>
      <c r="X62" s="180"/>
      <c r="Y62" s="180"/>
      <c r="Z62" s="180"/>
      <c r="AA62" s="180"/>
      <c r="AB62" s="180"/>
      <c r="AC62" s="180"/>
      <c r="AD62" s="180"/>
      <c r="AE62" s="180"/>
      <c r="AF62" s="180"/>
      <c r="AG62" s="180"/>
      <c r="AH62" s="180"/>
      <c r="AI62" s="180"/>
      <c r="AJ62" s="180"/>
      <c r="AK62" s="180"/>
      <c r="AL62" s="180"/>
      <c r="AM62" s="180"/>
      <c r="AN62" s="180"/>
      <c r="AO62" s="180"/>
      <c r="AP62" s="180"/>
      <c r="AQ62" s="180"/>
      <c r="AR62" s="180"/>
      <c r="AS62" s="180"/>
      <c r="AT62" s="180"/>
      <c r="AU62" s="180"/>
      <c r="AV62" s="180"/>
      <c r="AW62" s="180"/>
      <c r="AX62" s="180"/>
      <c r="AY62" s="180"/>
      <c r="AZ62" s="181">
        <f>AI62</f>
        <v>0</v>
      </c>
      <c r="BA62" s="193">
        <v>20.920500000000001</v>
      </c>
      <c r="BB62" s="193">
        <v>1.17275</v>
      </c>
      <c r="BC62" s="193">
        <v>24.691400000000002</v>
      </c>
      <c r="BD62" s="205">
        <f t="shared" si="8"/>
        <v>447132.72850847995</v>
      </c>
      <c r="BE62" s="200"/>
      <c r="BF62" s="200"/>
    </row>
    <row r="63" spans="1:58" ht="15.75" hidden="1" x14ac:dyDescent="0.25">
      <c r="A63" s="172">
        <v>44090</v>
      </c>
      <c r="B63" s="172">
        <v>44111</v>
      </c>
      <c r="C63" s="185">
        <v>44133</v>
      </c>
      <c r="D63" s="172"/>
      <c r="E63" s="173"/>
      <c r="F63" s="174">
        <v>92593892</v>
      </c>
      <c r="G63" s="175" t="s">
        <v>814</v>
      </c>
      <c r="H63" s="121">
        <v>92602771</v>
      </c>
      <c r="I63" s="121" t="s">
        <v>665</v>
      </c>
      <c r="J63" s="187">
        <v>20582.400000000001</v>
      </c>
      <c r="K63" s="176" t="s">
        <v>780</v>
      </c>
      <c r="L63" s="177">
        <f>A63+60</f>
        <v>44150</v>
      </c>
      <c r="M63" s="119"/>
      <c r="N63" s="119"/>
      <c r="O63" s="119"/>
      <c r="P63" s="119"/>
      <c r="Q63" s="119"/>
      <c r="R63" s="194"/>
      <c r="S63" s="119"/>
      <c r="T63" s="119"/>
      <c r="U63" s="119"/>
      <c r="V63" s="119"/>
      <c r="W63" s="199"/>
      <c r="X63" s="180"/>
      <c r="Y63" s="180"/>
      <c r="Z63" s="180"/>
      <c r="AA63" s="180"/>
      <c r="AB63" s="180"/>
      <c r="AC63" s="180"/>
      <c r="AD63" s="217"/>
      <c r="AE63" s="180"/>
      <c r="AF63" s="180"/>
      <c r="AG63" s="180"/>
      <c r="AH63" s="180"/>
      <c r="AI63" s="180"/>
      <c r="AJ63" s="180"/>
      <c r="AK63" s="180"/>
      <c r="AL63" s="180"/>
      <c r="AM63" s="180"/>
      <c r="AN63" s="180"/>
      <c r="AO63" s="180"/>
      <c r="AP63" s="180"/>
      <c r="AQ63" s="180"/>
      <c r="AR63" s="180"/>
      <c r="AS63" s="180"/>
      <c r="AT63" s="180"/>
      <c r="AU63" s="180"/>
      <c r="AV63" s="180"/>
      <c r="AW63" s="180"/>
      <c r="AX63" s="180"/>
      <c r="AY63" s="180"/>
      <c r="AZ63" s="181">
        <f>AI63</f>
        <v>0</v>
      </c>
      <c r="BA63" s="193">
        <v>21.03</v>
      </c>
      <c r="BB63" s="193">
        <v>1.17275</v>
      </c>
      <c r="BC63" s="193">
        <v>24.805700000000002</v>
      </c>
      <c r="BD63" s="205">
        <f t="shared" si="8"/>
        <v>507622.34188800002</v>
      </c>
      <c r="BE63" s="200"/>
      <c r="BF63" s="200"/>
    </row>
    <row r="64" spans="1:58" ht="15.75" hidden="1" x14ac:dyDescent="0.25">
      <c r="A64" s="172">
        <v>44118</v>
      </c>
      <c r="B64" s="172">
        <v>44125</v>
      </c>
      <c r="C64" s="185">
        <v>44148</v>
      </c>
      <c r="D64" s="172"/>
      <c r="E64" s="173"/>
      <c r="F64" s="174">
        <v>92605149</v>
      </c>
      <c r="G64" s="175" t="s">
        <v>815</v>
      </c>
      <c r="H64" s="121">
        <v>92609990</v>
      </c>
      <c r="I64" s="121" t="s">
        <v>665</v>
      </c>
      <c r="J64" s="187">
        <v>20141.2</v>
      </c>
      <c r="K64" s="176" t="s">
        <v>780</v>
      </c>
      <c r="L64" s="177">
        <v>44180</v>
      </c>
      <c r="M64" s="119"/>
      <c r="N64" s="119"/>
      <c r="O64" s="119"/>
      <c r="P64" s="119"/>
      <c r="Q64" s="119"/>
      <c r="R64" s="194"/>
      <c r="S64" s="119"/>
      <c r="T64" s="119"/>
      <c r="U64" s="119"/>
      <c r="V64" s="119"/>
      <c r="W64" s="199"/>
      <c r="X64" s="180"/>
      <c r="Y64" s="180"/>
      <c r="Z64" s="180"/>
      <c r="AA64" s="180"/>
      <c r="AB64" s="180"/>
      <c r="AC64" s="180"/>
      <c r="AD64" s="180"/>
      <c r="AE64" s="180"/>
      <c r="AF64" s="180"/>
      <c r="AG64" s="180"/>
      <c r="AH64" s="180"/>
      <c r="AI64" s="180"/>
      <c r="AJ64" s="180"/>
      <c r="AK64" s="180"/>
      <c r="AL64" s="180"/>
      <c r="AM64" s="180"/>
      <c r="AN64" s="180"/>
      <c r="AO64" s="180"/>
      <c r="AP64" s="180"/>
      <c r="AQ64" s="180"/>
      <c r="AR64" s="180"/>
      <c r="AS64" s="180"/>
      <c r="AT64" s="180"/>
      <c r="AU64" s="180"/>
      <c r="AV64" s="180"/>
      <c r="AW64" s="180"/>
      <c r="AX64" s="180"/>
      <c r="AY64" s="180"/>
      <c r="AZ64" s="181">
        <f>AJ64</f>
        <v>0</v>
      </c>
      <c r="BA64" s="193">
        <v>20.577200000000001</v>
      </c>
      <c r="BB64" s="193">
        <v>1.1678500000000001</v>
      </c>
      <c r="BC64" s="193">
        <v>24.2041</v>
      </c>
      <c r="BD64" s="205">
        <f t="shared" si="8"/>
        <v>484014.8493224241</v>
      </c>
      <c r="BE64" s="200"/>
      <c r="BF64" s="200"/>
    </row>
    <row r="65" spans="1:58" ht="15.75" hidden="1" x14ac:dyDescent="0.25">
      <c r="A65" s="172">
        <v>44125</v>
      </c>
      <c r="B65" s="172">
        <v>44121</v>
      </c>
      <c r="C65" s="185">
        <v>44150</v>
      </c>
      <c r="D65" s="172"/>
      <c r="E65" s="173"/>
      <c r="F65" s="174">
        <v>92605150</v>
      </c>
      <c r="G65" s="175" t="s">
        <v>816</v>
      </c>
      <c r="H65" s="121">
        <v>92611862</v>
      </c>
      <c r="I65" s="121" t="s">
        <v>668</v>
      </c>
      <c r="J65" s="187">
        <v>22131.599999999999</v>
      </c>
      <c r="K65" s="176" t="s">
        <v>742</v>
      </c>
      <c r="L65" s="177">
        <v>44185</v>
      </c>
      <c r="M65" s="119"/>
      <c r="N65" s="119"/>
      <c r="O65" s="119"/>
      <c r="P65" s="119"/>
      <c r="Q65" s="119"/>
      <c r="R65" s="194"/>
      <c r="S65" s="119"/>
      <c r="T65" s="119"/>
      <c r="U65" s="119"/>
      <c r="V65" s="119"/>
      <c r="W65" s="199"/>
      <c r="X65" s="180"/>
      <c r="Y65" s="180"/>
      <c r="Z65" s="180"/>
      <c r="AA65" s="180"/>
      <c r="AB65" s="180"/>
      <c r="AC65" s="180"/>
      <c r="AD65" s="180"/>
      <c r="AE65" s="180"/>
      <c r="AF65" s="180"/>
      <c r="AG65" s="180"/>
      <c r="AH65" s="180"/>
      <c r="AI65" s="180"/>
      <c r="AJ65" s="180"/>
      <c r="AK65" s="180"/>
      <c r="AL65" s="180"/>
      <c r="AM65" s="180"/>
      <c r="AN65" s="180"/>
      <c r="AO65" s="180"/>
      <c r="AP65" s="180"/>
      <c r="AQ65" s="180"/>
      <c r="AR65" s="180"/>
      <c r="AS65" s="180"/>
      <c r="AT65" s="180"/>
      <c r="AU65" s="180"/>
      <c r="AV65" s="180"/>
      <c r="AW65" s="180"/>
      <c r="AX65" s="180"/>
      <c r="AY65" s="180"/>
      <c r="AZ65" s="181">
        <f>AJ65</f>
        <v>0</v>
      </c>
      <c r="BA65" s="193">
        <v>20.5303</v>
      </c>
      <c r="BB65" s="193">
        <v>1.1678500000000001</v>
      </c>
      <c r="BC65" s="193">
        <v>24.136500000000002</v>
      </c>
      <c r="BD65" s="205">
        <f t="shared" si="8"/>
        <v>530634.12131851795</v>
      </c>
      <c r="BE65" s="200"/>
      <c r="BF65" s="200"/>
    </row>
    <row r="66" spans="1:58" ht="15.75" hidden="1" x14ac:dyDescent="0.25">
      <c r="A66" s="172">
        <v>44138</v>
      </c>
      <c r="B66" s="172">
        <f>C66-20</f>
        <v>44146</v>
      </c>
      <c r="C66" s="185">
        <v>44166</v>
      </c>
      <c r="D66" s="172"/>
      <c r="E66" s="173"/>
      <c r="F66" s="174">
        <v>92616216</v>
      </c>
      <c r="G66" s="175" t="s">
        <v>817</v>
      </c>
      <c r="H66" s="121">
        <v>92616659</v>
      </c>
      <c r="I66" s="121" t="s">
        <v>665</v>
      </c>
      <c r="J66" s="187">
        <v>20178</v>
      </c>
      <c r="K66" s="176" t="s">
        <v>818</v>
      </c>
      <c r="L66" s="177">
        <v>43832</v>
      </c>
      <c r="M66" s="119"/>
      <c r="N66" s="119"/>
      <c r="O66" s="119"/>
      <c r="P66" s="119"/>
      <c r="Q66" s="119"/>
      <c r="R66" s="194"/>
      <c r="S66" s="119"/>
      <c r="T66" s="119"/>
      <c r="U66" s="119"/>
      <c r="V66" s="119"/>
      <c r="W66" s="199"/>
      <c r="X66" s="180"/>
      <c r="Y66" s="180"/>
      <c r="Z66" s="180"/>
      <c r="AA66" s="180"/>
      <c r="AB66" s="180"/>
      <c r="AC66" s="180"/>
      <c r="AD66" s="180"/>
      <c r="AE66" s="180"/>
      <c r="AF66" s="180"/>
      <c r="AG66" s="180"/>
      <c r="AH66" s="180"/>
      <c r="AI66" s="180"/>
      <c r="AJ66" s="180"/>
      <c r="AK66" s="180"/>
      <c r="AL66" s="180"/>
      <c r="AM66" s="180"/>
      <c r="AN66" s="180"/>
      <c r="AO66" s="180"/>
      <c r="AP66" s="180"/>
      <c r="AQ66" s="180"/>
      <c r="AR66" s="180"/>
      <c r="AS66" s="180"/>
      <c r="AT66" s="180"/>
      <c r="AU66" s="180"/>
      <c r="AV66" s="180"/>
      <c r="AW66" s="180"/>
      <c r="AX66" s="180"/>
      <c r="AY66" s="180"/>
      <c r="AZ66" s="181">
        <f>AK66</f>
        <v>0</v>
      </c>
      <c r="BA66" s="193">
        <v>20.0777</v>
      </c>
      <c r="BB66" s="193">
        <v>1.1678500000000001</v>
      </c>
      <c r="BC66" s="193">
        <f>BB66*BA66</f>
        <v>23.447741945000001</v>
      </c>
      <c r="BD66" s="205">
        <f t="shared" si="8"/>
        <v>473128.53696621</v>
      </c>
      <c r="BE66" s="200"/>
      <c r="BF66" s="200"/>
    </row>
    <row r="67" spans="1:58" ht="15.75" hidden="1" x14ac:dyDescent="0.25">
      <c r="A67" s="172">
        <v>44155</v>
      </c>
      <c r="B67" s="172">
        <f>C67-20</f>
        <v>44160</v>
      </c>
      <c r="C67" s="185">
        <v>44180</v>
      </c>
      <c r="D67" s="172"/>
      <c r="E67" s="173"/>
      <c r="F67" s="174">
        <v>92618656</v>
      </c>
      <c r="G67" s="175" t="s">
        <v>819</v>
      </c>
      <c r="H67" s="121">
        <v>92623410</v>
      </c>
      <c r="I67" s="121" t="s">
        <v>665</v>
      </c>
      <c r="J67" s="187">
        <v>20180.439999999999</v>
      </c>
      <c r="K67" s="176" t="s">
        <v>818</v>
      </c>
      <c r="L67" s="177">
        <v>43849</v>
      </c>
      <c r="M67" s="119"/>
      <c r="N67" s="119"/>
      <c r="O67" s="119"/>
      <c r="P67" s="119"/>
      <c r="Q67" s="119"/>
      <c r="R67" s="194"/>
      <c r="S67" s="119"/>
      <c r="T67" s="119"/>
      <c r="U67" s="119"/>
      <c r="V67" s="119"/>
      <c r="W67" s="199"/>
      <c r="X67" s="180"/>
      <c r="Y67" s="180"/>
      <c r="Z67" s="180"/>
      <c r="AA67" s="180"/>
      <c r="AB67" s="180"/>
      <c r="AC67" s="180"/>
      <c r="AD67" s="180"/>
      <c r="AE67" s="180"/>
      <c r="AF67" s="180"/>
      <c r="AG67" s="180"/>
      <c r="AH67" s="180"/>
      <c r="AI67" s="180"/>
      <c r="AJ67" s="180"/>
      <c r="AK67" s="180"/>
      <c r="AL67" s="180"/>
      <c r="AM67" s="180"/>
      <c r="AN67" s="180"/>
      <c r="AO67" s="180"/>
      <c r="AP67" s="180"/>
      <c r="AQ67" s="180"/>
      <c r="AR67" s="180"/>
      <c r="AS67" s="180"/>
      <c r="AT67" s="180"/>
      <c r="AU67" s="180"/>
      <c r="AV67" s="180"/>
      <c r="AW67" s="180"/>
      <c r="AX67" s="180"/>
      <c r="AY67" s="180"/>
      <c r="AZ67" s="181">
        <f>AK67</f>
        <v>0</v>
      </c>
      <c r="BA67" s="193">
        <v>20.107500000000002</v>
      </c>
      <c r="BB67" s="193">
        <v>1.19635</v>
      </c>
      <c r="BC67" s="193">
        <f>BB67*BA67</f>
        <v>24.055607625000004</v>
      </c>
      <c r="BD67" s="205">
        <f t="shared" si="8"/>
        <v>485452.74633985502</v>
      </c>
      <c r="BE67" s="200"/>
      <c r="BF67" s="200"/>
    </row>
    <row r="68" spans="1:58" ht="15.75" hidden="1" x14ac:dyDescent="0.25">
      <c r="A68" s="172">
        <v>44147</v>
      </c>
      <c r="B68" s="172">
        <v>44153</v>
      </c>
      <c r="C68" s="185">
        <v>44175</v>
      </c>
      <c r="D68" s="172"/>
      <c r="E68" s="173"/>
      <c r="F68" s="174">
        <v>92617127</v>
      </c>
      <c r="G68" s="175" t="s">
        <v>820</v>
      </c>
      <c r="H68" s="121">
        <v>92620293</v>
      </c>
      <c r="I68" s="121" t="s">
        <v>749</v>
      </c>
      <c r="J68" s="187">
        <v>22446</v>
      </c>
      <c r="K68" s="176" t="s">
        <v>750</v>
      </c>
      <c r="L68" s="177">
        <v>43841</v>
      </c>
      <c r="M68" s="119"/>
      <c r="N68" s="119"/>
      <c r="O68" s="119"/>
      <c r="P68" s="119"/>
      <c r="Q68" s="119"/>
      <c r="R68" s="194"/>
      <c r="S68" s="119"/>
      <c r="T68" s="119"/>
      <c r="U68" s="119"/>
      <c r="V68" s="119"/>
      <c r="W68" s="199"/>
      <c r="X68" s="180"/>
      <c r="Y68" s="180"/>
      <c r="Z68" s="180"/>
      <c r="AA68" s="180"/>
      <c r="AB68" s="180"/>
      <c r="AC68" s="180"/>
      <c r="AD68" s="180"/>
      <c r="AE68" s="180"/>
      <c r="AF68" s="180"/>
      <c r="AG68" s="180"/>
      <c r="AH68" s="180"/>
      <c r="AI68" s="180"/>
      <c r="AJ68" s="180"/>
      <c r="AK68" s="180"/>
      <c r="AL68" s="180"/>
      <c r="AM68" s="180"/>
      <c r="AN68" s="180"/>
      <c r="AO68" s="180"/>
      <c r="AP68" s="180"/>
      <c r="AQ68" s="180"/>
      <c r="AR68" s="180"/>
      <c r="AS68" s="180"/>
      <c r="AT68" s="180"/>
      <c r="AU68" s="180"/>
      <c r="AV68" s="180"/>
      <c r="AW68" s="180"/>
      <c r="AX68" s="180"/>
      <c r="AY68" s="180"/>
      <c r="AZ68" s="181">
        <f>AK68</f>
        <v>0</v>
      </c>
      <c r="BA68" s="193">
        <v>19.821300000000001</v>
      </c>
      <c r="BB68" s="193">
        <v>1.19635</v>
      </c>
      <c r="BC68" s="193">
        <f>BB68*BA68</f>
        <v>23.713212255000002</v>
      </c>
      <c r="BD68" s="205">
        <f t="shared" si="8"/>
        <v>532266.76227573003</v>
      </c>
      <c r="BE68" s="200"/>
      <c r="BF68" s="200"/>
    </row>
    <row r="69" spans="1:58" ht="15.75" hidden="1" x14ac:dyDescent="0.25">
      <c r="A69" s="172">
        <v>44174</v>
      </c>
      <c r="B69" s="172">
        <v>44177</v>
      </c>
      <c r="C69" s="185">
        <v>44199</v>
      </c>
      <c r="D69" s="172"/>
      <c r="E69" s="173"/>
      <c r="F69" s="174">
        <v>92627102</v>
      </c>
      <c r="G69" s="175" t="s">
        <v>821</v>
      </c>
      <c r="H69" s="121">
        <v>92620352</v>
      </c>
      <c r="I69" s="121" t="s">
        <v>668</v>
      </c>
      <c r="J69" s="187">
        <v>21781.200000000001</v>
      </c>
      <c r="K69" s="176" t="s">
        <v>742</v>
      </c>
      <c r="L69" s="177">
        <v>44234</v>
      </c>
      <c r="M69" s="119"/>
      <c r="N69" s="119"/>
      <c r="O69" s="119"/>
      <c r="P69" s="119"/>
      <c r="Q69" s="119"/>
      <c r="R69" s="194"/>
      <c r="S69" s="119"/>
      <c r="T69" s="119"/>
      <c r="U69" s="119"/>
      <c r="V69" s="119"/>
      <c r="W69" s="199"/>
      <c r="X69" s="180"/>
      <c r="Y69" s="180"/>
      <c r="Z69" s="180"/>
      <c r="AA69" s="180"/>
      <c r="AB69" s="180"/>
      <c r="AC69" s="180"/>
      <c r="AD69" s="180"/>
      <c r="AE69" s="180"/>
      <c r="AF69" s="180"/>
      <c r="AG69" s="180"/>
      <c r="AH69" s="180"/>
      <c r="AI69" s="180"/>
      <c r="AJ69" s="180"/>
      <c r="AK69" s="180"/>
      <c r="AL69" s="180"/>
      <c r="AM69" s="180"/>
      <c r="AN69" s="180"/>
      <c r="AO69" s="180"/>
      <c r="AP69" s="180"/>
      <c r="AQ69" s="180"/>
      <c r="AR69" s="180"/>
      <c r="AS69" s="180"/>
      <c r="AT69" s="180"/>
      <c r="AU69" s="180"/>
      <c r="AV69" s="180"/>
      <c r="AW69" s="180"/>
      <c r="AX69" s="180"/>
      <c r="AY69" s="180"/>
      <c r="AZ69" s="181">
        <f>AL69</f>
        <v>0</v>
      </c>
      <c r="BA69" s="193">
        <v>19.935199999999998</v>
      </c>
      <c r="BB69" s="193">
        <v>1.19635</v>
      </c>
      <c r="BC69" s="193">
        <f>BA69*BB69</f>
        <v>23.84947652</v>
      </c>
      <c r="BD69" s="205">
        <f t="shared" si="8"/>
        <v>519470.21797742404</v>
      </c>
      <c r="BE69" s="200"/>
      <c r="BF69" s="200"/>
    </row>
    <row r="70" spans="1:58" ht="15.75" hidden="1" x14ac:dyDescent="0.25">
      <c r="A70" s="172">
        <v>44181</v>
      </c>
      <c r="B70" s="172">
        <v>44184</v>
      </c>
      <c r="C70" s="185">
        <v>44203</v>
      </c>
      <c r="D70" s="172"/>
      <c r="E70" s="173"/>
      <c r="F70" s="174">
        <v>92627118</v>
      </c>
      <c r="G70" s="175" t="s">
        <v>822</v>
      </c>
      <c r="H70" s="121">
        <v>92633196</v>
      </c>
      <c r="I70" s="121" t="s">
        <v>665</v>
      </c>
      <c r="J70" s="187">
        <v>20263.2</v>
      </c>
      <c r="K70" s="176" t="s">
        <v>750</v>
      </c>
      <c r="L70" s="177">
        <v>43875</v>
      </c>
      <c r="M70" s="119"/>
      <c r="N70" s="119"/>
      <c r="O70" s="119"/>
      <c r="P70" s="119"/>
      <c r="Q70" s="119"/>
      <c r="R70" s="194"/>
      <c r="S70" s="119"/>
      <c r="T70" s="119"/>
      <c r="U70" s="119"/>
      <c r="V70" s="119"/>
      <c r="W70" s="199"/>
      <c r="X70" s="180"/>
      <c r="Y70" s="180"/>
      <c r="Z70" s="180"/>
      <c r="AA70" s="180"/>
      <c r="AB70" s="180"/>
      <c r="AC70" s="180"/>
      <c r="AD70" s="180"/>
      <c r="AE70" s="180"/>
      <c r="AF70" s="180"/>
      <c r="AG70" s="180"/>
      <c r="AH70" s="180"/>
      <c r="AI70" s="180"/>
      <c r="AJ70" s="180"/>
      <c r="AK70" s="180"/>
      <c r="AL70" s="180"/>
      <c r="AM70" s="180"/>
      <c r="AN70" s="180"/>
      <c r="AO70" s="180"/>
      <c r="AP70" s="180"/>
      <c r="AQ70" s="180"/>
      <c r="AR70" s="180"/>
      <c r="AS70" s="180"/>
      <c r="AT70" s="180"/>
      <c r="AU70" s="180"/>
      <c r="AV70" s="180"/>
      <c r="AW70" s="180"/>
      <c r="AX70" s="180"/>
      <c r="AY70" s="180"/>
      <c r="AZ70" s="181">
        <f>AL70</f>
        <v>0</v>
      </c>
      <c r="BA70" s="193">
        <v>19.845700000000001</v>
      </c>
      <c r="BB70" s="193">
        <v>1.19635</v>
      </c>
      <c r="BC70" s="193">
        <f>BA70*BB70</f>
        <v>23.742403195000001</v>
      </c>
      <c r="BD70" s="205">
        <f t="shared" si="8"/>
        <v>481097.06442092406</v>
      </c>
      <c r="BE70" s="200"/>
      <c r="BF70" s="200"/>
    </row>
    <row r="71" spans="1:58" ht="15.75" hidden="1" x14ac:dyDescent="0.25">
      <c r="A71" s="172">
        <v>44217</v>
      </c>
      <c r="B71" s="172">
        <v>44219</v>
      </c>
      <c r="C71" s="185">
        <v>44241</v>
      </c>
      <c r="D71" s="172"/>
      <c r="E71" s="173"/>
      <c r="F71" s="174">
        <v>92639516</v>
      </c>
      <c r="G71" s="175" t="s">
        <v>823</v>
      </c>
      <c r="H71" s="121">
        <v>92654558</v>
      </c>
      <c r="I71" s="121" t="s">
        <v>668</v>
      </c>
      <c r="J71" s="187">
        <v>21273.4</v>
      </c>
      <c r="K71" s="176" t="s">
        <v>742</v>
      </c>
      <c r="L71" s="177">
        <v>44277</v>
      </c>
      <c r="M71" s="119"/>
      <c r="N71" s="119"/>
      <c r="O71" s="119"/>
      <c r="P71" s="119"/>
      <c r="Q71" s="119"/>
      <c r="R71" s="194"/>
      <c r="S71" s="119"/>
      <c r="T71" s="119"/>
      <c r="U71" s="119"/>
      <c r="V71" s="119"/>
      <c r="W71" s="199"/>
      <c r="X71" s="180"/>
      <c r="Y71" s="180"/>
      <c r="Z71" s="180"/>
      <c r="AA71" s="180"/>
      <c r="AB71" s="180"/>
      <c r="AC71" s="180"/>
      <c r="AD71" s="180"/>
      <c r="AE71" s="180"/>
      <c r="AF71" s="180"/>
      <c r="AG71" s="180"/>
      <c r="AH71" s="180"/>
      <c r="AI71" s="180"/>
      <c r="AJ71" s="180"/>
      <c r="AK71" s="180">
        <v>0</v>
      </c>
      <c r="AL71" s="180"/>
      <c r="AM71" s="180"/>
      <c r="AN71" s="180"/>
      <c r="AO71" s="180"/>
      <c r="AP71" s="180"/>
      <c r="AQ71" s="180"/>
      <c r="AR71" s="180"/>
      <c r="AS71" s="180"/>
      <c r="AT71" s="180"/>
      <c r="AU71" s="180"/>
      <c r="AV71" s="180"/>
      <c r="AW71" s="180"/>
      <c r="AX71" s="180"/>
      <c r="AY71" s="180"/>
      <c r="AZ71" s="181">
        <f>AM71</f>
        <v>0</v>
      </c>
      <c r="BA71" s="193">
        <v>20.416499999999999</v>
      </c>
      <c r="BB71" s="193">
        <v>1.2145999999999999</v>
      </c>
      <c r="BC71" s="193">
        <f>BB71*BA71</f>
        <v>24.797880899999996</v>
      </c>
      <c r="BD71" s="205">
        <f t="shared" si="8"/>
        <v>527535.23953805992</v>
      </c>
      <c r="BE71" s="200"/>
      <c r="BF71" s="200"/>
    </row>
    <row r="72" spans="1:58" ht="15.75" hidden="1" x14ac:dyDescent="0.25">
      <c r="A72" s="172">
        <v>44230</v>
      </c>
      <c r="B72" s="172">
        <v>44237</v>
      </c>
      <c r="C72" s="185">
        <v>44259</v>
      </c>
      <c r="D72" s="172"/>
      <c r="E72" s="173"/>
      <c r="F72" s="174">
        <v>92645948</v>
      </c>
      <c r="G72" s="175" t="s">
        <v>824</v>
      </c>
      <c r="H72" s="121">
        <v>92649246</v>
      </c>
      <c r="I72" s="121" t="s">
        <v>749</v>
      </c>
      <c r="J72" s="187">
        <v>21736.44</v>
      </c>
      <c r="K72" s="176" t="s">
        <v>750</v>
      </c>
      <c r="L72" s="177">
        <v>44290</v>
      </c>
      <c r="M72" s="119"/>
      <c r="N72" s="119"/>
      <c r="O72" s="119"/>
      <c r="P72" s="119"/>
      <c r="Q72" s="119"/>
      <c r="R72" s="194"/>
      <c r="S72" s="119"/>
      <c r="T72" s="119"/>
      <c r="U72" s="119"/>
      <c r="V72" s="119"/>
      <c r="W72" s="199"/>
      <c r="X72" s="180"/>
      <c r="Y72" s="180"/>
      <c r="Z72" s="180"/>
      <c r="AA72" s="180"/>
      <c r="AB72" s="180"/>
      <c r="AC72" s="180"/>
      <c r="AD72" s="180"/>
      <c r="AE72" s="180"/>
      <c r="AF72" s="180"/>
      <c r="AG72" s="180"/>
      <c r="AH72" s="180"/>
      <c r="AI72" s="180"/>
      <c r="AJ72" s="180"/>
      <c r="AK72" s="180"/>
      <c r="AL72" s="180"/>
      <c r="AM72" s="180"/>
      <c r="AN72" s="180"/>
      <c r="AO72" s="180"/>
      <c r="AP72" s="180"/>
      <c r="AQ72" s="180"/>
      <c r="AR72" s="180"/>
      <c r="AS72" s="180"/>
      <c r="AT72" s="180"/>
      <c r="AU72" s="180"/>
      <c r="AV72" s="180"/>
      <c r="AW72" s="180"/>
      <c r="AX72" s="180"/>
      <c r="AY72" s="180"/>
      <c r="AZ72" s="181">
        <f>AN72</f>
        <v>0</v>
      </c>
      <c r="BA72" s="193">
        <v>21.263500000000001</v>
      </c>
      <c r="BB72" s="193">
        <v>1.2136499999999999</v>
      </c>
      <c r="BC72" s="193">
        <f>BB72*BA72</f>
        <v>25.806446774999998</v>
      </c>
      <c r="BD72" s="205">
        <f t="shared" si="8"/>
        <v>560940.28193798091</v>
      </c>
      <c r="BE72" s="200"/>
      <c r="BF72" s="200"/>
    </row>
    <row r="73" spans="1:58" ht="15.75" hidden="1" x14ac:dyDescent="0.25">
      <c r="A73" s="172">
        <v>44264</v>
      </c>
      <c r="B73" s="172">
        <v>44285</v>
      </c>
      <c r="C73" s="185">
        <v>44312</v>
      </c>
      <c r="D73" s="172"/>
      <c r="E73" s="218">
        <v>44312</v>
      </c>
      <c r="F73" s="174">
        <v>92653398</v>
      </c>
      <c r="G73" s="175" t="s">
        <v>825</v>
      </c>
      <c r="H73" s="219">
        <v>92662019</v>
      </c>
      <c r="I73" s="121" t="s">
        <v>665</v>
      </c>
      <c r="J73" s="187">
        <v>20258.400000000001</v>
      </c>
      <c r="K73" s="176" t="s">
        <v>795</v>
      </c>
      <c r="L73" s="177">
        <v>44325</v>
      </c>
      <c r="M73" s="119"/>
      <c r="N73" s="119"/>
      <c r="O73" s="119"/>
      <c r="P73" s="119"/>
      <c r="Q73" s="119"/>
      <c r="R73" s="194"/>
      <c r="S73" s="119"/>
      <c r="T73" s="119"/>
      <c r="U73" s="119"/>
      <c r="V73" s="119"/>
      <c r="W73" s="199"/>
      <c r="X73" s="180"/>
      <c r="Y73" s="180"/>
      <c r="Z73" s="180"/>
      <c r="AA73" s="180"/>
      <c r="AB73" s="180"/>
      <c r="AC73" s="180"/>
      <c r="AD73" s="180"/>
      <c r="AE73" s="180"/>
      <c r="AF73" s="180"/>
      <c r="AG73" s="180"/>
      <c r="AH73" s="180"/>
      <c r="AI73" s="180"/>
      <c r="AJ73" s="180"/>
      <c r="AK73" s="180"/>
      <c r="AL73" s="180"/>
      <c r="AM73" s="180"/>
      <c r="AN73" s="180"/>
      <c r="AO73" s="180"/>
      <c r="AP73" s="180"/>
      <c r="AQ73" s="180"/>
      <c r="AR73" s="180"/>
      <c r="AS73" s="180"/>
      <c r="AT73" s="180"/>
      <c r="AU73" s="180"/>
      <c r="AV73" s="180"/>
      <c r="AW73" s="180"/>
      <c r="AX73" s="180"/>
      <c r="AY73" s="180"/>
      <c r="AZ73" s="181">
        <f>AO73</f>
        <v>0</v>
      </c>
      <c r="BA73" s="193">
        <v>19.886500000000002</v>
      </c>
      <c r="BB73" s="193">
        <v>1.1754500000000001</v>
      </c>
      <c r="BC73" s="193">
        <f t="shared" ref="BC73:BC79" si="10">BA73*BB73</f>
        <v>23.375586425000005</v>
      </c>
      <c r="BD73" s="205">
        <f t="shared" si="8"/>
        <v>473551.98003222013</v>
      </c>
      <c r="BE73" s="200">
        <f>+J73*24.0241</f>
        <v>486689.82744000002</v>
      </c>
      <c r="BF73" s="200">
        <f>+BE73-BD73</f>
        <v>13137.847407779889</v>
      </c>
    </row>
    <row r="74" spans="1:58" ht="15.75" hidden="1" x14ac:dyDescent="0.25">
      <c r="A74" s="172">
        <v>44281</v>
      </c>
      <c r="B74" s="172">
        <v>44286</v>
      </c>
      <c r="C74" s="185">
        <v>44311</v>
      </c>
      <c r="D74" s="172"/>
      <c r="E74" s="173"/>
      <c r="F74" s="174">
        <v>92655461</v>
      </c>
      <c r="G74" s="175" t="s">
        <v>826</v>
      </c>
      <c r="H74" s="219">
        <v>92668880</v>
      </c>
      <c r="I74" s="121" t="s">
        <v>665</v>
      </c>
      <c r="J74" s="187">
        <v>20348.599999999999</v>
      </c>
      <c r="K74" s="176" t="s">
        <v>795</v>
      </c>
      <c r="L74" s="177">
        <v>44341</v>
      </c>
      <c r="M74" s="119"/>
      <c r="N74" s="119"/>
      <c r="O74" s="119"/>
      <c r="P74" s="119"/>
      <c r="Q74" s="119"/>
      <c r="R74" s="194"/>
      <c r="S74" s="119"/>
      <c r="T74" s="119"/>
      <c r="U74" s="119"/>
      <c r="V74" s="119"/>
      <c r="W74" s="199"/>
      <c r="X74" s="180"/>
      <c r="Y74" s="180"/>
      <c r="Z74" s="180"/>
      <c r="AA74" s="180"/>
      <c r="AB74" s="180"/>
      <c r="AC74" s="180"/>
      <c r="AD74" s="180"/>
      <c r="AE74" s="180"/>
      <c r="AF74" s="180"/>
      <c r="AG74" s="180"/>
      <c r="AH74" s="180"/>
      <c r="AI74" s="180"/>
      <c r="AJ74" s="180"/>
      <c r="AK74" s="180"/>
      <c r="AL74" s="180"/>
      <c r="AM74" s="180"/>
      <c r="AN74" s="180"/>
      <c r="AO74" s="180"/>
      <c r="AP74" s="180"/>
      <c r="AQ74" s="180"/>
      <c r="AR74" s="180"/>
      <c r="AS74" s="180"/>
      <c r="AT74" s="180"/>
      <c r="AU74" s="180"/>
      <c r="AV74" s="180"/>
      <c r="AW74" s="180"/>
      <c r="AX74" s="180"/>
      <c r="AY74" s="180"/>
      <c r="AZ74" s="181">
        <f>AO74</f>
        <v>0</v>
      </c>
      <c r="BA74" s="193">
        <v>19.886500000000002</v>
      </c>
      <c r="BB74" s="193">
        <v>1.1754500000000001</v>
      </c>
      <c r="BC74" s="193">
        <f t="shared" si="10"/>
        <v>23.375586425000005</v>
      </c>
      <c r="BD74" s="205">
        <f t="shared" si="8"/>
        <v>475660.45792775502</v>
      </c>
      <c r="BE74" s="200"/>
      <c r="BF74" s="200"/>
    </row>
    <row r="75" spans="1:58" ht="15.75" hidden="1" x14ac:dyDescent="0.25">
      <c r="A75" s="172">
        <v>44266</v>
      </c>
      <c r="B75" s="172">
        <v>44268</v>
      </c>
      <c r="C75" s="185">
        <v>44290</v>
      </c>
      <c r="D75" s="172"/>
      <c r="E75" s="173"/>
      <c r="F75" s="174">
        <v>92663477</v>
      </c>
      <c r="G75" s="175" t="s">
        <v>827</v>
      </c>
      <c r="H75" s="121">
        <v>92666833</v>
      </c>
      <c r="I75" s="121" t="s">
        <v>668</v>
      </c>
      <c r="J75" s="187">
        <v>21180.36</v>
      </c>
      <c r="K75" s="176" t="s">
        <v>742</v>
      </c>
      <c r="L75" s="177">
        <f>A75+60</f>
        <v>44326</v>
      </c>
      <c r="M75" s="119"/>
      <c r="N75" s="119"/>
      <c r="O75" s="119"/>
      <c r="P75" s="119"/>
      <c r="Q75" s="119"/>
      <c r="R75" s="194"/>
      <c r="S75" s="119"/>
      <c r="T75" s="119"/>
      <c r="U75" s="119"/>
      <c r="V75" s="119"/>
      <c r="W75" s="199"/>
      <c r="X75" s="180"/>
      <c r="Y75" s="180"/>
      <c r="Z75" s="180"/>
      <c r="AA75" s="180"/>
      <c r="AB75" s="180"/>
      <c r="AC75" s="180"/>
      <c r="AD75" s="180"/>
      <c r="AE75" s="180"/>
      <c r="AF75" s="180"/>
      <c r="AG75" s="180"/>
      <c r="AH75" s="180"/>
      <c r="AI75" s="180"/>
      <c r="AJ75" s="180"/>
      <c r="AK75" s="180"/>
      <c r="AL75" s="180"/>
      <c r="AM75" s="180"/>
      <c r="AN75" s="180"/>
      <c r="AO75" s="180"/>
      <c r="AP75" s="180"/>
      <c r="AQ75" s="180"/>
      <c r="AR75" s="180"/>
      <c r="AS75" s="180"/>
      <c r="AT75" s="180"/>
      <c r="AU75" s="180"/>
      <c r="AV75" s="180"/>
      <c r="AW75" s="180"/>
      <c r="AX75" s="180"/>
      <c r="AY75" s="180"/>
      <c r="AZ75" s="181">
        <f>AO75</f>
        <v>0</v>
      </c>
      <c r="BA75" s="193">
        <v>20.602499999999999</v>
      </c>
      <c r="BB75" s="193">
        <v>1.2136499999999999</v>
      </c>
      <c r="BC75" s="193">
        <f t="shared" si="10"/>
        <v>25.004224124999997</v>
      </c>
      <c r="BD75" s="205">
        <f t="shared" si="8"/>
        <v>529598.46848818497</v>
      </c>
      <c r="BE75" s="200"/>
      <c r="BF75" s="200"/>
    </row>
    <row r="76" spans="1:58" ht="15.75" hidden="1" x14ac:dyDescent="0.25">
      <c r="A76" s="172">
        <v>44305</v>
      </c>
      <c r="B76" s="172">
        <f>C76-15</f>
        <v>44320</v>
      </c>
      <c r="C76" s="185">
        <v>44335</v>
      </c>
      <c r="D76" s="172"/>
      <c r="E76" s="173"/>
      <c r="F76" s="174">
        <v>92669464</v>
      </c>
      <c r="G76" s="175" t="s">
        <v>828</v>
      </c>
      <c r="H76" s="219">
        <v>92676857</v>
      </c>
      <c r="I76" s="121" t="s">
        <v>665</v>
      </c>
      <c r="J76" s="187">
        <v>20222.400000000001</v>
      </c>
      <c r="K76" s="176" t="s">
        <v>795</v>
      </c>
      <c r="L76" s="177">
        <f>A76+60</f>
        <v>44365</v>
      </c>
      <c r="M76" s="119"/>
      <c r="N76" s="119"/>
      <c r="O76" s="119"/>
      <c r="P76" s="119"/>
      <c r="Q76" s="119"/>
      <c r="R76" s="194"/>
      <c r="S76" s="119"/>
      <c r="T76" s="119"/>
      <c r="U76" s="119"/>
      <c r="V76" s="119"/>
      <c r="W76" s="199"/>
      <c r="X76" s="180"/>
      <c r="Y76" s="180"/>
      <c r="Z76" s="180"/>
      <c r="AA76" s="180"/>
      <c r="AB76" s="180"/>
      <c r="AC76" s="180"/>
      <c r="AD76" s="180"/>
      <c r="AE76" s="180"/>
      <c r="AF76" s="180"/>
      <c r="AG76" s="180"/>
      <c r="AH76" s="180"/>
      <c r="AI76" s="180"/>
      <c r="AJ76" s="180"/>
      <c r="AK76" s="180"/>
      <c r="AL76" s="180"/>
      <c r="AM76" s="180"/>
      <c r="AN76" s="180"/>
      <c r="AO76" s="180"/>
      <c r="AP76" s="180"/>
      <c r="AQ76" s="180"/>
      <c r="AR76" s="180"/>
      <c r="AS76" s="180"/>
      <c r="AT76" s="180"/>
      <c r="AU76" s="180"/>
      <c r="AV76" s="180"/>
      <c r="AW76" s="180"/>
      <c r="AX76" s="180"/>
      <c r="AY76" s="180"/>
      <c r="AZ76" s="181">
        <f>AP76</f>
        <v>0</v>
      </c>
      <c r="BA76" s="193">
        <v>19.802800000000001</v>
      </c>
      <c r="BB76" s="193">
        <v>1.2040500000000001</v>
      </c>
      <c r="BC76" s="193">
        <f t="shared" si="10"/>
        <v>23.843561340000004</v>
      </c>
      <c r="BD76" s="205">
        <f t="shared" si="8"/>
        <v>482174.03484201612</v>
      </c>
      <c r="BE76" s="200"/>
      <c r="BF76" s="200"/>
    </row>
    <row r="77" spans="1:58" ht="15.75" hidden="1" x14ac:dyDescent="0.25">
      <c r="A77" s="172">
        <v>44305</v>
      </c>
      <c r="B77" s="172">
        <v>44321</v>
      </c>
      <c r="C77" s="185">
        <v>44337</v>
      </c>
      <c r="D77" s="172"/>
      <c r="E77" s="173"/>
      <c r="F77" s="174">
        <v>92671176</v>
      </c>
      <c r="G77" s="175" t="s">
        <v>829</v>
      </c>
      <c r="H77" s="219">
        <v>92676828</v>
      </c>
      <c r="I77" s="121" t="s">
        <v>749</v>
      </c>
      <c r="J77" s="187">
        <v>21781.439999999999</v>
      </c>
      <c r="K77" s="176" t="s">
        <v>750</v>
      </c>
      <c r="L77" s="177">
        <f>A77+60</f>
        <v>44365</v>
      </c>
      <c r="M77" s="119"/>
      <c r="N77" s="119"/>
      <c r="O77" s="119"/>
      <c r="P77" s="119"/>
      <c r="Q77" s="119"/>
      <c r="R77" s="194"/>
      <c r="S77" s="119"/>
      <c r="T77" s="119"/>
      <c r="U77" s="119"/>
      <c r="V77" s="119"/>
      <c r="W77" s="199"/>
      <c r="X77" s="180"/>
      <c r="Y77" s="180"/>
      <c r="Z77" s="180"/>
      <c r="AA77" s="180"/>
      <c r="AB77" s="180"/>
      <c r="AC77" s="180"/>
      <c r="AD77" s="180"/>
      <c r="AE77" s="180"/>
      <c r="AF77" s="180"/>
      <c r="AG77" s="180"/>
      <c r="AH77" s="180"/>
      <c r="AI77" s="180"/>
      <c r="AJ77" s="180"/>
      <c r="AK77" s="180"/>
      <c r="AL77" s="180"/>
      <c r="AM77" s="180"/>
      <c r="AN77" s="180"/>
      <c r="AO77" s="180"/>
      <c r="AP77" s="180"/>
      <c r="AQ77" s="180"/>
      <c r="AR77" s="180"/>
      <c r="AS77" s="180"/>
      <c r="AT77" s="180"/>
      <c r="AU77" s="180"/>
      <c r="AV77" s="180"/>
      <c r="AW77" s="180"/>
      <c r="AX77" s="180"/>
      <c r="AY77" s="180"/>
      <c r="AZ77" s="181">
        <f>AP77</f>
        <v>0</v>
      </c>
      <c r="BA77" s="193">
        <v>19.881</v>
      </c>
      <c r="BB77" s="193">
        <v>1.2040500000000001</v>
      </c>
      <c r="BC77" s="193">
        <f t="shared" si="10"/>
        <v>23.937718050000001</v>
      </c>
      <c r="BD77" s="205">
        <f t="shared" si="8"/>
        <v>521397.96944299201</v>
      </c>
      <c r="BE77" s="200"/>
      <c r="BF77" s="200"/>
    </row>
    <row r="78" spans="1:58" ht="15.75" hidden="1" x14ac:dyDescent="0.25">
      <c r="A78" s="172">
        <v>44321</v>
      </c>
      <c r="B78" s="172">
        <v>44328</v>
      </c>
      <c r="C78" s="185">
        <v>44347</v>
      </c>
      <c r="D78" s="172" t="s">
        <v>830</v>
      </c>
      <c r="E78" s="173"/>
      <c r="F78" s="174">
        <v>92670068</v>
      </c>
      <c r="G78" s="175" t="s">
        <v>831</v>
      </c>
      <c r="H78" s="219">
        <v>92683279</v>
      </c>
      <c r="I78" s="121" t="s">
        <v>665</v>
      </c>
      <c r="J78" s="187">
        <v>20257.32</v>
      </c>
      <c r="K78" s="176" t="s">
        <v>795</v>
      </c>
      <c r="L78" s="177">
        <v>44381</v>
      </c>
      <c r="M78" s="119"/>
      <c r="N78" s="119"/>
      <c r="O78" s="119"/>
      <c r="P78" s="119"/>
      <c r="Q78" s="119"/>
      <c r="R78" s="194"/>
      <c r="S78" s="119"/>
      <c r="T78" s="119"/>
      <c r="U78" s="119"/>
      <c r="V78" s="119"/>
      <c r="W78" s="199"/>
      <c r="X78" s="180"/>
      <c r="Y78" s="180"/>
      <c r="Z78" s="180"/>
      <c r="AA78" s="180"/>
      <c r="AB78" s="180"/>
      <c r="AC78" s="180"/>
      <c r="AD78" s="180"/>
      <c r="AE78" s="180"/>
      <c r="AF78" s="180"/>
      <c r="AG78" s="180"/>
      <c r="AH78" s="180"/>
      <c r="AI78" s="180"/>
      <c r="AJ78" s="180"/>
      <c r="AK78" s="180"/>
      <c r="AL78" s="180"/>
      <c r="AM78" s="180"/>
      <c r="AN78" s="180"/>
      <c r="AO78" s="180"/>
      <c r="AP78" s="180"/>
      <c r="AQ78" s="180"/>
      <c r="AR78" s="180"/>
      <c r="AS78" s="180"/>
      <c r="AT78" s="180"/>
      <c r="AU78" s="180"/>
      <c r="AV78" s="180"/>
      <c r="AW78" s="180"/>
      <c r="AX78" s="180"/>
      <c r="AY78" s="180"/>
      <c r="AZ78" s="181">
        <f>AQ78</f>
        <v>0</v>
      </c>
      <c r="BA78" s="193">
        <v>19.921299999999999</v>
      </c>
      <c r="BB78" s="193">
        <v>1.2040500000000001</v>
      </c>
      <c r="BC78" s="193">
        <f t="shared" si="10"/>
        <v>23.986241265</v>
      </c>
      <c r="BD78" s="205">
        <f>+J78*BA78*BB78</f>
        <v>485896.96490230982</v>
      </c>
      <c r="BE78" s="200"/>
      <c r="BF78" s="200"/>
    </row>
    <row r="79" spans="1:58" ht="15.75" hidden="1" x14ac:dyDescent="0.25">
      <c r="A79" s="172">
        <v>44321</v>
      </c>
      <c r="B79" s="172">
        <v>44324</v>
      </c>
      <c r="C79" s="185">
        <v>44346</v>
      </c>
      <c r="D79" s="172"/>
      <c r="E79" s="173"/>
      <c r="F79" s="174">
        <v>92673164</v>
      </c>
      <c r="G79" s="175" t="s">
        <v>832</v>
      </c>
      <c r="H79" s="219">
        <v>92683290</v>
      </c>
      <c r="I79" s="121" t="s">
        <v>668</v>
      </c>
      <c r="J79" s="187">
        <v>23091.96</v>
      </c>
      <c r="K79" s="176" t="s">
        <v>742</v>
      </c>
      <c r="L79" s="177">
        <f t="shared" ref="L79:L84" si="11">A79+60</f>
        <v>44381</v>
      </c>
      <c r="M79" s="119"/>
      <c r="N79" s="119"/>
      <c r="O79" s="119"/>
      <c r="P79" s="119"/>
      <c r="Q79" s="119"/>
      <c r="R79" s="194"/>
      <c r="S79" s="119"/>
      <c r="T79" s="119"/>
      <c r="U79" s="119"/>
      <c r="V79" s="119"/>
      <c r="W79" s="199"/>
      <c r="X79" s="180"/>
      <c r="Y79" s="180"/>
      <c r="Z79" s="180"/>
      <c r="AA79" s="180"/>
      <c r="AB79" s="180"/>
      <c r="AC79" s="180"/>
      <c r="AD79" s="180"/>
      <c r="AE79" s="180"/>
      <c r="AF79" s="180"/>
      <c r="AG79" s="180"/>
      <c r="AH79" s="180"/>
      <c r="AI79" s="180"/>
      <c r="AJ79" s="180"/>
      <c r="AK79" s="180"/>
      <c r="AL79" s="180"/>
      <c r="AM79" s="180"/>
      <c r="AN79" s="180"/>
      <c r="AO79" s="180"/>
      <c r="AP79" s="180"/>
      <c r="AQ79" s="180"/>
      <c r="AR79" s="180"/>
      <c r="AS79" s="180"/>
      <c r="AT79" s="180"/>
      <c r="AU79" s="180"/>
      <c r="AV79" s="180"/>
      <c r="AW79" s="180"/>
      <c r="AX79" s="180"/>
      <c r="AY79" s="180"/>
      <c r="AZ79" s="181">
        <f>AQ79</f>
        <v>0</v>
      </c>
      <c r="BA79" s="193">
        <v>19.948699999999999</v>
      </c>
      <c r="BB79" s="193">
        <v>1.2040500000000001</v>
      </c>
      <c r="BC79" s="193">
        <f t="shared" si="10"/>
        <v>24.019232235</v>
      </c>
      <c r="BD79" s="205">
        <f>+J79*BA79*BB79</f>
        <v>554651.15000133053</v>
      </c>
      <c r="BE79" s="200"/>
      <c r="BF79" s="200"/>
    </row>
    <row r="80" spans="1:58" ht="15.75" hidden="1" x14ac:dyDescent="0.25">
      <c r="A80" s="172">
        <v>44328</v>
      </c>
      <c r="B80" s="172">
        <v>44335</v>
      </c>
      <c r="C80" s="185">
        <v>44358</v>
      </c>
      <c r="D80" s="172" t="s">
        <v>833</v>
      </c>
      <c r="E80" s="173"/>
      <c r="F80" s="174">
        <v>92676296</v>
      </c>
      <c r="G80" s="175" t="s">
        <v>834</v>
      </c>
      <c r="H80" s="219">
        <v>92686201</v>
      </c>
      <c r="I80" s="121" t="s">
        <v>665</v>
      </c>
      <c r="J80" s="187">
        <v>20242.990000000002</v>
      </c>
      <c r="K80" s="176" t="s">
        <v>795</v>
      </c>
      <c r="L80" s="177">
        <f t="shared" si="11"/>
        <v>44388</v>
      </c>
      <c r="M80" s="119"/>
      <c r="N80" s="119"/>
      <c r="O80" s="119"/>
      <c r="P80" s="119"/>
      <c r="Q80" s="119"/>
      <c r="R80" s="194"/>
      <c r="S80" s="119"/>
      <c r="T80" s="119"/>
      <c r="U80" s="119"/>
      <c r="V80" s="119"/>
      <c r="W80" s="199"/>
      <c r="X80" s="180"/>
      <c r="Y80" s="180"/>
      <c r="Z80" s="180"/>
      <c r="AA80" s="180"/>
      <c r="AB80" s="180"/>
      <c r="AC80" s="180"/>
      <c r="AD80" s="180"/>
      <c r="AE80" s="180"/>
      <c r="AF80" s="180"/>
      <c r="AG80" s="180"/>
      <c r="AH80" s="180"/>
      <c r="AI80" s="180"/>
      <c r="AJ80" s="180"/>
      <c r="AK80" s="180"/>
      <c r="AL80" s="180"/>
      <c r="AM80" s="180"/>
      <c r="AN80" s="180"/>
      <c r="AO80" s="180"/>
      <c r="AP80" s="180"/>
      <c r="AQ80" s="180"/>
      <c r="AR80" s="180"/>
      <c r="AS80" s="180"/>
      <c r="AT80" s="180"/>
      <c r="AU80" s="180"/>
      <c r="AV80" s="180"/>
      <c r="AW80" s="180"/>
      <c r="AX80" s="180"/>
      <c r="AY80" s="180"/>
      <c r="AZ80" s="181">
        <f>AQ80</f>
        <v>0</v>
      </c>
      <c r="BA80" s="193"/>
      <c r="BB80" s="193"/>
      <c r="BC80" s="193"/>
      <c r="BD80" s="119"/>
      <c r="BE80" s="200"/>
      <c r="BF80" s="200"/>
    </row>
    <row r="81" spans="1:58" ht="15.75" hidden="1" x14ac:dyDescent="0.25">
      <c r="A81" s="172">
        <v>44357</v>
      </c>
      <c r="B81" s="172">
        <v>44359</v>
      </c>
      <c r="C81" s="185">
        <v>44376</v>
      </c>
      <c r="D81" s="172" t="s">
        <v>835</v>
      </c>
      <c r="E81" s="173"/>
      <c r="F81" s="174">
        <v>92683858</v>
      </c>
      <c r="G81" s="175" t="s">
        <v>836</v>
      </c>
      <c r="H81" s="220">
        <v>92698812</v>
      </c>
      <c r="I81" s="121" t="s">
        <v>665</v>
      </c>
      <c r="J81" s="187">
        <v>20076</v>
      </c>
      <c r="K81" s="176" t="s">
        <v>750</v>
      </c>
      <c r="L81" s="177">
        <f>A81+60</f>
        <v>44417</v>
      </c>
      <c r="M81" s="119"/>
      <c r="N81" s="119"/>
      <c r="O81" s="119"/>
      <c r="P81" s="119"/>
      <c r="Q81" s="119"/>
      <c r="R81" s="194"/>
      <c r="S81" s="119"/>
      <c r="T81" s="119"/>
      <c r="U81" s="119"/>
      <c r="V81" s="119"/>
      <c r="W81" s="199"/>
      <c r="X81" s="180"/>
      <c r="Y81" s="180"/>
      <c r="Z81" s="180"/>
      <c r="AA81" s="180"/>
      <c r="AB81" s="180"/>
      <c r="AC81" s="180"/>
      <c r="AD81" s="180"/>
      <c r="AE81" s="180"/>
      <c r="AF81" s="180"/>
      <c r="AG81" s="180"/>
      <c r="AH81" s="180"/>
      <c r="AI81" s="180"/>
      <c r="AJ81" s="180"/>
      <c r="AK81" s="180"/>
      <c r="AL81" s="180"/>
      <c r="AM81" s="180"/>
      <c r="AN81" s="180"/>
      <c r="AO81" s="180"/>
      <c r="AP81" s="180"/>
      <c r="AQ81" s="180"/>
      <c r="AR81" s="180"/>
      <c r="AS81" s="180"/>
      <c r="AT81" s="180"/>
      <c r="AU81" s="180"/>
      <c r="AV81" s="180"/>
      <c r="AW81" s="180"/>
      <c r="AX81" s="180"/>
      <c r="AY81" s="180"/>
      <c r="AZ81" s="181">
        <f>AR81</f>
        <v>0</v>
      </c>
      <c r="BA81" s="193"/>
      <c r="BB81" s="193"/>
      <c r="BC81" s="193"/>
      <c r="BD81" s="119"/>
      <c r="BE81" s="200"/>
      <c r="BF81" s="200"/>
    </row>
    <row r="82" spans="1:58" ht="15.75" hidden="1" x14ac:dyDescent="0.25">
      <c r="A82" s="172">
        <v>44342</v>
      </c>
      <c r="B82" s="172">
        <v>44348</v>
      </c>
      <c r="C82" s="185">
        <v>44364</v>
      </c>
      <c r="D82" s="172" t="s">
        <v>837</v>
      </c>
      <c r="E82" s="173"/>
      <c r="F82" s="174">
        <v>92687017</v>
      </c>
      <c r="G82" s="175" t="s">
        <v>838</v>
      </c>
      <c r="H82" s="219">
        <v>92691733</v>
      </c>
      <c r="I82" s="121" t="s">
        <v>665</v>
      </c>
      <c r="J82" s="187">
        <v>24211.200000000001</v>
      </c>
      <c r="K82" s="176" t="s">
        <v>839</v>
      </c>
      <c r="L82" s="177">
        <f t="shared" si="11"/>
        <v>44402</v>
      </c>
      <c r="M82" s="119"/>
      <c r="N82" s="119"/>
      <c r="O82" s="119"/>
      <c r="P82" s="119"/>
      <c r="Q82" s="119"/>
      <c r="R82" s="194"/>
      <c r="S82" s="119"/>
      <c r="T82" s="119"/>
      <c r="U82" s="119"/>
      <c r="V82" s="119"/>
      <c r="W82" s="199"/>
      <c r="X82" s="180"/>
      <c r="Y82" s="180"/>
      <c r="Z82" s="180"/>
      <c r="AA82" s="180"/>
      <c r="AB82" s="180"/>
      <c r="AC82" s="180"/>
      <c r="AD82" s="180"/>
      <c r="AE82" s="180"/>
      <c r="AF82" s="180"/>
      <c r="AG82" s="180"/>
      <c r="AH82" s="180"/>
      <c r="AI82" s="180"/>
      <c r="AJ82" s="180"/>
      <c r="AK82" s="180"/>
      <c r="AL82" s="180"/>
      <c r="AM82" s="180"/>
      <c r="AN82" s="180"/>
      <c r="AO82" s="180"/>
      <c r="AP82" s="180"/>
      <c r="AQ82" s="180"/>
      <c r="AR82" s="180"/>
      <c r="AS82" s="180"/>
      <c r="AT82" s="180"/>
      <c r="AU82" s="180"/>
      <c r="AV82" s="180"/>
      <c r="AW82" s="180"/>
      <c r="AX82" s="180"/>
      <c r="AY82" s="180"/>
      <c r="AZ82" s="181">
        <f>AQ82</f>
        <v>0</v>
      </c>
      <c r="BA82" s="193"/>
      <c r="BB82" s="193"/>
      <c r="BC82" s="193"/>
      <c r="BD82" s="119"/>
      <c r="BE82" s="200"/>
      <c r="BF82" s="200"/>
    </row>
    <row r="83" spans="1:58" ht="15.75" hidden="1" x14ac:dyDescent="0.25">
      <c r="A83" s="172">
        <v>44365</v>
      </c>
      <c r="B83" s="172">
        <v>44369</v>
      </c>
      <c r="C83" s="185">
        <v>44385</v>
      </c>
      <c r="D83" s="172"/>
      <c r="E83" s="173"/>
      <c r="F83" s="174">
        <v>92687018</v>
      </c>
      <c r="G83" s="175" t="s">
        <v>840</v>
      </c>
      <c r="H83" s="219">
        <v>92702364</v>
      </c>
      <c r="I83" s="121" t="s">
        <v>665</v>
      </c>
      <c r="J83" s="187">
        <v>19911.759999999998</v>
      </c>
      <c r="K83" s="176" t="s">
        <v>46</v>
      </c>
      <c r="L83" s="177">
        <f t="shared" si="11"/>
        <v>44425</v>
      </c>
      <c r="M83" s="119"/>
      <c r="N83" s="119"/>
      <c r="O83" s="119"/>
      <c r="P83" s="119"/>
      <c r="Q83" s="119"/>
      <c r="R83" s="194"/>
      <c r="S83" s="119"/>
      <c r="T83" s="119"/>
      <c r="U83" s="119"/>
      <c r="V83" s="119"/>
      <c r="W83" s="199"/>
      <c r="X83" s="180"/>
      <c r="Y83" s="180"/>
      <c r="Z83" s="180"/>
      <c r="AA83" s="180"/>
      <c r="AB83" s="180"/>
      <c r="AC83" s="180"/>
      <c r="AD83" s="180"/>
      <c r="AE83" s="180"/>
      <c r="AF83" s="180"/>
      <c r="AG83" s="180"/>
      <c r="AH83" s="180"/>
      <c r="AI83" s="180"/>
      <c r="AJ83" s="180"/>
      <c r="AK83" s="180"/>
      <c r="AL83" s="180"/>
      <c r="AM83" s="180"/>
      <c r="AN83" s="180"/>
      <c r="AO83" s="180"/>
      <c r="AP83" s="180"/>
      <c r="AQ83" s="180"/>
      <c r="AR83" s="180"/>
      <c r="AS83" s="180"/>
      <c r="AT83" s="180"/>
      <c r="AU83" s="180"/>
      <c r="AV83" s="180"/>
      <c r="AW83" s="180"/>
      <c r="AX83" s="180"/>
      <c r="AY83" s="180"/>
      <c r="AZ83" s="181">
        <f t="shared" ref="AZ83:AZ89" si="12">AR83</f>
        <v>0</v>
      </c>
      <c r="BA83" s="193"/>
      <c r="BB83" s="193"/>
      <c r="BC83" s="193"/>
      <c r="BD83" s="119"/>
      <c r="BE83" s="200"/>
      <c r="BF83" s="200"/>
    </row>
    <row r="84" spans="1:58" ht="15.75" hidden="1" x14ac:dyDescent="0.25">
      <c r="A84" s="172">
        <v>44375</v>
      </c>
      <c r="B84" s="172">
        <v>44380</v>
      </c>
      <c r="C84" s="185">
        <v>44409</v>
      </c>
      <c r="D84" s="172"/>
      <c r="E84" s="173"/>
      <c r="F84" s="174">
        <v>9269009</v>
      </c>
      <c r="G84" s="175" t="s">
        <v>841</v>
      </c>
      <c r="H84" s="219">
        <v>92706630</v>
      </c>
      <c r="I84" s="121" t="s">
        <v>665</v>
      </c>
      <c r="J84" s="187">
        <v>19876.8</v>
      </c>
      <c r="K84" s="176" t="s">
        <v>750</v>
      </c>
      <c r="L84" s="177">
        <f t="shared" si="11"/>
        <v>44435</v>
      </c>
      <c r="M84" s="119"/>
      <c r="N84" s="119"/>
      <c r="O84" s="119"/>
      <c r="P84" s="119"/>
      <c r="Q84" s="119"/>
      <c r="R84" s="194"/>
      <c r="S84" s="119"/>
      <c r="T84" s="119"/>
      <c r="U84" s="119"/>
      <c r="V84" s="119"/>
      <c r="W84" s="199"/>
      <c r="X84" s="180"/>
      <c r="Y84" s="180"/>
      <c r="Z84" s="180"/>
      <c r="AA84" s="180"/>
      <c r="AB84" s="180"/>
      <c r="AC84" s="180"/>
      <c r="AD84" s="180"/>
      <c r="AE84" s="180"/>
      <c r="AF84" s="180"/>
      <c r="AG84" s="180"/>
      <c r="AH84" s="180"/>
      <c r="AI84" s="180"/>
      <c r="AJ84" s="180"/>
      <c r="AK84" s="180"/>
      <c r="AL84" s="180"/>
      <c r="AM84" s="180"/>
      <c r="AN84" s="180"/>
      <c r="AO84" s="180"/>
      <c r="AP84" s="180"/>
      <c r="AQ84" s="180"/>
      <c r="AR84" s="180"/>
      <c r="AS84" s="180"/>
      <c r="AT84" s="180"/>
      <c r="AU84" s="180"/>
      <c r="AV84" s="180"/>
      <c r="AW84" s="180"/>
      <c r="AX84" s="180"/>
      <c r="AY84" s="180"/>
      <c r="AZ84" s="181">
        <f t="shared" si="12"/>
        <v>0</v>
      </c>
      <c r="BA84" s="193"/>
      <c r="BB84" s="193"/>
      <c r="BC84" s="193"/>
      <c r="BD84" s="119"/>
      <c r="BE84" s="200"/>
      <c r="BF84" s="200"/>
    </row>
    <row r="85" spans="1:58" ht="15.75" hidden="1" x14ac:dyDescent="0.25">
      <c r="A85" s="172">
        <v>44364</v>
      </c>
      <c r="B85" s="172">
        <f>C85-20</f>
        <v>44361</v>
      </c>
      <c r="C85" s="185">
        <v>44381</v>
      </c>
      <c r="D85" s="172"/>
      <c r="E85" s="173"/>
      <c r="F85" s="174">
        <v>92695535</v>
      </c>
      <c r="G85" s="175" t="s">
        <v>842</v>
      </c>
      <c r="H85" s="219">
        <v>92702325</v>
      </c>
      <c r="I85" s="121" t="s">
        <v>668</v>
      </c>
      <c r="J85" s="187">
        <v>24249.439999999999</v>
      </c>
      <c r="K85" s="176" t="s">
        <v>742</v>
      </c>
      <c r="L85" s="177">
        <f>A85+60</f>
        <v>44424</v>
      </c>
      <c r="M85" s="119"/>
      <c r="N85" s="119"/>
      <c r="O85" s="119"/>
      <c r="P85" s="119"/>
      <c r="Q85" s="119"/>
      <c r="R85" s="194"/>
      <c r="S85" s="119"/>
      <c r="T85" s="119"/>
      <c r="U85" s="119"/>
      <c r="V85" s="119"/>
      <c r="W85" s="199"/>
      <c r="X85" s="180"/>
      <c r="Y85" s="180"/>
      <c r="Z85" s="180"/>
      <c r="AA85" s="180"/>
      <c r="AB85" s="180"/>
      <c r="AC85" s="180"/>
      <c r="AD85" s="180"/>
      <c r="AE85" s="180"/>
      <c r="AF85" s="180"/>
      <c r="AG85" s="180"/>
      <c r="AH85" s="180"/>
      <c r="AI85" s="180"/>
      <c r="AJ85" s="180"/>
      <c r="AK85" s="180"/>
      <c r="AL85" s="180"/>
      <c r="AM85" s="180"/>
      <c r="AN85" s="180"/>
      <c r="AO85" s="180"/>
      <c r="AP85" s="180"/>
      <c r="AQ85" s="180"/>
      <c r="AR85" s="180"/>
      <c r="AS85" s="180"/>
      <c r="AT85" s="180"/>
      <c r="AU85" s="180"/>
      <c r="AV85" s="180"/>
      <c r="AW85" s="180"/>
      <c r="AX85" s="180"/>
      <c r="AY85" s="180"/>
      <c r="AZ85" s="181">
        <f t="shared" si="12"/>
        <v>0</v>
      </c>
      <c r="BA85" s="193"/>
      <c r="BB85" s="193"/>
      <c r="BC85" s="193"/>
      <c r="BD85" s="119"/>
      <c r="BE85" s="200"/>
      <c r="BF85" s="200"/>
    </row>
    <row r="86" spans="1:58" ht="15.75" hidden="1" x14ac:dyDescent="0.25">
      <c r="A86" s="172">
        <v>44398</v>
      </c>
      <c r="B86" s="172">
        <v>44407</v>
      </c>
      <c r="C86" s="185">
        <v>44424</v>
      </c>
      <c r="D86" s="172"/>
      <c r="E86" s="173"/>
      <c r="F86" s="174">
        <v>92710354</v>
      </c>
      <c r="G86" s="175" t="s">
        <v>843</v>
      </c>
      <c r="H86" s="219">
        <v>92717733</v>
      </c>
      <c r="I86" s="121" t="s">
        <v>665</v>
      </c>
      <c r="J86" s="187">
        <v>20112</v>
      </c>
      <c r="K86" s="176" t="s">
        <v>750</v>
      </c>
      <c r="L86" s="177">
        <f>A86+60</f>
        <v>44458</v>
      </c>
      <c r="M86" s="119"/>
      <c r="N86" s="119"/>
      <c r="O86" s="119"/>
      <c r="P86" s="119"/>
      <c r="Q86" s="119"/>
      <c r="R86" s="194"/>
      <c r="S86" s="119"/>
      <c r="T86" s="119"/>
      <c r="U86" s="119"/>
      <c r="V86" s="119"/>
      <c r="W86" s="199"/>
      <c r="X86" s="180"/>
      <c r="Y86" s="180"/>
      <c r="Z86" s="180"/>
      <c r="AA86" s="180"/>
      <c r="AB86" s="180"/>
      <c r="AC86" s="180"/>
      <c r="AD86" s="180"/>
      <c r="AE86" s="180"/>
      <c r="AF86" s="180"/>
      <c r="AG86" s="180"/>
      <c r="AH86" s="180"/>
      <c r="AI86" s="180"/>
      <c r="AJ86" s="180"/>
      <c r="AK86" s="180"/>
      <c r="AL86" s="180"/>
      <c r="AM86" s="180"/>
      <c r="AN86" s="180"/>
      <c r="AO86" s="180"/>
      <c r="AP86" s="180"/>
      <c r="AQ86" s="180"/>
      <c r="AR86" s="180"/>
      <c r="AS86" s="180"/>
      <c r="AT86" s="180"/>
      <c r="AU86" s="180"/>
      <c r="AV86" s="180"/>
      <c r="AW86" s="180"/>
      <c r="AX86" s="180"/>
      <c r="AY86" s="180"/>
      <c r="AZ86" s="181">
        <f t="shared" si="12"/>
        <v>0</v>
      </c>
      <c r="BA86" s="193"/>
      <c r="BB86" s="193"/>
      <c r="BC86" s="193"/>
      <c r="BD86" s="119"/>
      <c r="BE86" s="200"/>
      <c r="BF86" s="200"/>
    </row>
    <row r="87" spans="1:58" ht="15.75" hidden="1" x14ac:dyDescent="0.25">
      <c r="A87" s="172">
        <v>44385</v>
      </c>
      <c r="B87" s="172">
        <v>44387</v>
      </c>
      <c r="C87" s="185">
        <v>44410</v>
      </c>
      <c r="D87" s="172"/>
      <c r="E87" s="173"/>
      <c r="F87" s="174">
        <v>92702781</v>
      </c>
      <c r="G87" s="175" t="s">
        <v>844</v>
      </c>
      <c r="H87" s="219">
        <v>92711569</v>
      </c>
      <c r="I87" s="121" t="s">
        <v>668</v>
      </c>
      <c r="J87" s="187">
        <v>24318.6</v>
      </c>
      <c r="K87" s="176" t="s">
        <v>742</v>
      </c>
      <c r="L87" s="177">
        <f>A87+60</f>
        <v>44445</v>
      </c>
      <c r="M87" s="119"/>
      <c r="N87" s="119"/>
      <c r="O87" s="119"/>
      <c r="P87" s="119"/>
      <c r="Q87" s="119"/>
      <c r="R87" s="194"/>
      <c r="S87" s="119"/>
      <c r="T87" s="119"/>
      <c r="U87" s="119"/>
      <c r="V87" s="119"/>
      <c r="W87" s="199"/>
      <c r="X87" s="180"/>
      <c r="Y87" s="180"/>
      <c r="Z87" s="180"/>
      <c r="AA87" s="180"/>
      <c r="AB87" s="180"/>
      <c r="AC87" s="180"/>
      <c r="AD87" s="180"/>
      <c r="AE87" s="180"/>
      <c r="AF87" s="180"/>
      <c r="AG87" s="180"/>
      <c r="AH87" s="180"/>
      <c r="AI87" s="180"/>
      <c r="AJ87" s="180"/>
      <c r="AK87" s="180"/>
      <c r="AL87" s="180"/>
      <c r="AM87" s="180"/>
      <c r="AN87" s="180"/>
      <c r="AO87" s="180"/>
      <c r="AP87" s="180"/>
      <c r="AQ87" s="180"/>
      <c r="AR87" s="180"/>
      <c r="AS87" s="180"/>
      <c r="AT87" s="180"/>
      <c r="AU87" s="180"/>
      <c r="AV87" s="180"/>
      <c r="AW87" s="180"/>
      <c r="AX87" s="180"/>
      <c r="AY87" s="180"/>
      <c r="AZ87" s="181">
        <f t="shared" si="12"/>
        <v>0</v>
      </c>
      <c r="BA87" s="193"/>
      <c r="BB87" s="193"/>
      <c r="BC87" s="193"/>
      <c r="BD87" s="119"/>
      <c r="BE87" s="200"/>
      <c r="BF87" s="200"/>
    </row>
    <row r="88" spans="1:58" ht="15.75" hidden="1" x14ac:dyDescent="0.25">
      <c r="A88" s="172"/>
      <c r="B88" s="172"/>
      <c r="C88" s="185"/>
      <c r="D88" s="172"/>
      <c r="E88" s="173"/>
      <c r="F88" s="210" t="s">
        <v>796</v>
      </c>
      <c r="G88" s="211" t="s">
        <v>845</v>
      </c>
      <c r="H88" s="219"/>
      <c r="I88" s="212" t="s">
        <v>665</v>
      </c>
      <c r="J88" s="187"/>
      <c r="K88" s="214" t="s">
        <v>750</v>
      </c>
      <c r="L88" s="177"/>
      <c r="M88" s="119"/>
      <c r="N88" s="119"/>
      <c r="O88" s="119"/>
      <c r="P88" s="119"/>
      <c r="Q88" s="119"/>
      <c r="R88" s="194"/>
      <c r="S88" s="119"/>
      <c r="T88" s="119"/>
      <c r="U88" s="119"/>
      <c r="V88" s="119"/>
      <c r="W88" s="199"/>
      <c r="X88" s="180"/>
      <c r="Y88" s="180"/>
      <c r="Z88" s="180"/>
      <c r="AA88" s="180"/>
      <c r="AB88" s="180"/>
      <c r="AC88" s="180"/>
      <c r="AD88" s="180"/>
      <c r="AE88" s="180"/>
      <c r="AF88" s="180"/>
      <c r="AG88" s="180"/>
      <c r="AH88" s="180"/>
      <c r="AI88" s="180"/>
      <c r="AJ88" s="180"/>
      <c r="AK88" s="180"/>
      <c r="AL88" s="180"/>
      <c r="AM88" s="180"/>
      <c r="AN88" s="180"/>
      <c r="AO88" s="180"/>
      <c r="AP88" s="180"/>
      <c r="AQ88" s="180"/>
      <c r="AR88" s="180"/>
      <c r="AS88" s="180"/>
      <c r="AT88" s="180"/>
      <c r="AU88" s="180"/>
      <c r="AV88" s="180"/>
      <c r="AW88" s="180"/>
      <c r="AX88" s="180"/>
      <c r="AY88" s="180"/>
      <c r="AZ88" s="181">
        <f t="shared" si="12"/>
        <v>0</v>
      </c>
      <c r="BA88" s="193"/>
      <c r="BB88" s="193"/>
      <c r="BC88" s="193"/>
      <c r="BD88" s="119"/>
      <c r="BE88" s="200"/>
      <c r="BF88" s="200"/>
    </row>
    <row r="89" spans="1:58" ht="15.75" hidden="1" x14ac:dyDescent="0.25">
      <c r="A89" s="172"/>
      <c r="B89" s="172"/>
      <c r="C89" s="185"/>
      <c r="D89" s="172"/>
      <c r="E89" s="173"/>
      <c r="F89" s="221" t="s">
        <v>846</v>
      </c>
      <c r="G89" s="211" t="s">
        <v>847</v>
      </c>
      <c r="H89" s="222"/>
      <c r="I89" s="212" t="s">
        <v>665</v>
      </c>
      <c r="J89" s="213"/>
      <c r="K89" s="214" t="s">
        <v>750</v>
      </c>
      <c r="L89" s="177"/>
      <c r="M89" s="119"/>
      <c r="N89" s="119"/>
      <c r="O89" s="119"/>
      <c r="P89" s="119"/>
      <c r="Q89" s="119"/>
      <c r="R89" s="194"/>
      <c r="S89" s="119"/>
      <c r="T89" s="119"/>
      <c r="U89" s="119"/>
      <c r="V89" s="119"/>
      <c r="W89" s="199"/>
      <c r="X89" s="180"/>
      <c r="Y89" s="180"/>
      <c r="Z89" s="180"/>
      <c r="AA89" s="180"/>
      <c r="AB89" s="180"/>
      <c r="AC89" s="180"/>
      <c r="AD89" s="180"/>
      <c r="AE89" s="180"/>
      <c r="AF89" s="180"/>
      <c r="AG89" s="180"/>
      <c r="AH89" s="180"/>
      <c r="AI89" s="180"/>
      <c r="AJ89" s="180"/>
      <c r="AK89" s="180"/>
      <c r="AL89" s="180"/>
      <c r="AM89" s="180"/>
      <c r="AN89" s="180"/>
      <c r="AO89" s="180"/>
      <c r="AP89" s="180"/>
      <c r="AQ89" s="180"/>
      <c r="AR89" s="180"/>
      <c r="AS89" s="180"/>
      <c r="AT89" s="180"/>
      <c r="AU89" s="180"/>
      <c r="AV89" s="180"/>
      <c r="AW89" s="180"/>
      <c r="AX89" s="180"/>
      <c r="AY89" s="180"/>
      <c r="AZ89" s="181">
        <f t="shared" si="12"/>
        <v>0</v>
      </c>
      <c r="BA89" s="193"/>
      <c r="BB89" s="193"/>
      <c r="BC89" s="193"/>
      <c r="BD89" s="119"/>
      <c r="BE89" s="200"/>
      <c r="BF89" s="200"/>
    </row>
    <row r="90" spans="1:58" ht="15.75" hidden="1" x14ac:dyDescent="0.25">
      <c r="A90" s="172">
        <v>44406</v>
      </c>
      <c r="B90" s="172">
        <v>44408</v>
      </c>
      <c r="C90" s="185">
        <v>44430</v>
      </c>
      <c r="D90" s="172"/>
      <c r="E90" s="173"/>
      <c r="F90" s="174">
        <v>92712792</v>
      </c>
      <c r="G90" s="175" t="s">
        <v>848</v>
      </c>
      <c r="H90" s="219">
        <v>92721645</v>
      </c>
      <c r="I90" s="121" t="s">
        <v>668</v>
      </c>
      <c r="J90" s="187">
        <v>23804.28</v>
      </c>
      <c r="K90" s="176" t="s">
        <v>742</v>
      </c>
      <c r="L90" s="177">
        <f>A90+60</f>
        <v>44466</v>
      </c>
      <c r="M90" s="119"/>
      <c r="N90" s="119"/>
      <c r="O90" s="119"/>
      <c r="P90" s="119"/>
      <c r="Q90" s="119"/>
      <c r="R90" s="194"/>
      <c r="S90" s="119"/>
      <c r="T90" s="119"/>
      <c r="U90" s="119"/>
      <c r="V90" s="119"/>
      <c r="W90" s="199"/>
      <c r="X90" s="180"/>
      <c r="Y90" s="180"/>
      <c r="Z90" s="180"/>
      <c r="AA90" s="180"/>
      <c r="AB90" s="180"/>
      <c r="AC90" s="180"/>
      <c r="AD90" s="180"/>
      <c r="AE90" s="180"/>
      <c r="AF90" s="180"/>
      <c r="AG90" s="180"/>
      <c r="AH90" s="180"/>
      <c r="AI90" s="180"/>
      <c r="AJ90" s="180"/>
      <c r="AK90" s="180"/>
      <c r="AL90" s="180"/>
      <c r="AM90" s="180"/>
      <c r="AN90" s="180"/>
      <c r="AO90" s="180"/>
      <c r="AP90" s="180"/>
      <c r="AQ90" s="180"/>
      <c r="AR90" s="180"/>
      <c r="AS90" s="180"/>
      <c r="AT90" s="180"/>
      <c r="AU90" s="180"/>
      <c r="AV90" s="180"/>
      <c r="AW90" s="180"/>
      <c r="AX90" s="180"/>
      <c r="AY90" s="180"/>
      <c r="AZ90" s="181">
        <f>AS90</f>
        <v>0</v>
      </c>
      <c r="BA90" s="193"/>
      <c r="BB90" s="193"/>
      <c r="BC90" s="193"/>
      <c r="BD90" s="119"/>
      <c r="BE90" s="200"/>
      <c r="BF90" s="200"/>
    </row>
    <row r="91" spans="1:58" ht="15.75" hidden="1" x14ac:dyDescent="0.25">
      <c r="A91" s="172">
        <v>44411</v>
      </c>
      <c r="B91" s="172">
        <v>44417</v>
      </c>
      <c r="C91" s="185">
        <v>44434</v>
      </c>
      <c r="D91" s="172"/>
      <c r="E91" s="173"/>
      <c r="F91" s="174">
        <v>92719541</v>
      </c>
      <c r="G91" s="175" t="s">
        <v>849</v>
      </c>
      <c r="H91" s="219">
        <v>92724216</v>
      </c>
      <c r="I91" s="121" t="s">
        <v>665</v>
      </c>
      <c r="J91" s="187">
        <v>19896.12</v>
      </c>
      <c r="K91" s="176" t="s">
        <v>46</v>
      </c>
      <c r="L91" s="177">
        <f t="shared" ref="L91:L100" si="13">A91+60</f>
        <v>44471</v>
      </c>
      <c r="M91" s="119"/>
      <c r="N91" s="119"/>
      <c r="O91" s="119"/>
      <c r="P91" s="119"/>
      <c r="Q91" s="119"/>
      <c r="R91" s="194"/>
      <c r="S91" s="119"/>
      <c r="T91" s="119"/>
      <c r="U91" s="119"/>
      <c r="V91" s="119"/>
      <c r="W91" s="199"/>
      <c r="X91" s="180"/>
      <c r="Y91" s="180"/>
      <c r="Z91" s="180"/>
      <c r="AA91" s="180"/>
      <c r="AB91" s="180"/>
      <c r="AC91" s="180"/>
      <c r="AD91" s="180"/>
      <c r="AE91" s="180"/>
      <c r="AF91" s="180"/>
      <c r="AG91" s="180"/>
      <c r="AH91" s="180"/>
      <c r="AI91" s="180"/>
      <c r="AJ91" s="180"/>
      <c r="AK91" s="180"/>
      <c r="AL91" s="180"/>
      <c r="AM91" s="180"/>
      <c r="AN91" s="180"/>
      <c r="AO91" s="180"/>
      <c r="AP91" s="180"/>
      <c r="AQ91" s="180"/>
      <c r="AR91" s="180"/>
      <c r="AS91" s="180"/>
      <c r="AT91" s="180"/>
      <c r="AU91" s="180"/>
      <c r="AV91" s="180"/>
      <c r="AW91" s="180"/>
      <c r="AX91" s="180"/>
      <c r="AY91" s="180"/>
      <c r="AZ91" s="181">
        <f>AT91</f>
        <v>0</v>
      </c>
      <c r="BA91" s="193"/>
      <c r="BB91" s="193"/>
      <c r="BC91" s="193"/>
      <c r="BD91" s="119"/>
      <c r="BE91" s="200"/>
      <c r="BF91" s="200"/>
    </row>
    <row r="92" spans="1:58" ht="15.75" hidden="1" x14ac:dyDescent="0.25">
      <c r="A92" s="172">
        <v>44433</v>
      </c>
      <c r="B92" s="172">
        <v>44437</v>
      </c>
      <c r="C92" s="185">
        <v>44454</v>
      </c>
      <c r="D92" s="172"/>
      <c r="E92" s="173"/>
      <c r="F92" s="174">
        <v>92728867</v>
      </c>
      <c r="G92" s="175" t="s">
        <v>850</v>
      </c>
      <c r="H92" s="219">
        <v>92734571</v>
      </c>
      <c r="I92" s="121" t="s">
        <v>851</v>
      </c>
      <c r="J92" s="187">
        <v>23730.48</v>
      </c>
      <c r="K92" s="176" t="s">
        <v>852</v>
      </c>
      <c r="L92" s="177">
        <f t="shared" si="13"/>
        <v>44493</v>
      </c>
      <c r="M92" s="119"/>
      <c r="N92" s="119"/>
      <c r="O92" s="119"/>
      <c r="P92" s="119"/>
      <c r="Q92" s="119"/>
      <c r="R92" s="194"/>
      <c r="S92" s="119"/>
      <c r="T92" s="119"/>
      <c r="U92" s="119"/>
      <c r="V92" s="119"/>
      <c r="W92" s="199"/>
      <c r="X92" s="180"/>
      <c r="Y92" s="180"/>
      <c r="Z92" s="180"/>
      <c r="AA92" s="180"/>
      <c r="AB92" s="180"/>
      <c r="AC92" s="180"/>
      <c r="AD92" s="180"/>
      <c r="AE92" s="180"/>
      <c r="AF92" s="180"/>
      <c r="AG92" s="180"/>
      <c r="AH92" s="180"/>
      <c r="AI92" s="180"/>
      <c r="AJ92" s="180"/>
      <c r="AK92" s="180"/>
      <c r="AL92" s="180"/>
      <c r="AM92" s="180"/>
      <c r="AN92" s="180"/>
      <c r="AO92" s="180"/>
      <c r="AP92" s="180"/>
      <c r="AQ92" s="180"/>
      <c r="AR92" s="180"/>
      <c r="AS92" s="180"/>
      <c r="AT92" s="180"/>
      <c r="AU92" s="180"/>
      <c r="AV92" s="180"/>
      <c r="AW92" s="180"/>
      <c r="AX92" s="180"/>
      <c r="AY92" s="180"/>
      <c r="AZ92" s="181">
        <f>AT92</f>
        <v>0</v>
      </c>
      <c r="BA92" s="193"/>
      <c r="BB92" s="193"/>
      <c r="BC92" s="193"/>
      <c r="BD92" s="119"/>
      <c r="BE92" s="200"/>
      <c r="BF92" s="200"/>
    </row>
    <row r="93" spans="1:58" ht="15.75" hidden="1" x14ac:dyDescent="0.25">
      <c r="A93" s="172">
        <v>44434</v>
      </c>
      <c r="B93" s="172">
        <v>44437</v>
      </c>
      <c r="C93" s="185">
        <v>44458</v>
      </c>
      <c r="D93" s="172"/>
      <c r="E93" s="173"/>
      <c r="F93" s="174">
        <v>92727693</v>
      </c>
      <c r="G93" s="175" t="s">
        <v>853</v>
      </c>
      <c r="H93" s="219">
        <v>92735200</v>
      </c>
      <c r="I93" s="121" t="s">
        <v>668</v>
      </c>
      <c r="J93" s="187">
        <v>27617.200000000001</v>
      </c>
      <c r="K93" s="176" t="s">
        <v>742</v>
      </c>
      <c r="L93" s="177">
        <f t="shared" si="13"/>
        <v>44494</v>
      </c>
      <c r="M93" s="119"/>
      <c r="N93" s="119"/>
      <c r="O93" s="119"/>
      <c r="P93" s="119"/>
      <c r="Q93" s="119"/>
      <c r="R93" s="194"/>
      <c r="S93" s="119"/>
      <c r="T93" s="119"/>
      <c r="U93" s="119"/>
      <c r="V93" s="119"/>
      <c r="W93" s="199"/>
      <c r="X93" s="180"/>
      <c r="Y93" s="180"/>
      <c r="Z93" s="180"/>
      <c r="AA93" s="180"/>
      <c r="AB93" s="180"/>
      <c r="AC93" s="180"/>
      <c r="AD93" s="180"/>
      <c r="AE93" s="180"/>
      <c r="AF93" s="180"/>
      <c r="AG93" s="180"/>
      <c r="AH93" s="180"/>
      <c r="AI93" s="180"/>
      <c r="AJ93" s="180"/>
      <c r="AK93" s="180"/>
      <c r="AL93" s="180"/>
      <c r="AM93" s="180"/>
      <c r="AN93" s="180"/>
      <c r="AO93" s="180"/>
      <c r="AP93" s="180"/>
      <c r="AQ93" s="180"/>
      <c r="AR93" s="180"/>
      <c r="AS93" s="180"/>
      <c r="AT93" s="180"/>
      <c r="AU93" s="180"/>
      <c r="AV93" s="180"/>
      <c r="AW93" s="180"/>
      <c r="AX93" s="180"/>
      <c r="AY93" s="180"/>
      <c r="AZ93" s="181">
        <f>AT93</f>
        <v>0</v>
      </c>
      <c r="BA93" s="193"/>
      <c r="BB93" s="193"/>
      <c r="BC93" s="193"/>
      <c r="BD93" s="119"/>
      <c r="BE93" s="200"/>
      <c r="BF93" s="200"/>
    </row>
    <row r="94" spans="1:58" ht="15.75" hidden="1" x14ac:dyDescent="0.25">
      <c r="A94" s="172">
        <v>44473</v>
      </c>
      <c r="B94" s="172">
        <v>44475</v>
      </c>
      <c r="C94" s="185">
        <v>44494</v>
      </c>
      <c r="D94" s="172"/>
      <c r="E94" s="173"/>
      <c r="F94" s="174"/>
      <c r="G94" s="175" t="s">
        <v>854</v>
      </c>
      <c r="H94" s="219">
        <v>92744649</v>
      </c>
      <c r="I94" s="121" t="s">
        <v>665</v>
      </c>
      <c r="J94" s="187">
        <v>20552.64</v>
      </c>
      <c r="K94" s="176" t="s">
        <v>54</v>
      </c>
      <c r="L94" s="177">
        <f t="shared" si="13"/>
        <v>44533</v>
      </c>
      <c r="M94" s="119"/>
      <c r="N94" s="119"/>
      <c r="O94" s="119"/>
      <c r="P94" s="119"/>
      <c r="Q94" s="119"/>
      <c r="R94" s="194"/>
      <c r="S94" s="119"/>
      <c r="T94" s="119"/>
      <c r="U94" s="119"/>
      <c r="V94" s="119"/>
      <c r="W94" s="199"/>
      <c r="X94" s="180"/>
      <c r="Y94" s="180"/>
      <c r="Z94" s="180"/>
      <c r="AA94" s="180"/>
      <c r="AB94" s="180"/>
      <c r="AC94" s="180"/>
      <c r="AD94" s="180"/>
      <c r="AE94" s="180"/>
      <c r="AF94" s="180"/>
      <c r="AG94" s="180"/>
      <c r="AH94" s="180"/>
      <c r="AI94" s="180"/>
      <c r="AJ94" s="180"/>
      <c r="AK94" s="180"/>
      <c r="AL94" s="180"/>
      <c r="AM94" s="180"/>
      <c r="AN94" s="180"/>
      <c r="AO94" s="180"/>
      <c r="AP94" s="180"/>
      <c r="AQ94" s="180"/>
      <c r="AR94" s="180"/>
      <c r="AS94" s="180"/>
      <c r="AT94" s="180"/>
      <c r="AU94" s="223"/>
      <c r="AV94" s="180"/>
      <c r="AW94" s="180"/>
      <c r="AX94" s="180"/>
      <c r="AY94" s="180"/>
      <c r="AZ94" s="181">
        <f>AV94</f>
        <v>0</v>
      </c>
      <c r="BA94" s="193"/>
      <c r="BB94" s="193"/>
      <c r="BC94" s="193"/>
      <c r="BD94" s="119"/>
      <c r="BE94" s="200"/>
      <c r="BF94" s="200"/>
    </row>
    <row r="95" spans="1:58" ht="15.75" hidden="1" x14ac:dyDescent="0.25">
      <c r="A95" s="172">
        <v>44473</v>
      </c>
      <c r="B95" s="172">
        <v>44477</v>
      </c>
      <c r="C95" s="185">
        <v>44506</v>
      </c>
      <c r="D95" s="172"/>
      <c r="E95" s="173"/>
      <c r="F95" s="174">
        <v>92740573</v>
      </c>
      <c r="G95" s="175" t="s">
        <v>855</v>
      </c>
      <c r="H95" s="219">
        <v>92753335</v>
      </c>
      <c r="I95" s="121" t="s">
        <v>665</v>
      </c>
      <c r="J95" s="187">
        <v>19741.439999999999</v>
      </c>
      <c r="K95" s="176" t="s">
        <v>54</v>
      </c>
      <c r="L95" s="177">
        <v>44564</v>
      </c>
      <c r="M95" s="119"/>
      <c r="N95" s="119"/>
      <c r="O95" s="119"/>
      <c r="P95" s="119"/>
      <c r="Q95" s="119"/>
      <c r="R95" s="194"/>
      <c r="S95" s="119"/>
      <c r="T95" s="119"/>
      <c r="U95" s="119"/>
      <c r="V95" s="119"/>
      <c r="W95" s="199"/>
      <c r="X95" s="180"/>
      <c r="Y95" s="180"/>
      <c r="Z95" s="180"/>
      <c r="AA95" s="180"/>
      <c r="AB95" s="180"/>
      <c r="AC95" s="180"/>
      <c r="AD95" s="180"/>
      <c r="AE95" s="180"/>
      <c r="AF95" s="180"/>
      <c r="AG95" s="180"/>
      <c r="AH95" s="180"/>
      <c r="AI95" s="180"/>
      <c r="AJ95" s="180"/>
      <c r="AK95" s="180"/>
      <c r="AL95" s="180"/>
      <c r="AM95" s="180"/>
      <c r="AN95" s="180"/>
      <c r="AO95" s="180"/>
      <c r="AP95" s="180"/>
      <c r="AQ95" s="180"/>
      <c r="AR95" s="180"/>
      <c r="AS95" s="180"/>
      <c r="AT95" s="180"/>
      <c r="AU95" s="223"/>
      <c r="AV95" s="180">
        <v>0</v>
      </c>
      <c r="AW95" s="180">
        <f>+J95</f>
        <v>19741.439999999999</v>
      </c>
      <c r="AX95" s="180"/>
      <c r="AY95" s="180"/>
      <c r="AZ95" s="181">
        <f>+AW95</f>
        <v>19741.439999999999</v>
      </c>
      <c r="BA95" s="193"/>
      <c r="BB95" s="193"/>
      <c r="BC95" s="193"/>
      <c r="BD95" s="119"/>
      <c r="BE95" s="200"/>
      <c r="BF95" s="200"/>
    </row>
    <row r="96" spans="1:58" ht="15.75" hidden="1" x14ac:dyDescent="0.25">
      <c r="A96" s="172">
        <v>44461</v>
      </c>
      <c r="B96" s="172">
        <v>44464</v>
      </c>
      <c r="C96" s="185">
        <v>44486</v>
      </c>
      <c r="D96" s="172"/>
      <c r="E96" s="173"/>
      <c r="F96" s="174">
        <v>92740568</v>
      </c>
      <c r="G96" s="175" t="s">
        <v>856</v>
      </c>
      <c r="H96" s="219">
        <v>92748302</v>
      </c>
      <c r="I96" s="121" t="s">
        <v>668</v>
      </c>
      <c r="J96" s="187">
        <v>24349.8</v>
      </c>
      <c r="K96" s="176" t="s">
        <v>742</v>
      </c>
      <c r="L96" s="177">
        <f t="shared" si="13"/>
        <v>44521</v>
      </c>
      <c r="M96" s="119"/>
      <c r="N96" s="119"/>
      <c r="O96" s="119"/>
      <c r="P96" s="119"/>
      <c r="Q96" s="119"/>
      <c r="R96" s="194"/>
      <c r="S96" s="119"/>
      <c r="T96" s="119"/>
      <c r="U96" s="119"/>
      <c r="V96" s="119"/>
      <c r="W96" s="199"/>
      <c r="X96" s="180"/>
      <c r="Y96" s="180"/>
      <c r="Z96" s="180"/>
      <c r="AA96" s="180"/>
      <c r="AB96" s="180"/>
      <c r="AC96" s="180"/>
      <c r="AD96" s="180"/>
      <c r="AE96" s="180"/>
      <c r="AF96" s="180"/>
      <c r="AG96" s="180"/>
      <c r="AH96" s="180"/>
      <c r="AI96" s="180"/>
      <c r="AJ96" s="180"/>
      <c r="AK96" s="180"/>
      <c r="AL96" s="180"/>
      <c r="AM96" s="180"/>
      <c r="AN96" s="180"/>
      <c r="AO96" s="180"/>
      <c r="AP96" s="180"/>
      <c r="AQ96" s="180"/>
      <c r="AR96" s="180"/>
      <c r="AS96" s="180"/>
      <c r="AT96" s="180"/>
      <c r="AU96" s="180"/>
      <c r="AV96" s="180"/>
      <c r="AW96" s="180"/>
      <c r="AX96" s="180"/>
      <c r="AY96" s="180"/>
      <c r="AZ96" s="181">
        <f>AU96</f>
        <v>0</v>
      </c>
      <c r="BA96" s="193"/>
      <c r="BB96" s="193"/>
      <c r="BC96" s="193"/>
      <c r="BD96" s="119"/>
      <c r="BE96" s="200"/>
      <c r="BF96" s="200"/>
    </row>
    <row r="97" spans="1:58" ht="15.75" hidden="1" x14ac:dyDescent="0.25">
      <c r="A97" s="172">
        <v>44469</v>
      </c>
      <c r="B97" s="172">
        <v>44475</v>
      </c>
      <c r="C97" s="185">
        <v>44494</v>
      </c>
      <c r="D97" s="172"/>
      <c r="E97" s="173"/>
      <c r="F97" s="174">
        <v>92740569</v>
      </c>
      <c r="G97" s="175" t="s">
        <v>857</v>
      </c>
      <c r="H97" s="219">
        <v>92752190</v>
      </c>
      <c r="I97" s="121" t="s">
        <v>665</v>
      </c>
      <c r="J97" s="187">
        <v>20497.2</v>
      </c>
      <c r="K97" s="176" t="s">
        <v>46</v>
      </c>
      <c r="L97" s="177">
        <f t="shared" si="13"/>
        <v>44529</v>
      </c>
      <c r="M97" s="119"/>
      <c r="N97" s="119"/>
      <c r="O97" s="119"/>
      <c r="P97" s="119"/>
      <c r="Q97" s="119"/>
      <c r="R97" s="194"/>
      <c r="S97" s="119"/>
      <c r="T97" s="119"/>
      <c r="U97" s="119"/>
      <c r="V97" s="119"/>
      <c r="W97" s="199"/>
      <c r="X97" s="180"/>
      <c r="Y97" s="180"/>
      <c r="Z97" s="180"/>
      <c r="AA97" s="180"/>
      <c r="AB97" s="180"/>
      <c r="AC97" s="180"/>
      <c r="AD97" s="180"/>
      <c r="AE97" s="180"/>
      <c r="AF97" s="180"/>
      <c r="AG97" s="180"/>
      <c r="AH97" s="180"/>
      <c r="AI97" s="180"/>
      <c r="AJ97" s="180"/>
      <c r="AK97" s="180"/>
      <c r="AL97" s="180"/>
      <c r="AM97" s="180"/>
      <c r="AN97" s="180"/>
      <c r="AO97" s="180"/>
      <c r="AP97" s="180"/>
      <c r="AQ97" s="180"/>
      <c r="AR97" s="180"/>
      <c r="AS97" s="180"/>
      <c r="AT97" s="180"/>
      <c r="AU97" s="180"/>
      <c r="AV97" s="180"/>
      <c r="AW97" s="180"/>
      <c r="AX97" s="180"/>
      <c r="AY97" s="180"/>
      <c r="AZ97" s="181">
        <f>AU97</f>
        <v>0</v>
      </c>
      <c r="BA97" s="193"/>
      <c r="BB97" s="193"/>
      <c r="BC97" s="193"/>
      <c r="BD97" s="119"/>
      <c r="BE97" s="200"/>
      <c r="BF97" s="200"/>
    </row>
    <row r="98" spans="1:58" ht="15.75" hidden="1" x14ac:dyDescent="0.25">
      <c r="A98" s="172">
        <v>44494</v>
      </c>
      <c r="B98" s="172">
        <v>44498</v>
      </c>
      <c r="C98" s="185">
        <v>44514</v>
      </c>
      <c r="D98" s="172"/>
      <c r="E98" s="173"/>
      <c r="F98" s="174">
        <v>92753314</v>
      </c>
      <c r="G98" s="175" t="s">
        <v>858</v>
      </c>
      <c r="H98" s="219">
        <v>92763242</v>
      </c>
      <c r="I98" s="121" t="s">
        <v>665</v>
      </c>
      <c r="J98" s="187">
        <v>20040</v>
      </c>
      <c r="K98" s="176" t="s">
        <v>54</v>
      </c>
      <c r="L98" s="177">
        <f t="shared" si="13"/>
        <v>44554</v>
      </c>
      <c r="M98" s="119"/>
      <c r="N98" s="119"/>
      <c r="O98" s="119"/>
      <c r="P98" s="119"/>
      <c r="Q98" s="119"/>
      <c r="R98" s="194"/>
      <c r="S98" s="119"/>
      <c r="T98" s="119"/>
      <c r="U98" s="119"/>
      <c r="V98" s="119"/>
      <c r="W98" s="199"/>
      <c r="X98" s="180"/>
      <c r="Y98" s="180"/>
      <c r="Z98" s="180"/>
      <c r="AA98" s="180"/>
      <c r="AB98" s="180"/>
      <c r="AC98" s="180"/>
      <c r="AD98" s="180"/>
      <c r="AE98" s="180"/>
      <c r="AF98" s="180"/>
      <c r="AG98" s="180"/>
      <c r="AH98" s="180"/>
      <c r="AI98" s="180"/>
      <c r="AJ98" s="180"/>
      <c r="AK98" s="180"/>
      <c r="AL98" s="180"/>
      <c r="AM98" s="180"/>
      <c r="AN98" s="180"/>
      <c r="AO98" s="180"/>
      <c r="AP98" s="180"/>
      <c r="AQ98" s="180"/>
      <c r="AR98" s="180"/>
      <c r="AS98" s="180"/>
      <c r="AT98" s="180"/>
      <c r="AU98" s="180"/>
      <c r="AV98" s="180"/>
      <c r="AW98" s="180"/>
      <c r="AX98" s="180"/>
      <c r="AY98" s="180"/>
      <c r="AZ98" s="181">
        <f>AV98</f>
        <v>0</v>
      </c>
      <c r="BA98" s="193"/>
      <c r="BB98" s="193"/>
      <c r="BC98" s="193"/>
      <c r="BD98" s="119"/>
      <c r="BE98" s="200"/>
      <c r="BF98" s="200"/>
    </row>
    <row r="99" spans="1:58" ht="15.75" hidden="1" x14ac:dyDescent="0.25">
      <c r="A99" s="172">
        <v>44483</v>
      </c>
      <c r="B99" s="172">
        <v>44486</v>
      </c>
      <c r="C99" s="185">
        <v>44507</v>
      </c>
      <c r="D99" s="172"/>
      <c r="E99" s="173"/>
      <c r="F99" s="174">
        <v>92748965</v>
      </c>
      <c r="G99" s="175" t="s">
        <v>859</v>
      </c>
      <c r="H99" s="219">
        <v>92758835</v>
      </c>
      <c r="I99" s="121" t="s">
        <v>668</v>
      </c>
      <c r="J99" s="187">
        <v>28009.200000000001</v>
      </c>
      <c r="K99" s="176" t="s">
        <v>742</v>
      </c>
      <c r="L99" s="177">
        <f t="shared" si="13"/>
        <v>44543</v>
      </c>
      <c r="M99" s="224"/>
      <c r="N99" s="224"/>
      <c r="O99" s="224"/>
      <c r="P99" s="224"/>
      <c r="Q99" s="224"/>
      <c r="R99" s="224"/>
      <c r="S99" s="224"/>
      <c r="T99" s="224"/>
      <c r="U99" s="224"/>
      <c r="V99" s="224"/>
      <c r="W99" s="225"/>
      <c r="X99" s="225"/>
      <c r="Y99" s="225"/>
      <c r="Z99" s="225"/>
      <c r="AA99" s="225"/>
      <c r="AB99" s="225"/>
      <c r="AC99" s="225"/>
      <c r="AD99" s="225"/>
      <c r="AE99" s="225"/>
      <c r="AF99" s="225"/>
      <c r="AG99" s="225"/>
      <c r="AH99" s="225"/>
      <c r="AI99" s="225"/>
      <c r="AJ99" s="225"/>
      <c r="AK99" s="225"/>
      <c r="AL99" s="225"/>
      <c r="AM99" s="225"/>
      <c r="AN99" s="225"/>
      <c r="AO99" s="225"/>
      <c r="AP99" s="225"/>
      <c r="AQ99" s="225"/>
      <c r="AR99" s="225"/>
      <c r="AS99" s="225"/>
      <c r="AT99" s="225"/>
      <c r="AU99" s="180"/>
      <c r="AV99" s="180"/>
      <c r="AW99" s="180"/>
      <c r="AX99" s="180"/>
      <c r="AY99" s="180"/>
      <c r="AZ99" s="181">
        <f>AV99</f>
        <v>0</v>
      </c>
      <c r="BA99" s="226"/>
      <c r="BB99" s="193"/>
      <c r="BC99" s="193"/>
      <c r="BD99" s="119"/>
      <c r="BE99" s="200"/>
      <c r="BF99" s="200"/>
    </row>
    <row r="100" spans="1:58" ht="15.75" hidden="1" x14ac:dyDescent="0.25">
      <c r="A100" s="172">
        <v>44489</v>
      </c>
      <c r="B100" s="172">
        <v>44498</v>
      </c>
      <c r="C100" s="185">
        <v>44514</v>
      </c>
      <c r="D100" s="172"/>
      <c r="E100" s="173"/>
      <c r="F100" s="174"/>
      <c r="G100" s="175" t="s">
        <v>860</v>
      </c>
      <c r="H100" s="219">
        <v>92761538</v>
      </c>
      <c r="I100" s="121" t="s">
        <v>665</v>
      </c>
      <c r="J100" s="187">
        <v>20052.12</v>
      </c>
      <c r="K100" s="176" t="s">
        <v>46</v>
      </c>
      <c r="L100" s="177">
        <f t="shared" si="13"/>
        <v>44549</v>
      </c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  <c r="W100" s="225"/>
      <c r="X100" s="225"/>
      <c r="Y100" s="225"/>
      <c r="Z100" s="225"/>
      <c r="AA100" s="225"/>
      <c r="AB100" s="225"/>
      <c r="AC100" s="225"/>
      <c r="AD100" s="225"/>
      <c r="AE100" s="225"/>
      <c r="AF100" s="225"/>
      <c r="AG100" s="225"/>
      <c r="AH100" s="225"/>
      <c r="AI100" s="225"/>
      <c r="AJ100" s="225"/>
      <c r="AK100" s="225"/>
      <c r="AL100" s="225"/>
      <c r="AM100" s="225"/>
      <c r="AN100" s="225"/>
      <c r="AO100" s="225"/>
      <c r="AP100" s="225"/>
      <c r="AQ100" s="225"/>
      <c r="AR100" s="225"/>
      <c r="AS100" s="225"/>
      <c r="AT100" s="225"/>
      <c r="AU100" s="180"/>
      <c r="AV100" s="180">
        <f>J100</f>
        <v>20052.12</v>
      </c>
      <c r="AW100" s="180"/>
      <c r="AX100" s="180"/>
      <c r="AY100" s="180"/>
      <c r="AZ100" s="181">
        <f>AV100</f>
        <v>20052.12</v>
      </c>
      <c r="BA100" s="226"/>
      <c r="BB100" s="193"/>
      <c r="BC100" s="193"/>
      <c r="BD100" s="119"/>
      <c r="BE100" s="200"/>
      <c r="BF100" s="200"/>
    </row>
    <row r="101" spans="1:58" ht="15.75" hidden="1" x14ac:dyDescent="0.25">
      <c r="A101" s="172">
        <v>44533</v>
      </c>
      <c r="B101" s="172">
        <v>44513</v>
      </c>
      <c r="C101" s="185">
        <v>44564</v>
      </c>
      <c r="D101" s="172"/>
      <c r="E101" s="173"/>
      <c r="F101" s="174">
        <v>92773495</v>
      </c>
      <c r="G101" s="175" t="s">
        <v>861</v>
      </c>
      <c r="H101" s="219">
        <v>92781508</v>
      </c>
      <c r="I101" s="121" t="s">
        <v>665</v>
      </c>
      <c r="J101" s="187">
        <v>19812.48</v>
      </c>
      <c r="K101" s="176" t="s">
        <v>54</v>
      </c>
      <c r="L101" s="177">
        <f>A101+60</f>
        <v>44593</v>
      </c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5"/>
      <c r="X101" s="225"/>
      <c r="Y101" s="225"/>
      <c r="Z101" s="225"/>
      <c r="AA101" s="225"/>
      <c r="AB101" s="225"/>
      <c r="AC101" s="225"/>
      <c r="AD101" s="225"/>
      <c r="AE101" s="225"/>
      <c r="AF101" s="225"/>
      <c r="AG101" s="225"/>
      <c r="AH101" s="225"/>
      <c r="AI101" s="225"/>
      <c r="AJ101" s="225"/>
      <c r="AK101" s="225"/>
      <c r="AL101" s="225"/>
      <c r="AM101" s="225"/>
      <c r="AN101" s="225"/>
      <c r="AO101" s="225"/>
      <c r="AP101" s="225"/>
      <c r="AQ101" s="225"/>
      <c r="AR101" s="225"/>
      <c r="AS101" s="225"/>
      <c r="AT101" s="225"/>
      <c r="AU101" s="180"/>
      <c r="AV101" s="180">
        <v>0</v>
      </c>
      <c r="AW101" s="180"/>
      <c r="AX101" s="180">
        <f>+J101</f>
        <v>19812.48</v>
      </c>
      <c r="AY101" s="180"/>
      <c r="AZ101" s="181">
        <f>+AX101</f>
        <v>19812.48</v>
      </c>
      <c r="BA101" s="226"/>
      <c r="BB101" s="193"/>
      <c r="BC101" s="193"/>
      <c r="BD101" s="119"/>
      <c r="BE101" s="200"/>
      <c r="BF101" s="200"/>
    </row>
    <row r="102" spans="1:58" ht="15.75" hidden="1" x14ac:dyDescent="0.25">
      <c r="A102" s="172">
        <v>44532</v>
      </c>
      <c r="B102" s="172">
        <v>44538</v>
      </c>
      <c r="C102" s="185">
        <v>44565</v>
      </c>
      <c r="D102" s="172"/>
      <c r="E102" s="173"/>
      <c r="F102" s="174">
        <v>92775171</v>
      </c>
      <c r="G102" s="175" t="s">
        <v>862</v>
      </c>
      <c r="H102" s="219">
        <v>92781106</v>
      </c>
      <c r="I102" s="121" t="s">
        <v>668</v>
      </c>
      <c r="J102" s="187">
        <v>24027.48</v>
      </c>
      <c r="K102" s="176" t="s">
        <v>742</v>
      </c>
      <c r="L102" s="177">
        <f>A102+60</f>
        <v>44592</v>
      </c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5"/>
      <c r="X102" s="225"/>
      <c r="Y102" s="225"/>
      <c r="Z102" s="225"/>
      <c r="AA102" s="225"/>
      <c r="AB102" s="225"/>
      <c r="AC102" s="225"/>
      <c r="AD102" s="225"/>
      <c r="AE102" s="225"/>
      <c r="AF102" s="225"/>
      <c r="AG102" s="225"/>
      <c r="AH102" s="225"/>
      <c r="AI102" s="225"/>
      <c r="AJ102" s="225"/>
      <c r="AK102" s="225"/>
      <c r="AL102" s="225"/>
      <c r="AM102" s="225"/>
      <c r="AN102" s="225"/>
      <c r="AO102" s="225"/>
      <c r="AP102" s="225"/>
      <c r="AQ102" s="225"/>
      <c r="AR102" s="225"/>
      <c r="AS102" s="225"/>
      <c r="AT102" s="225"/>
      <c r="AU102" s="180"/>
      <c r="AV102" s="180"/>
      <c r="AW102" s="180">
        <f>J102</f>
        <v>24027.48</v>
      </c>
      <c r="AX102" s="180"/>
      <c r="AY102" s="180"/>
      <c r="AZ102" s="181">
        <f>AW102</f>
        <v>24027.48</v>
      </c>
      <c r="BA102" s="226"/>
      <c r="BB102" s="193"/>
      <c r="BC102" s="193"/>
      <c r="BD102" s="119"/>
      <c r="BE102" s="200"/>
      <c r="BF102" s="200"/>
    </row>
    <row r="103" spans="1:58" ht="15.75" hidden="1" x14ac:dyDescent="0.25">
      <c r="A103" s="172">
        <v>44533</v>
      </c>
      <c r="B103" s="172">
        <v>44540</v>
      </c>
      <c r="C103" s="185">
        <v>44564</v>
      </c>
      <c r="D103" s="172"/>
      <c r="E103" s="173"/>
      <c r="F103" s="174">
        <v>92773589</v>
      </c>
      <c r="G103" s="175" t="s">
        <v>863</v>
      </c>
      <c r="H103" s="219">
        <v>92781453</v>
      </c>
      <c r="I103" s="121" t="s">
        <v>665</v>
      </c>
      <c r="J103" s="187">
        <v>19807.2</v>
      </c>
      <c r="K103" s="176" t="s">
        <v>46</v>
      </c>
      <c r="L103" s="177">
        <f>A103+60</f>
        <v>44593</v>
      </c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5"/>
      <c r="X103" s="225"/>
      <c r="Y103" s="225"/>
      <c r="Z103" s="225"/>
      <c r="AA103" s="225"/>
      <c r="AB103" s="225"/>
      <c r="AC103" s="225"/>
      <c r="AD103" s="225"/>
      <c r="AE103" s="225"/>
      <c r="AF103" s="225"/>
      <c r="AG103" s="225"/>
      <c r="AH103" s="225"/>
      <c r="AI103" s="225"/>
      <c r="AJ103" s="225"/>
      <c r="AK103" s="225"/>
      <c r="AL103" s="225"/>
      <c r="AM103" s="225"/>
      <c r="AN103" s="225"/>
      <c r="AO103" s="225"/>
      <c r="AP103" s="225"/>
      <c r="AQ103" s="225"/>
      <c r="AR103" s="225"/>
      <c r="AS103" s="225"/>
      <c r="AT103" s="225"/>
      <c r="AU103" s="225"/>
      <c r="AV103" s="180"/>
      <c r="AW103" s="180">
        <v>20521</v>
      </c>
      <c r="AX103" s="180"/>
      <c r="AY103" s="180"/>
      <c r="AZ103" s="181">
        <f>AW103</f>
        <v>20521</v>
      </c>
      <c r="BA103" s="226"/>
      <c r="BB103" s="193"/>
      <c r="BC103" s="193"/>
      <c r="BD103" s="119"/>
      <c r="BE103" s="200"/>
      <c r="BF103" s="200"/>
    </row>
    <row r="104" spans="1:58" ht="15.75" hidden="1" x14ac:dyDescent="0.25">
      <c r="A104" s="172">
        <v>44539</v>
      </c>
      <c r="B104" s="172">
        <v>44545</v>
      </c>
      <c r="C104" s="185">
        <v>44592</v>
      </c>
      <c r="D104" s="172"/>
      <c r="E104" s="173"/>
      <c r="F104" s="174">
        <v>92784197</v>
      </c>
      <c r="G104" s="175" t="s">
        <v>864</v>
      </c>
      <c r="H104" s="219">
        <v>92784317</v>
      </c>
      <c r="I104" s="121" t="s">
        <v>668</v>
      </c>
      <c r="J104" s="187">
        <v>24339.119999999999</v>
      </c>
      <c r="K104" s="176" t="s">
        <v>742</v>
      </c>
      <c r="L104" s="177">
        <v>44599</v>
      </c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  <c r="W104" s="225"/>
      <c r="X104" s="225"/>
      <c r="Y104" s="225"/>
      <c r="Z104" s="225"/>
      <c r="AA104" s="225"/>
      <c r="AB104" s="225"/>
      <c r="AC104" s="225"/>
      <c r="AD104" s="225"/>
      <c r="AE104" s="225"/>
      <c r="AF104" s="225"/>
      <c r="AG104" s="225"/>
      <c r="AH104" s="225"/>
      <c r="AI104" s="225"/>
      <c r="AJ104" s="225"/>
      <c r="AK104" s="225"/>
      <c r="AL104" s="225"/>
      <c r="AM104" s="225"/>
      <c r="AN104" s="225"/>
      <c r="AO104" s="225"/>
      <c r="AP104" s="225"/>
      <c r="AQ104" s="225"/>
      <c r="AR104" s="225"/>
      <c r="AS104" s="225"/>
      <c r="AT104" s="225"/>
      <c r="AU104" s="225"/>
      <c r="AV104" s="225"/>
      <c r="AW104" s="180">
        <v>0</v>
      </c>
      <c r="AX104" s="180">
        <f>+J104</f>
        <v>24339.119999999999</v>
      </c>
      <c r="AY104" s="180"/>
      <c r="AZ104" s="181">
        <f>+AX104</f>
        <v>24339.119999999999</v>
      </c>
      <c r="BA104" s="226"/>
      <c r="BB104" s="193"/>
      <c r="BC104" s="193"/>
      <c r="BD104" s="119"/>
      <c r="BE104" s="200"/>
      <c r="BF104" s="200"/>
    </row>
    <row r="105" spans="1:58" ht="15.75" hidden="1" x14ac:dyDescent="0.25">
      <c r="A105" s="172">
        <v>44565</v>
      </c>
      <c r="B105" s="172">
        <v>44573</v>
      </c>
      <c r="C105" s="185">
        <v>44593</v>
      </c>
      <c r="D105" s="172"/>
      <c r="E105" s="173"/>
      <c r="F105" s="174">
        <v>92782375</v>
      </c>
      <c r="G105" s="175" t="s">
        <v>865</v>
      </c>
      <c r="H105" s="219">
        <v>92793939</v>
      </c>
      <c r="I105" s="121" t="s">
        <v>665</v>
      </c>
      <c r="J105" s="187">
        <v>19734.48</v>
      </c>
      <c r="K105" s="176" t="s">
        <v>54</v>
      </c>
      <c r="L105" s="177">
        <f>A105+60</f>
        <v>44625</v>
      </c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25"/>
      <c r="X105" s="225"/>
      <c r="Y105" s="225"/>
      <c r="Z105" s="225"/>
      <c r="AA105" s="225"/>
      <c r="AB105" s="225"/>
      <c r="AC105" s="225"/>
      <c r="AD105" s="225"/>
      <c r="AE105" s="225"/>
      <c r="AF105" s="225"/>
      <c r="AG105" s="225"/>
      <c r="AH105" s="225"/>
      <c r="AI105" s="225"/>
      <c r="AJ105" s="225"/>
      <c r="AK105" s="225"/>
      <c r="AL105" s="225"/>
      <c r="AM105" s="225"/>
      <c r="AN105" s="225"/>
      <c r="AO105" s="225"/>
      <c r="AP105" s="225"/>
      <c r="AQ105" s="225"/>
      <c r="AR105" s="225"/>
      <c r="AS105" s="225"/>
      <c r="AT105" s="225"/>
      <c r="AU105" s="225"/>
      <c r="AV105" s="225"/>
      <c r="AW105" s="115"/>
      <c r="AX105" s="180">
        <f>J105</f>
        <v>19734.48</v>
      </c>
      <c r="AY105" s="180"/>
      <c r="AZ105" s="181">
        <f>AX105</f>
        <v>19734.48</v>
      </c>
      <c r="BA105" s="226"/>
      <c r="BB105" s="193"/>
      <c r="BC105" s="193"/>
      <c r="BD105" s="119"/>
      <c r="BE105" s="200"/>
      <c r="BF105" s="200"/>
    </row>
    <row r="106" spans="1:58" ht="15.75" hidden="1" x14ac:dyDescent="0.25">
      <c r="A106" s="172">
        <v>44473</v>
      </c>
      <c r="B106" s="172">
        <v>44482</v>
      </c>
      <c r="C106" s="185">
        <v>44506</v>
      </c>
      <c r="D106" s="172"/>
      <c r="E106" s="173"/>
      <c r="F106" s="174">
        <v>92747630</v>
      </c>
      <c r="G106" s="175" t="s">
        <v>866</v>
      </c>
      <c r="H106" s="219">
        <v>92753341</v>
      </c>
      <c r="I106" s="121" t="s">
        <v>665</v>
      </c>
      <c r="J106" s="187">
        <v>19437.599999999999</v>
      </c>
      <c r="K106" s="176" t="s">
        <v>46</v>
      </c>
      <c r="L106" s="177">
        <f>A106+60</f>
        <v>44533</v>
      </c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5"/>
      <c r="X106" s="225"/>
      <c r="Y106" s="225"/>
      <c r="Z106" s="225"/>
      <c r="AA106" s="225"/>
      <c r="AB106" s="225"/>
      <c r="AC106" s="225"/>
      <c r="AD106" s="225"/>
      <c r="AE106" s="225"/>
      <c r="AF106" s="225"/>
      <c r="AG106" s="225"/>
      <c r="AH106" s="225"/>
      <c r="AI106" s="225"/>
      <c r="AJ106" s="225"/>
      <c r="AK106" s="225"/>
      <c r="AL106" s="225"/>
      <c r="AM106" s="225"/>
      <c r="AN106" s="225"/>
      <c r="AO106" s="225"/>
      <c r="AP106" s="225"/>
      <c r="AQ106" s="225"/>
      <c r="AR106" s="225"/>
      <c r="AS106" s="225"/>
      <c r="AT106" s="225"/>
      <c r="AU106" s="225"/>
      <c r="AV106" s="180"/>
      <c r="AW106" s="180"/>
      <c r="AX106" s="180"/>
      <c r="AY106" s="180"/>
      <c r="AZ106" s="181">
        <f>AV106</f>
        <v>0</v>
      </c>
      <c r="BA106" s="226"/>
      <c r="BB106" s="193"/>
      <c r="BC106" s="193"/>
      <c r="BD106" s="119"/>
      <c r="BE106" s="200"/>
      <c r="BF106" s="200"/>
    </row>
    <row r="107" spans="1:58" ht="15.75" hidden="1" x14ac:dyDescent="0.25">
      <c r="A107" s="172"/>
      <c r="B107" s="172"/>
      <c r="C107" s="185"/>
      <c r="D107" s="172"/>
      <c r="E107" s="173"/>
      <c r="F107" s="210" t="s">
        <v>796</v>
      </c>
      <c r="G107" s="211" t="s">
        <v>867</v>
      </c>
      <c r="H107" s="219"/>
      <c r="I107" s="212" t="s">
        <v>665</v>
      </c>
      <c r="J107" s="187"/>
      <c r="K107" s="176"/>
      <c r="L107" s="177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5"/>
      <c r="X107" s="225"/>
      <c r="Y107" s="225"/>
      <c r="Z107" s="225"/>
      <c r="AA107" s="225"/>
      <c r="AB107" s="225"/>
      <c r="AC107" s="225"/>
      <c r="AD107" s="225"/>
      <c r="AE107" s="225"/>
      <c r="AF107" s="225"/>
      <c r="AG107" s="225"/>
      <c r="AH107" s="225"/>
      <c r="AI107" s="225"/>
      <c r="AJ107" s="225"/>
      <c r="AK107" s="225"/>
      <c r="AL107" s="225"/>
      <c r="AM107" s="225"/>
      <c r="AN107" s="225"/>
      <c r="AO107" s="225"/>
      <c r="AP107" s="225"/>
      <c r="AQ107" s="225"/>
      <c r="AR107" s="225"/>
      <c r="AS107" s="225"/>
      <c r="AT107" s="225"/>
      <c r="AU107" s="225"/>
      <c r="AV107" s="180"/>
      <c r="AW107" s="180"/>
      <c r="AX107" s="180"/>
      <c r="AY107" s="180"/>
      <c r="AZ107" s="181"/>
      <c r="BA107" s="226"/>
      <c r="BB107" s="193"/>
      <c r="BC107" s="193"/>
      <c r="BD107" s="119"/>
      <c r="BE107" s="200"/>
      <c r="BF107" s="200"/>
    </row>
    <row r="108" spans="1:58" ht="15.75" hidden="1" x14ac:dyDescent="0.25">
      <c r="A108" s="172">
        <v>44537</v>
      </c>
      <c r="B108" s="172">
        <v>44545</v>
      </c>
      <c r="C108" s="185">
        <v>44571</v>
      </c>
      <c r="D108" s="172"/>
      <c r="E108" s="173"/>
      <c r="F108" s="174">
        <v>92779895</v>
      </c>
      <c r="G108" s="175" t="s">
        <v>868</v>
      </c>
      <c r="H108" s="219">
        <v>92782952</v>
      </c>
      <c r="I108" s="121" t="s">
        <v>665</v>
      </c>
      <c r="J108" s="187">
        <v>19696.439999999999</v>
      </c>
      <c r="K108" s="176" t="s">
        <v>46</v>
      </c>
      <c r="L108" s="177">
        <f>A108+60</f>
        <v>44597</v>
      </c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  <c r="W108" s="225"/>
      <c r="X108" s="225"/>
      <c r="Y108" s="225"/>
      <c r="Z108" s="225"/>
      <c r="AA108" s="225"/>
      <c r="AB108" s="225"/>
      <c r="AC108" s="225"/>
      <c r="AD108" s="225"/>
      <c r="AE108" s="225"/>
      <c r="AF108" s="225"/>
      <c r="AG108" s="225"/>
      <c r="AH108" s="225"/>
      <c r="AI108" s="225"/>
      <c r="AJ108" s="225"/>
      <c r="AK108" s="225"/>
      <c r="AL108" s="225"/>
      <c r="AM108" s="225"/>
      <c r="AN108" s="225"/>
      <c r="AO108" s="225"/>
      <c r="AP108" s="225"/>
      <c r="AQ108" s="225"/>
      <c r="AR108" s="225"/>
      <c r="AS108" s="225"/>
      <c r="AT108" s="225"/>
      <c r="AU108" s="225"/>
      <c r="AV108" s="180"/>
      <c r="AW108" s="115"/>
      <c r="AX108" s="180">
        <f>J108</f>
        <v>19696.439999999999</v>
      </c>
      <c r="AY108" s="180"/>
      <c r="AZ108" s="181">
        <f>AX108</f>
        <v>19696.439999999999</v>
      </c>
      <c r="BA108" s="226"/>
      <c r="BB108" s="193"/>
      <c r="BC108" s="193"/>
      <c r="BD108" s="119"/>
      <c r="BE108" s="200"/>
      <c r="BF108" s="200"/>
    </row>
    <row r="109" spans="1:58" ht="15.75" hidden="1" x14ac:dyDescent="0.25">
      <c r="A109" s="172">
        <v>44571</v>
      </c>
      <c r="B109" s="172">
        <v>44573</v>
      </c>
      <c r="C109" s="185">
        <v>44618</v>
      </c>
      <c r="D109" s="172"/>
      <c r="E109" s="173"/>
      <c r="F109" s="174">
        <v>92785632</v>
      </c>
      <c r="G109" s="175" t="s">
        <v>869</v>
      </c>
      <c r="H109" s="219">
        <v>92796168</v>
      </c>
      <c r="I109" s="121" t="s">
        <v>665</v>
      </c>
      <c r="J109" s="187">
        <v>21306.6</v>
      </c>
      <c r="K109" s="176" t="s">
        <v>54</v>
      </c>
      <c r="L109" s="177">
        <f>A109+60</f>
        <v>44631</v>
      </c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5"/>
      <c r="X109" s="225"/>
      <c r="Y109" s="225"/>
      <c r="Z109" s="225"/>
      <c r="AA109" s="225"/>
      <c r="AB109" s="225"/>
      <c r="AC109" s="225"/>
      <c r="AD109" s="225"/>
      <c r="AE109" s="225"/>
      <c r="AF109" s="225"/>
      <c r="AG109" s="225"/>
      <c r="AH109" s="225"/>
      <c r="AI109" s="225"/>
      <c r="AJ109" s="225"/>
      <c r="AK109" s="225"/>
      <c r="AL109" s="225"/>
      <c r="AM109" s="225"/>
      <c r="AN109" s="225"/>
      <c r="AO109" s="225"/>
      <c r="AP109" s="225"/>
      <c r="AQ109" s="225"/>
      <c r="AR109" s="225"/>
      <c r="AS109" s="225"/>
      <c r="AT109" s="225"/>
      <c r="AU109" s="225"/>
      <c r="AV109" s="180"/>
      <c r="AW109" s="180"/>
      <c r="AX109" s="180"/>
      <c r="AY109" s="180">
        <v>21306.6</v>
      </c>
      <c r="AZ109" s="181">
        <f>AY109</f>
        <v>21306.6</v>
      </c>
      <c r="BA109" s="226"/>
      <c r="BB109" s="193"/>
      <c r="BC109" s="193"/>
      <c r="BD109" s="119"/>
      <c r="BE109" s="200"/>
      <c r="BF109" s="200"/>
    </row>
    <row r="110" spans="1:58" ht="15.75" hidden="1" x14ac:dyDescent="0.25">
      <c r="A110" s="172">
        <v>44574</v>
      </c>
      <c r="B110" s="172">
        <v>44580</v>
      </c>
      <c r="C110" s="185">
        <v>44618</v>
      </c>
      <c r="D110" s="172"/>
      <c r="E110" s="173"/>
      <c r="F110" s="174">
        <v>92798101</v>
      </c>
      <c r="G110" s="175" t="s">
        <v>870</v>
      </c>
      <c r="H110" s="219">
        <v>92798101</v>
      </c>
      <c r="I110" s="121" t="s">
        <v>665</v>
      </c>
      <c r="J110" s="187">
        <v>26257.200000000001</v>
      </c>
      <c r="K110" s="176" t="s">
        <v>54</v>
      </c>
      <c r="L110" s="177">
        <f>A110+60</f>
        <v>44634</v>
      </c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  <c r="W110" s="225"/>
      <c r="X110" s="225"/>
      <c r="Y110" s="225"/>
      <c r="Z110" s="225"/>
      <c r="AA110" s="225"/>
      <c r="AB110" s="225"/>
      <c r="AC110" s="225"/>
      <c r="AD110" s="225"/>
      <c r="AE110" s="225"/>
      <c r="AF110" s="225"/>
      <c r="AG110" s="225"/>
      <c r="AH110" s="225"/>
      <c r="AI110" s="225"/>
      <c r="AJ110" s="225"/>
      <c r="AK110" s="225"/>
      <c r="AL110" s="225"/>
      <c r="AM110" s="225"/>
      <c r="AN110" s="225"/>
      <c r="AO110" s="225"/>
      <c r="AP110" s="225"/>
      <c r="AQ110" s="225"/>
      <c r="AR110" s="225"/>
      <c r="AS110" s="225"/>
      <c r="AT110" s="225"/>
      <c r="AU110" s="225"/>
      <c r="AV110" s="180"/>
      <c r="AW110" s="180"/>
      <c r="AX110" s="180"/>
      <c r="AY110" s="180">
        <f>J110</f>
        <v>26257.200000000001</v>
      </c>
      <c r="AZ110" s="181">
        <f>AY110</f>
        <v>26257.200000000001</v>
      </c>
      <c r="BA110" s="226"/>
      <c r="BB110" s="193"/>
      <c r="BC110" s="193"/>
      <c r="BD110" s="119"/>
      <c r="BE110" s="200"/>
      <c r="BF110" s="200"/>
    </row>
    <row r="111" spans="1:58" ht="15.75" hidden="1" x14ac:dyDescent="0.25">
      <c r="A111" s="172">
        <v>44592</v>
      </c>
      <c r="B111" s="172">
        <v>44615</v>
      </c>
      <c r="C111" s="185">
        <v>44635</v>
      </c>
      <c r="D111" s="172"/>
      <c r="E111" s="173"/>
      <c r="F111" s="174">
        <v>92807484</v>
      </c>
      <c r="G111" s="175" t="s">
        <v>871</v>
      </c>
      <c r="H111" s="219">
        <v>92805982</v>
      </c>
      <c r="I111" s="121" t="s">
        <v>665</v>
      </c>
      <c r="J111" s="187">
        <v>26126.400000000001</v>
      </c>
      <c r="K111" s="176" t="s">
        <v>54</v>
      </c>
      <c r="L111" s="177">
        <v>44652</v>
      </c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5"/>
      <c r="X111" s="225"/>
      <c r="Y111" s="225"/>
      <c r="Z111" s="225"/>
      <c r="AA111" s="225"/>
      <c r="AB111" s="225"/>
      <c r="AC111" s="225"/>
      <c r="AD111" s="225"/>
      <c r="AE111" s="225"/>
      <c r="AF111" s="225"/>
      <c r="AG111" s="225"/>
      <c r="AH111" s="225"/>
      <c r="AI111" s="225"/>
      <c r="AJ111" s="225"/>
      <c r="AK111" s="225"/>
      <c r="AL111" s="225"/>
      <c r="AM111" s="225"/>
      <c r="AN111" s="225"/>
      <c r="AO111" s="225"/>
      <c r="AP111" s="225"/>
      <c r="AQ111" s="225"/>
      <c r="AR111" s="225"/>
      <c r="AS111" s="225"/>
      <c r="AT111" s="225"/>
      <c r="AU111" s="225"/>
      <c r="AV111" s="180"/>
      <c r="AW111" s="180"/>
      <c r="AX111" s="180"/>
      <c r="AY111" s="180">
        <f>J111</f>
        <v>26126.400000000001</v>
      </c>
      <c r="AZ111" s="181">
        <f>AY111</f>
        <v>26126.400000000001</v>
      </c>
      <c r="BA111" s="226"/>
      <c r="BB111" s="193"/>
      <c r="BC111" s="193"/>
      <c r="BD111" s="119"/>
      <c r="BE111" s="200"/>
      <c r="BF111" s="200"/>
    </row>
    <row r="112" spans="1:58" ht="15.75" hidden="1" x14ac:dyDescent="0.25">
      <c r="A112" s="172">
        <v>44573</v>
      </c>
      <c r="B112" s="172">
        <v>44201</v>
      </c>
      <c r="C112" s="185">
        <v>44618</v>
      </c>
      <c r="D112" s="172"/>
      <c r="E112" s="173"/>
      <c r="F112" s="174">
        <v>92792903</v>
      </c>
      <c r="G112" s="175" t="s">
        <v>872</v>
      </c>
      <c r="H112" s="219">
        <v>92797446</v>
      </c>
      <c r="I112" s="121" t="s">
        <v>665</v>
      </c>
      <c r="J112" s="187">
        <v>23213.64</v>
      </c>
      <c r="K112" s="176" t="s">
        <v>86</v>
      </c>
      <c r="L112" s="177">
        <f t="shared" ref="L112:L120" si="14">A112+60</f>
        <v>44633</v>
      </c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5"/>
      <c r="X112" s="225"/>
      <c r="Y112" s="225"/>
      <c r="Z112" s="225"/>
      <c r="AA112" s="225"/>
      <c r="AB112" s="225"/>
      <c r="AC112" s="225"/>
      <c r="AD112" s="225"/>
      <c r="AE112" s="225"/>
      <c r="AF112" s="225"/>
      <c r="AG112" s="225"/>
      <c r="AH112" s="225"/>
      <c r="AI112" s="225"/>
      <c r="AJ112" s="225"/>
      <c r="AK112" s="225"/>
      <c r="AL112" s="225"/>
      <c r="AM112" s="225"/>
      <c r="AN112" s="225"/>
      <c r="AO112" s="225"/>
      <c r="AP112" s="225"/>
      <c r="AQ112" s="225"/>
      <c r="AR112" s="225"/>
      <c r="AS112" s="225"/>
      <c r="AT112" s="225"/>
      <c r="AU112" s="225"/>
      <c r="AV112" s="180"/>
      <c r="AW112" s="180"/>
      <c r="AX112" s="180"/>
      <c r="AY112" s="180">
        <f>J112</f>
        <v>23213.64</v>
      </c>
      <c r="AZ112" s="181">
        <f>AY112</f>
        <v>23213.64</v>
      </c>
      <c r="BA112" s="226"/>
      <c r="BB112" s="193"/>
      <c r="BC112" s="193"/>
      <c r="BD112" s="119"/>
      <c r="BE112" s="200"/>
      <c r="BF112" s="200"/>
    </row>
    <row r="113" spans="1:58" ht="15.75" hidden="1" x14ac:dyDescent="0.25">
      <c r="A113" s="172">
        <v>44643</v>
      </c>
      <c r="B113" s="172">
        <v>44667</v>
      </c>
      <c r="C113" s="185">
        <v>44694</v>
      </c>
      <c r="D113" s="172"/>
      <c r="E113" s="173"/>
      <c r="F113" s="174">
        <v>92817516</v>
      </c>
      <c r="G113" s="175" t="s">
        <v>873</v>
      </c>
      <c r="H113" s="219">
        <v>92831908</v>
      </c>
      <c r="I113" s="121" t="s">
        <v>665</v>
      </c>
      <c r="J113" s="187">
        <v>24356.16</v>
      </c>
      <c r="K113" s="176" t="s">
        <v>46</v>
      </c>
      <c r="L113" s="177">
        <f t="shared" si="14"/>
        <v>44703</v>
      </c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5"/>
      <c r="X113" s="225"/>
      <c r="Y113" s="225"/>
      <c r="Z113" s="225"/>
      <c r="AA113" s="225"/>
      <c r="AB113" s="225"/>
      <c r="AC113" s="225"/>
      <c r="AD113" s="225"/>
      <c r="AE113" s="225"/>
      <c r="AF113" s="225"/>
      <c r="AG113" s="225"/>
      <c r="AH113" s="225"/>
      <c r="AI113" s="225"/>
      <c r="AJ113" s="225"/>
      <c r="AK113" s="225"/>
      <c r="AL113" s="225"/>
      <c r="AM113" s="225"/>
      <c r="AN113" s="225"/>
      <c r="AO113" s="225"/>
      <c r="AP113" s="225"/>
      <c r="AQ113" s="225"/>
      <c r="AR113" s="225"/>
      <c r="AS113" s="225"/>
      <c r="AT113" s="225"/>
      <c r="AU113" s="225"/>
      <c r="AV113" s="180"/>
      <c r="AW113" s="180"/>
      <c r="AX113" s="180"/>
      <c r="AY113" s="180"/>
      <c r="AZ113" s="181"/>
      <c r="BA113" s="226"/>
      <c r="BB113" s="193"/>
      <c r="BC113" s="193"/>
      <c r="BD113" s="119"/>
      <c r="BE113" s="200"/>
      <c r="BF113" s="200"/>
    </row>
    <row r="114" spans="1:58" ht="15.75" hidden="1" x14ac:dyDescent="0.25">
      <c r="A114" s="172">
        <v>44623</v>
      </c>
      <c r="B114" s="172">
        <v>44632</v>
      </c>
      <c r="C114" s="185">
        <v>44647</v>
      </c>
      <c r="D114" s="172"/>
      <c r="E114" s="173"/>
      <c r="F114" s="174">
        <v>92816041</v>
      </c>
      <c r="G114" s="175" t="s">
        <v>874</v>
      </c>
      <c r="H114" s="219">
        <v>92821407</v>
      </c>
      <c r="I114" s="121" t="s">
        <v>665</v>
      </c>
      <c r="J114" s="187">
        <v>25999.200000000001</v>
      </c>
      <c r="K114" s="176" t="s">
        <v>54</v>
      </c>
      <c r="L114" s="177">
        <f t="shared" si="14"/>
        <v>44683</v>
      </c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5"/>
      <c r="X114" s="225"/>
      <c r="Y114" s="225"/>
      <c r="Z114" s="225"/>
      <c r="AA114" s="225"/>
      <c r="AB114" s="225"/>
      <c r="AC114" s="225"/>
      <c r="AD114" s="225"/>
      <c r="AE114" s="225"/>
      <c r="AF114" s="225"/>
      <c r="AG114" s="225"/>
      <c r="AH114" s="225"/>
      <c r="AI114" s="225"/>
      <c r="AJ114" s="225"/>
      <c r="AK114" s="225"/>
      <c r="AL114" s="225"/>
      <c r="AM114" s="225"/>
      <c r="AN114" s="225"/>
      <c r="AO114" s="225"/>
      <c r="AP114" s="225"/>
      <c r="AQ114" s="225"/>
      <c r="AR114" s="225"/>
      <c r="AS114" s="225"/>
      <c r="AT114" s="225"/>
      <c r="AU114" s="225"/>
      <c r="AV114" s="180"/>
      <c r="AW114" s="180"/>
      <c r="AX114" s="180"/>
      <c r="AY114" s="180"/>
      <c r="AZ114" s="181"/>
      <c r="BA114" s="226"/>
      <c r="BB114" s="193"/>
      <c r="BC114" s="193"/>
      <c r="BD114" s="119"/>
      <c r="BE114" s="200"/>
      <c r="BF114" s="200"/>
    </row>
    <row r="115" spans="1:58" ht="15.75" x14ac:dyDescent="0.25">
      <c r="A115" s="172">
        <v>44670</v>
      </c>
      <c r="B115" s="172">
        <v>44693</v>
      </c>
      <c r="C115" s="185">
        <v>44711</v>
      </c>
      <c r="D115" s="172"/>
      <c r="E115" s="173"/>
      <c r="F115" s="174">
        <v>92818220</v>
      </c>
      <c r="G115" s="175" t="s">
        <v>875</v>
      </c>
      <c r="H115" s="219">
        <v>92848889</v>
      </c>
      <c r="I115" s="121" t="s">
        <v>665</v>
      </c>
      <c r="J115" s="187">
        <v>26167.200000000001</v>
      </c>
      <c r="K115" s="176" t="s">
        <v>54</v>
      </c>
      <c r="L115" s="177">
        <f t="shared" si="14"/>
        <v>44730</v>
      </c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5"/>
      <c r="X115" s="225"/>
      <c r="Y115" s="225"/>
      <c r="Z115" s="225"/>
      <c r="AA115" s="225"/>
      <c r="AB115" s="225"/>
      <c r="AC115" s="225"/>
      <c r="AD115" s="225"/>
      <c r="AE115" s="225"/>
      <c r="AF115" s="225"/>
      <c r="AG115" s="225"/>
      <c r="AH115" s="225"/>
      <c r="AI115" s="225"/>
      <c r="AJ115" s="225"/>
      <c r="AK115" s="225"/>
      <c r="AL115" s="225"/>
      <c r="AM115" s="225"/>
      <c r="AN115" s="225"/>
      <c r="AO115" s="225"/>
      <c r="AP115" s="225"/>
      <c r="AQ115" s="225"/>
      <c r="AR115" s="225"/>
      <c r="AS115" s="225"/>
      <c r="AT115" s="225"/>
      <c r="AU115" s="225"/>
      <c r="AV115" s="180"/>
      <c r="AW115" s="180"/>
      <c r="AX115" s="180"/>
      <c r="AY115" s="180"/>
      <c r="AZ115" s="181"/>
      <c r="BA115" s="226"/>
      <c r="BB115" s="193"/>
      <c r="BC115" s="193"/>
      <c r="BD115" s="119"/>
      <c r="BE115" s="200"/>
      <c r="BF115" s="200"/>
    </row>
    <row r="116" spans="1:58" ht="15.75" x14ac:dyDescent="0.25">
      <c r="A116" s="172">
        <v>44642</v>
      </c>
      <c r="B116" s="172">
        <v>44661</v>
      </c>
      <c r="C116" s="185">
        <v>44698</v>
      </c>
      <c r="D116" s="172"/>
      <c r="E116" s="173"/>
      <c r="F116" s="174">
        <v>92825008</v>
      </c>
      <c r="G116" s="175" t="s">
        <v>876</v>
      </c>
      <c r="H116" s="219">
        <v>92831295</v>
      </c>
      <c r="I116" s="121" t="s">
        <v>665</v>
      </c>
      <c r="J116" s="187">
        <v>24775.200000000001</v>
      </c>
      <c r="K116" s="176" t="s">
        <v>89</v>
      </c>
      <c r="L116" s="177">
        <f t="shared" si="14"/>
        <v>44702</v>
      </c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5"/>
      <c r="X116" s="225"/>
      <c r="Y116" s="225"/>
      <c r="Z116" s="225"/>
      <c r="AA116" s="225"/>
      <c r="AB116" s="225"/>
      <c r="AC116" s="225"/>
      <c r="AD116" s="225"/>
      <c r="AE116" s="225"/>
      <c r="AF116" s="225"/>
      <c r="AG116" s="225"/>
      <c r="AH116" s="225"/>
      <c r="AI116" s="225"/>
      <c r="AJ116" s="225"/>
      <c r="AK116" s="225"/>
      <c r="AL116" s="225"/>
      <c r="AM116" s="225"/>
      <c r="AN116" s="225"/>
      <c r="AO116" s="225"/>
      <c r="AP116" s="225"/>
      <c r="AQ116" s="225"/>
      <c r="AR116" s="225"/>
      <c r="AS116" s="225"/>
      <c r="AT116" s="225"/>
      <c r="AU116" s="225"/>
      <c r="AV116" s="180"/>
      <c r="AW116" s="180"/>
      <c r="AX116" s="180"/>
      <c r="AY116" s="180"/>
      <c r="AZ116" s="181"/>
      <c r="BA116" s="226"/>
      <c r="BB116" s="193"/>
      <c r="BC116" s="193"/>
      <c r="BD116" s="119"/>
      <c r="BE116" s="200"/>
      <c r="BF116" s="200"/>
    </row>
    <row r="117" spans="1:58" ht="15.75" x14ac:dyDescent="0.25">
      <c r="A117" s="172">
        <v>44671</v>
      </c>
      <c r="B117" s="172">
        <v>44693</v>
      </c>
      <c r="C117" s="185">
        <v>44711</v>
      </c>
      <c r="D117" s="172"/>
      <c r="E117" s="173"/>
      <c r="F117" s="174">
        <v>92837446</v>
      </c>
      <c r="G117" s="175" t="s">
        <v>877</v>
      </c>
      <c r="H117" s="219">
        <v>92845157</v>
      </c>
      <c r="I117" s="121" t="s">
        <v>665</v>
      </c>
      <c r="J117" s="187">
        <v>32938.199999999997</v>
      </c>
      <c r="K117" s="176" t="s">
        <v>54</v>
      </c>
      <c r="L117" s="177">
        <f t="shared" si="14"/>
        <v>44731</v>
      </c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5"/>
      <c r="X117" s="225"/>
      <c r="Y117" s="225"/>
      <c r="Z117" s="225"/>
      <c r="AA117" s="225"/>
      <c r="AB117" s="225"/>
      <c r="AC117" s="225"/>
      <c r="AD117" s="225"/>
      <c r="AE117" s="225"/>
      <c r="AF117" s="225"/>
      <c r="AG117" s="225"/>
      <c r="AH117" s="225"/>
      <c r="AI117" s="225"/>
      <c r="AJ117" s="225"/>
      <c r="AK117" s="225"/>
      <c r="AL117" s="225"/>
      <c r="AM117" s="225"/>
      <c r="AN117" s="225"/>
      <c r="AO117" s="225"/>
      <c r="AP117" s="225"/>
      <c r="AQ117" s="225"/>
      <c r="AR117" s="225"/>
      <c r="AS117" s="225"/>
      <c r="AT117" s="225"/>
      <c r="AU117" s="225"/>
      <c r="AV117" s="180"/>
      <c r="AW117" s="180"/>
      <c r="AX117" s="180"/>
      <c r="AY117" s="180"/>
      <c r="AZ117" s="181"/>
      <c r="BA117" s="226"/>
      <c r="BB117" s="193"/>
      <c r="BC117" s="193"/>
      <c r="BD117" s="119"/>
      <c r="BE117" s="200"/>
      <c r="BF117" s="200"/>
    </row>
    <row r="118" spans="1:58" ht="15.75" x14ac:dyDescent="0.25">
      <c r="A118" s="172"/>
      <c r="B118" s="172"/>
      <c r="C118" s="185"/>
      <c r="D118" s="172"/>
      <c r="E118" s="173"/>
      <c r="F118" s="221" t="s">
        <v>796</v>
      </c>
      <c r="G118" s="211" t="s">
        <v>878</v>
      </c>
      <c r="H118" s="222"/>
      <c r="I118" s="212" t="s">
        <v>665</v>
      </c>
      <c r="J118" s="213"/>
      <c r="K118" s="176"/>
      <c r="L118" s="177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5"/>
      <c r="X118" s="225"/>
      <c r="Y118" s="225"/>
      <c r="Z118" s="225"/>
      <c r="AA118" s="225"/>
      <c r="AB118" s="225"/>
      <c r="AC118" s="225"/>
      <c r="AD118" s="225"/>
      <c r="AE118" s="225"/>
      <c r="AF118" s="225"/>
      <c r="AG118" s="225"/>
      <c r="AH118" s="225"/>
      <c r="AI118" s="225"/>
      <c r="AJ118" s="225"/>
      <c r="AK118" s="225"/>
      <c r="AL118" s="225"/>
      <c r="AM118" s="225"/>
      <c r="AN118" s="225"/>
      <c r="AO118" s="225"/>
      <c r="AP118" s="225"/>
      <c r="AQ118" s="225"/>
      <c r="AR118" s="225"/>
      <c r="AS118" s="225"/>
      <c r="AT118" s="225"/>
      <c r="AU118" s="225"/>
      <c r="AV118" s="180"/>
      <c r="AW118" s="180"/>
      <c r="AX118" s="180"/>
      <c r="AY118" s="180"/>
      <c r="AZ118" s="181"/>
      <c r="BA118" s="226"/>
      <c r="BB118" s="193"/>
      <c r="BC118" s="193"/>
      <c r="BD118" s="119"/>
      <c r="BE118" s="200"/>
      <c r="BF118" s="200"/>
    </row>
    <row r="119" spans="1:58" ht="15.75" x14ac:dyDescent="0.25">
      <c r="A119" s="172"/>
      <c r="B119" s="172"/>
      <c r="C119" s="185"/>
      <c r="D119" s="172"/>
      <c r="E119" s="173"/>
      <c r="F119" s="221" t="s">
        <v>796</v>
      </c>
      <c r="G119" s="211" t="s">
        <v>879</v>
      </c>
      <c r="H119" s="222"/>
      <c r="I119" s="212" t="s">
        <v>665</v>
      </c>
      <c r="J119" s="213"/>
      <c r="K119" s="176"/>
      <c r="L119" s="177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5"/>
      <c r="X119" s="225"/>
      <c r="Y119" s="225"/>
      <c r="Z119" s="225"/>
      <c r="AA119" s="225"/>
      <c r="AB119" s="225"/>
      <c r="AC119" s="225"/>
      <c r="AD119" s="225"/>
      <c r="AE119" s="225"/>
      <c r="AF119" s="225"/>
      <c r="AG119" s="225"/>
      <c r="AH119" s="225"/>
      <c r="AI119" s="225"/>
      <c r="AJ119" s="225"/>
      <c r="AK119" s="225"/>
      <c r="AL119" s="225"/>
      <c r="AM119" s="225"/>
      <c r="AN119" s="225"/>
      <c r="AO119" s="225"/>
      <c r="AP119" s="225"/>
      <c r="AQ119" s="225"/>
      <c r="AR119" s="225"/>
      <c r="AS119" s="225"/>
      <c r="AT119" s="225"/>
      <c r="AU119" s="225"/>
      <c r="AV119" s="180"/>
      <c r="AW119" s="180"/>
      <c r="AX119" s="180"/>
      <c r="AY119" s="180"/>
      <c r="AZ119" s="181"/>
      <c r="BA119" s="226"/>
      <c r="BB119" s="193"/>
      <c r="BC119" s="193"/>
      <c r="BD119" s="119"/>
      <c r="BE119" s="200"/>
      <c r="BF119" s="200"/>
    </row>
    <row r="120" spans="1:58" ht="15.75" x14ac:dyDescent="0.25">
      <c r="A120" s="172">
        <v>44694</v>
      </c>
      <c r="B120" s="172">
        <v>44701</v>
      </c>
      <c r="C120" s="185">
        <v>44728</v>
      </c>
      <c r="D120" s="172"/>
      <c r="E120" s="173"/>
      <c r="F120" s="174">
        <v>92852439</v>
      </c>
      <c r="G120" s="175" t="s">
        <v>880</v>
      </c>
      <c r="H120" s="219">
        <v>92855909</v>
      </c>
      <c r="I120" s="121" t="s">
        <v>665</v>
      </c>
      <c r="J120" s="187">
        <v>31602.84</v>
      </c>
      <c r="K120" s="176" t="s">
        <v>110</v>
      </c>
      <c r="L120" s="177">
        <f t="shared" si="14"/>
        <v>44754</v>
      </c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5"/>
      <c r="X120" s="225"/>
      <c r="Y120" s="225"/>
      <c r="Z120" s="225"/>
      <c r="AA120" s="225"/>
      <c r="AB120" s="225"/>
      <c r="AC120" s="225"/>
      <c r="AD120" s="225"/>
      <c r="AE120" s="225"/>
      <c r="AF120" s="225"/>
      <c r="AG120" s="225"/>
      <c r="AH120" s="225"/>
      <c r="AI120" s="225"/>
      <c r="AJ120" s="225"/>
      <c r="AK120" s="225"/>
      <c r="AL120" s="225"/>
      <c r="AM120" s="225"/>
      <c r="AN120" s="225"/>
      <c r="AO120" s="225"/>
      <c r="AP120" s="225"/>
      <c r="AQ120" s="225"/>
      <c r="AR120" s="225"/>
      <c r="AS120" s="225"/>
      <c r="AT120" s="225"/>
      <c r="AU120" s="225"/>
      <c r="AV120" s="180"/>
      <c r="AW120" s="180"/>
      <c r="AX120" s="180"/>
      <c r="AY120" s="180"/>
      <c r="AZ120" s="181"/>
      <c r="BA120" s="226"/>
      <c r="BB120" s="193"/>
      <c r="BC120" s="193"/>
      <c r="BD120" s="119"/>
      <c r="BE120" s="200"/>
      <c r="BF120" s="200"/>
    </row>
    <row r="121" spans="1:58" ht="15.75" x14ac:dyDescent="0.25">
      <c r="A121" s="172"/>
      <c r="B121" s="172"/>
      <c r="C121" s="185"/>
      <c r="D121" s="172"/>
      <c r="E121" s="173"/>
      <c r="F121" s="221" t="s">
        <v>796</v>
      </c>
      <c r="G121" s="211" t="s">
        <v>881</v>
      </c>
      <c r="H121" s="222"/>
      <c r="I121" s="212" t="s">
        <v>665</v>
      </c>
      <c r="J121" s="187"/>
      <c r="K121" s="176"/>
      <c r="L121" s="177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5"/>
      <c r="X121" s="225"/>
      <c r="Y121" s="225"/>
      <c r="Z121" s="225"/>
      <c r="AA121" s="225"/>
      <c r="AB121" s="225"/>
      <c r="AC121" s="225"/>
      <c r="AD121" s="225"/>
      <c r="AE121" s="225"/>
      <c r="AF121" s="225"/>
      <c r="AG121" s="225"/>
      <c r="AH121" s="225"/>
      <c r="AI121" s="225"/>
      <c r="AJ121" s="225"/>
      <c r="AK121" s="225"/>
      <c r="AL121" s="225"/>
      <c r="AM121" s="225"/>
      <c r="AN121" s="225"/>
      <c r="AO121" s="225"/>
      <c r="AP121" s="225"/>
      <c r="AQ121" s="225"/>
      <c r="AR121" s="225"/>
      <c r="AS121" s="225"/>
      <c r="AT121" s="225"/>
      <c r="AU121" s="225"/>
      <c r="AV121" s="180"/>
      <c r="AW121" s="180"/>
      <c r="AX121" s="180"/>
      <c r="AY121" s="180"/>
      <c r="AZ121" s="181"/>
      <c r="BA121" s="226"/>
      <c r="BB121" s="193"/>
      <c r="BC121" s="193"/>
      <c r="BD121" s="119"/>
      <c r="BE121" s="200"/>
      <c r="BF121" s="200"/>
    </row>
    <row r="122" spans="1:58" ht="15.75" x14ac:dyDescent="0.25">
      <c r="A122" s="172">
        <v>44741</v>
      </c>
      <c r="B122" s="172">
        <v>44744</v>
      </c>
      <c r="C122" s="185">
        <v>44777</v>
      </c>
      <c r="D122" s="172"/>
      <c r="E122" s="173"/>
      <c r="F122" s="295">
        <v>92878751</v>
      </c>
      <c r="G122" s="296" t="s">
        <v>882</v>
      </c>
      <c r="H122" s="297">
        <v>92880484</v>
      </c>
      <c r="I122" s="298" t="s">
        <v>665</v>
      </c>
      <c r="J122" s="299">
        <v>30766.76</v>
      </c>
      <c r="K122" s="176" t="s">
        <v>117</v>
      </c>
      <c r="L122" s="177">
        <f>A122+60</f>
        <v>44801</v>
      </c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5"/>
      <c r="X122" s="225"/>
      <c r="Y122" s="225"/>
      <c r="Z122" s="225"/>
      <c r="AA122" s="225"/>
      <c r="AB122" s="225"/>
      <c r="AC122" s="225"/>
      <c r="AD122" s="225"/>
      <c r="AE122" s="225"/>
      <c r="AF122" s="225"/>
      <c r="AG122" s="225"/>
      <c r="AH122" s="225"/>
      <c r="AI122" s="225"/>
      <c r="AJ122" s="225"/>
      <c r="AK122" s="225"/>
      <c r="AL122" s="225"/>
      <c r="AM122" s="225"/>
      <c r="AN122" s="225"/>
      <c r="AO122" s="225"/>
      <c r="AP122" s="225"/>
      <c r="AQ122" s="225"/>
      <c r="AR122" s="225"/>
      <c r="AS122" s="225"/>
      <c r="AT122" s="225"/>
      <c r="AU122" s="225"/>
      <c r="AV122" s="180"/>
      <c r="AW122" s="180"/>
      <c r="AX122" s="180"/>
      <c r="AY122" s="180"/>
      <c r="AZ122" s="181"/>
      <c r="BA122" s="226"/>
      <c r="BB122" s="193"/>
      <c r="BC122" s="193"/>
      <c r="BD122" s="119"/>
      <c r="BE122" s="200"/>
      <c r="BF122" s="200"/>
    </row>
    <row r="123" spans="1:58" ht="15.75" x14ac:dyDescent="0.25">
      <c r="A123" s="172"/>
      <c r="B123" s="172">
        <v>44771</v>
      </c>
      <c r="C123" s="185">
        <v>44831</v>
      </c>
      <c r="D123" s="172"/>
      <c r="E123" s="173"/>
      <c r="F123" s="295">
        <v>92886822</v>
      </c>
      <c r="G123" s="296" t="s">
        <v>883</v>
      </c>
      <c r="H123" s="297"/>
      <c r="I123" s="298" t="s">
        <v>665</v>
      </c>
      <c r="J123" s="299">
        <v>32500.799999999999</v>
      </c>
      <c r="K123" s="176" t="s">
        <v>89</v>
      </c>
      <c r="L123" s="177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5"/>
      <c r="X123" s="225"/>
      <c r="Y123" s="225"/>
      <c r="Z123" s="225"/>
      <c r="AA123" s="225"/>
      <c r="AB123" s="225"/>
      <c r="AC123" s="225"/>
      <c r="AD123" s="225"/>
      <c r="AE123" s="225"/>
      <c r="AF123" s="225"/>
      <c r="AG123" s="225"/>
      <c r="AH123" s="225"/>
      <c r="AI123" s="225"/>
      <c r="AJ123" s="225"/>
      <c r="AK123" s="225"/>
      <c r="AL123" s="225"/>
      <c r="AM123" s="225"/>
      <c r="AN123" s="225"/>
      <c r="AO123" s="225"/>
      <c r="AP123" s="225"/>
      <c r="AQ123" s="225"/>
      <c r="AR123" s="225"/>
      <c r="AS123" s="225"/>
      <c r="AT123" s="225"/>
      <c r="AU123" s="225"/>
      <c r="AV123" s="180"/>
      <c r="AW123" s="180"/>
      <c r="AX123" s="180"/>
      <c r="AY123" s="180"/>
      <c r="AZ123" s="181"/>
      <c r="BA123" s="226"/>
      <c r="BB123" s="193"/>
      <c r="BC123" s="193"/>
      <c r="BD123" s="119"/>
      <c r="BE123" s="200"/>
      <c r="BF123" s="200"/>
    </row>
    <row r="124" spans="1:58" ht="15.75" x14ac:dyDescent="0.25">
      <c r="A124" s="172"/>
      <c r="B124" s="172"/>
      <c r="C124" s="185"/>
      <c r="D124" s="172"/>
      <c r="E124" s="173"/>
      <c r="F124" s="295">
        <v>92888951</v>
      </c>
      <c r="G124" s="296" t="s">
        <v>884</v>
      </c>
      <c r="H124" s="297"/>
      <c r="I124" s="298" t="s">
        <v>668</v>
      </c>
      <c r="J124" s="299">
        <v>26803.8</v>
      </c>
      <c r="K124" s="176" t="s">
        <v>124</v>
      </c>
      <c r="L124" s="177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5"/>
      <c r="X124" s="225"/>
      <c r="Y124" s="225"/>
      <c r="Z124" s="225"/>
      <c r="AA124" s="225"/>
      <c r="AB124" s="225"/>
      <c r="AC124" s="225"/>
      <c r="AD124" s="225"/>
      <c r="AE124" s="225"/>
      <c r="AF124" s="225"/>
      <c r="AG124" s="225"/>
      <c r="AH124" s="225"/>
      <c r="AI124" s="225"/>
      <c r="AJ124" s="225"/>
      <c r="AK124" s="225"/>
      <c r="AL124" s="225"/>
      <c r="AM124" s="225"/>
      <c r="AN124" s="225"/>
      <c r="AO124" s="225"/>
      <c r="AP124" s="225"/>
      <c r="AQ124" s="225"/>
      <c r="AR124" s="225"/>
      <c r="AS124" s="225"/>
      <c r="AT124" s="225"/>
      <c r="AU124" s="225"/>
      <c r="AV124" s="180"/>
      <c r="AW124" s="180"/>
      <c r="AX124" s="180"/>
      <c r="AY124" s="180"/>
      <c r="AZ124" s="181"/>
      <c r="BA124" s="226"/>
      <c r="BB124" s="193"/>
      <c r="BC124" s="193"/>
      <c r="BD124" s="119"/>
      <c r="BE124" s="200"/>
      <c r="BF124" s="200"/>
    </row>
    <row r="125" spans="1:58" ht="15.75" x14ac:dyDescent="0.25">
      <c r="A125" s="172"/>
      <c r="B125" s="172">
        <v>44787</v>
      </c>
      <c r="C125" s="185">
        <v>44840</v>
      </c>
      <c r="D125" s="172"/>
      <c r="E125" s="173"/>
      <c r="F125" s="295">
        <v>92895156</v>
      </c>
      <c r="G125" s="296" t="s">
        <v>885</v>
      </c>
      <c r="H125" s="297"/>
      <c r="I125" s="298" t="s">
        <v>665</v>
      </c>
      <c r="J125" s="299">
        <v>32585.759999999998</v>
      </c>
      <c r="K125" s="176" t="s">
        <v>110</v>
      </c>
      <c r="L125" s="177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5"/>
      <c r="X125" s="225"/>
      <c r="Y125" s="225"/>
      <c r="Z125" s="225"/>
      <c r="AA125" s="225"/>
      <c r="AB125" s="225"/>
      <c r="AC125" s="225"/>
      <c r="AD125" s="225"/>
      <c r="AE125" s="225"/>
      <c r="AF125" s="225"/>
      <c r="AG125" s="225"/>
      <c r="AH125" s="225"/>
      <c r="AI125" s="225"/>
      <c r="AJ125" s="225"/>
      <c r="AK125" s="225"/>
      <c r="AL125" s="225"/>
      <c r="AM125" s="225"/>
      <c r="AN125" s="225"/>
      <c r="AO125" s="225"/>
      <c r="AP125" s="225"/>
      <c r="AQ125" s="225"/>
      <c r="AR125" s="225"/>
      <c r="AS125" s="225"/>
      <c r="AT125" s="225"/>
      <c r="AU125" s="225"/>
      <c r="AV125" s="180"/>
      <c r="AW125" s="180"/>
      <c r="AX125" s="180"/>
      <c r="AY125" s="180"/>
      <c r="AZ125" s="181"/>
      <c r="BA125" s="226"/>
      <c r="BB125" s="193"/>
      <c r="BC125" s="193"/>
      <c r="BD125" s="119"/>
      <c r="BE125" s="200"/>
      <c r="BF125" s="200"/>
    </row>
    <row r="126" spans="1:58" ht="15.75" x14ac:dyDescent="0.25">
      <c r="A126" s="172"/>
      <c r="B126" s="172">
        <v>44815</v>
      </c>
      <c r="C126" s="185">
        <v>44852</v>
      </c>
      <c r="D126" s="172"/>
      <c r="E126" s="173"/>
      <c r="F126" s="295">
        <v>92903665</v>
      </c>
      <c r="G126" s="296" t="s">
        <v>886</v>
      </c>
      <c r="H126" s="297"/>
      <c r="I126" s="298" t="s">
        <v>749</v>
      </c>
      <c r="J126" s="299">
        <v>33330.480000000003</v>
      </c>
      <c r="K126" s="176" t="s">
        <v>130</v>
      </c>
      <c r="L126" s="177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5"/>
      <c r="X126" s="225"/>
      <c r="Y126" s="225"/>
      <c r="Z126" s="225"/>
      <c r="AA126" s="225"/>
      <c r="AB126" s="225"/>
      <c r="AC126" s="225"/>
      <c r="AD126" s="225"/>
      <c r="AE126" s="225"/>
      <c r="AF126" s="225"/>
      <c r="AG126" s="225"/>
      <c r="AH126" s="225"/>
      <c r="AI126" s="225"/>
      <c r="AJ126" s="225"/>
      <c r="AK126" s="225"/>
      <c r="AL126" s="225"/>
      <c r="AM126" s="225"/>
      <c r="AN126" s="225"/>
      <c r="AO126" s="225"/>
      <c r="AP126" s="225"/>
      <c r="AQ126" s="225"/>
      <c r="AR126" s="225"/>
      <c r="AS126" s="225"/>
      <c r="AT126" s="225"/>
      <c r="AU126" s="225"/>
      <c r="AV126" s="180"/>
      <c r="AW126" s="180"/>
      <c r="AX126" s="180"/>
      <c r="AY126" s="180"/>
      <c r="AZ126" s="181"/>
      <c r="BA126" s="226"/>
      <c r="BB126" s="193"/>
      <c r="BC126" s="193"/>
      <c r="BD126" s="119"/>
      <c r="BE126" s="200"/>
      <c r="BF126" s="200"/>
    </row>
    <row r="127" spans="1:58" ht="15.75" x14ac:dyDescent="0.25">
      <c r="A127" s="172"/>
      <c r="B127" s="172">
        <v>44840</v>
      </c>
      <c r="C127" s="185">
        <v>44859</v>
      </c>
      <c r="D127" s="172"/>
      <c r="E127" s="173"/>
      <c r="F127" s="295">
        <v>92908811</v>
      </c>
      <c r="G127" s="296" t="s">
        <v>887</v>
      </c>
      <c r="H127" s="297"/>
      <c r="I127" s="298" t="s">
        <v>665</v>
      </c>
      <c r="J127" s="299">
        <v>32577.84</v>
      </c>
      <c r="K127" s="176" t="s">
        <v>110</v>
      </c>
      <c r="L127" s="177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5"/>
      <c r="X127" s="225"/>
      <c r="Y127" s="225"/>
      <c r="Z127" s="225"/>
      <c r="AA127" s="225"/>
      <c r="AB127" s="225"/>
      <c r="AC127" s="225"/>
      <c r="AD127" s="225"/>
      <c r="AE127" s="225"/>
      <c r="AF127" s="225"/>
      <c r="AG127" s="225"/>
      <c r="AH127" s="225"/>
      <c r="AI127" s="225"/>
      <c r="AJ127" s="225"/>
      <c r="AK127" s="225"/>
      <c r="AL127" s="225"/>
      <c r="AM127" s="225"/>
      <c r="AN127" s="225"/>
      <c r="AO127" s="225"/>
      <c r="AP127" s="225"/>
      <c r="AQ127" s="225"/>
      <c r="AR127" s="225"/>
      <c r="AS127" s="225"/>
      <c r="AT127" s="225"/>
      <c r="AU127" s="225"/>
      <c r="AV127" s="180"/>
      <c r="AW127" s="180"/>
      <c r="AX127" s="180"/>
      <c r="AY127" s="180"/>
      <c r="AZ127" s="181"/>
      <c r="BA127" s="226"/>
      <c r="BB127" s="193"/>
      <c r="BC127" s="193"/>
      <c r="BD127" s="119"/>
      <c r="BE127" s="200"/>
      <c r="BF127" s="200"/>
    </row>
    <row r="128" spans="1:58" ht="15.75" x14ac:dyDescent="0.25">
      <c r="A128" s="172"/>
      <c r="B128" s="172"/>
      <c r="C128" s="172"/>
      <c r="D128" s="172"/>
      <c r="E128" s="173"/>
      <c r="F128" s="174"/>
      <c r="G128" s="175"/>
      <c r="H128" s="121"/>
      <c r="I128" s="121"/>
      <c r="J128" s="119"/>
      <c r="K128" s="119"/>
      <c r="L128" s="177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99"/>
      <c r="X128" s="199"/>
      <c r="Y128" s="199"/>
      <c r="Z128" s="199"/>
      <c r="AA128" s="199"/>
      <c r="AB128" s="199"/>
      <c r="AC128" s="199"/>
      <c r="AD128" s="199"/>
      <c r="AE128" s="199"/>
      <c r="AF128" s="199"/>
      <c r="AG128" s="199"/>
      <c r="AH128" s="199"/>
      <c r="AI128" s="199"/>
      <c r="AJ128" s="199"/>
      <c r="AK128" s="199"/>
      <c r="AL128" s="199"/>
      <c r="AM128" s="199"/>
      <c r="AN128" s="199"/>
      <c r="AO128" s="199"/>
      <c r="AP128" s="199"/>
      <c r="AQ128" s="199"/>
      <c r="AR128" s="199"/>
      <c r="AS128" s="199"/>
      <c r="AT128" s="199"/>
      <c r="AU128" s="199"/>
      <c r="AV128" s="199"/>
      <c r="AW128" s="199"/>
      <c r="AX128" s="199"/>
      <c r="AY128" s="199"/>
      <c r="AZ128" s="181">
        <f>AT128</f>
        <v>0</v>
      </c>
      <c r="BA128" s="193"/>
      <c r="BB128" s="193"/>
      <c r="BC128" s="193"/>
      <c r="BD128" s="119"/>
      <c r="BE128" s="119"/>
      <c r="BF128" s="119"/>
    </row>
    <row r="129" spans="1:58" ht="15.75" x14ac:dyDescent="0.25">
      <c r="A129" s="227"/>
      <c r="B129" s="227"/>
      <c r="C129" s="569" t="s">
        <v>738</v>
      </c>
      <c r="D129" s="569"/>
      <c r="E129" s="569"/>
      <c r="F129" s="569"/>
      <c r="G129" s="227"/>
      <c r="H129" s="227"/>
      <c r="I129" s="227"/>
      <c r="J129" s="228">
        <f>SUM(J6:J127)</f>
        <v>2580664.09</v>
      </c>
      <c r="K129" s="228"/>
      <c r="L129" s="229"/>
      <c r="M129" s="230"/>
      <c r="N129" s="230">
        <f t="shared" ref="N129:AR129" si="15">SUM(N6:N128)</f>
        <v>0</v>
      </c>
      <c r="O129" s="230">
        <f t="shared" si="15"/>
        <v>0</v>
      </c>
      <c r="P129" s="230">
        <f t="shared" si="15"/>
        <v>0</v>
      </c>
      <c r="Q129" s="230">
        <f t="shared" si="15"/>
        <v>0</v>
      </c>
      <c r="R129" s="230">
        <f t="shared" si="15"/>
        <v>0</v>
      </c>
      <c r="S129" s="230">
        <f t="shared" si="15"/>
        <v>0</v>
      </c>
      <c r="T129" s="230">
        <f t="shared" si="15"/>
        <v>0</v>
      </c>
      <c r="U129" s="230">
        <f t="shared" si="15"/>
        <v>0</v>
      </c>
      <c r="V129" s="230">
        <f t="shared" si="15"/>
        <v>0</v>
      </c>
      <c r="W129" s="230">
        <f t="shared" si="15"/>
        <v>0</v>
      </c>
      <c r="X129" s="230">
        <f t="shared" si="15"/>
        <v>0</v>
      </c>
      <c r="Y129" s="230">
        <f t="shared" si="15"/>
        <v>0</v>
      </c>
      <c r="Z129" s="230">
        <f t="shared" si="15"/>
        <v>0</v>
      </c>
      <c r="AA129" s="230">
        <f t="shared" si="15"/>
        <v>0</v>
      </c>
      <c r="AB129" s="230">
        <f t="shared" si="15"/>
        <v>0</v>
      </c>
      <c r="AC129" s="230">
        <f t="shared" si="15"/>
        <v>0</v>
      </c>
      <c r="AD129" s="231">
        <f t="shared" si="15"/>
        <v>0</v>
      </c>
      <c r="AE129" s="231">
        <f t="shared" si="15"/>
        <v>0</v>
      </c>
      <c r="AF129" s="231">
        <f t="shared" si="15"/>
        <v>0</v>
      </c>
      <c r="AG129" s="231">
        <f t="shared" si="15"/>
        <v>0</v>
      </c>
      <c r="AH129" s="231">
        <f t="shared" si="15"/>
        <v>0</v>
      </c>
      <c r="AI129" s="231">
        <f t="shared" si="15"/>
        <v>0</v>
      </c>
      <c r="AJ129" s="231">
        <f t="shared" si="15"/>
        <v>0</v>
      </c>
      <c r="AK129" s="231">
        <f t="shared" si="15"/>
        <v>0</v>
      </c>
      <c r="AL129" s="231">
        <f t="shared" si="15"/>
        <v>0</v>
      </c>
      <c r="AM129" s="231">
        <f t="shared" si="15"/>
        <v>0</v>
      </c>
      <c r="AN129" s="231">
        <f t="shared" si="15"/>
        <v>0</v>
      </c>
      <c r="AO129" s="231">
        <f t="shared" si="15"/>
        <v>0</v>
      </c>
      <c r="AP129" s="231">
        <f t="shared" si="15"/>
        <v>0</v>
      </c>
      <c r="AQ129" s="231">
        <f t="shared" si="15"/>
        <v>0</v>
      </c>
      <c r="AR129" s="231">
        <f t="shared" si="15"/>
        <v>0</v>
      </c>
      <c r="AS129" s="231"/>
      <c r="AT129" s="231"/>
      <c r="AU129" s="232">
        <f>SUM(AU96:AU128)</f>
        <v>0</v>
      </c>
      <c r="AV129" s="232">
        <f>SUM(AV95:AV128)</f>
        <v>20052.12</v>
      </c>
      <c r="AW129" s="232">
        <f>SUM(AW95:AW128)</f>
        <v>64289.919999999998</v>
      </c>
      <c r="AX129" s="232">
        <f>SUM(AX95:AX128)</f>
        <v>83582.52</v>
      </c>
      <c r="AY129" s="232">
        <f>SUM(AY95:AY128)</f>
        <v>96903.840000000011</v>
      </c>
      <c r="AZ129" s="233">
        <f>SUM(AZ6:AZ128)</f>
        <v>264828.40000000002</v>
      </c>
      <c r="BA129" s="193"/>
      <c r="BB129" s="193"/>
      <c r="BC129" s="193"/>
      <c r="BD129" s="119"/>
      <c r="BE129" s="200"/>
      <c r="BF129" s="200"/>
    </row>
    <row r="130" spans="1:58" x14ac:dyDescent="0.25">
      <c r="A130" s="115"/>
      <c r="B130" s="115"/>
      <c r="C130" s="115"/>
      <c r="D130" s="115"/>
      <c r="E130" s="118"/>
      <c r="F130" s="115"/>
      <c r="G130" s="115"/>
      <c r="H130" s="115"/>
      <c r="I130" s="115"/>
      <c r="J130" s="234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235"/>
      <c r="AF130" s="235"/>
      <c r="AG130" s="235"/>
      <c r="AH130" s="235"/>
      <c r="AI130" s="235"/>
      <c r="AJ130" s="235"/>
      <c r="AK130" s="235"/>
      <c r="AL130" s="235"/>
      <c r="AM130" s="235"/>
      <c r="AN130" s="235"/>
      <c r="AO130" s="235"/>
      <c r="AP130" s="235"/>
      <c r="AQ130" s="235"/>
      <c r="AR130" s="235"/>
      <c r="AS130" s="235"/>
      <c r="AT130" s="235"/>
      <c r="AU130" s="235"/>
      <c r="AV130" s="235"/>
      <c r="AW130" s="235"/>
      <c r="AX130" s="235"/>
      <c r="AY130" s="235"/>
      <c r="AZ130" s="115"/>
      <c r="BA130" s="115"/>
      <c r="BB130" s="115"/>
      <c r="BC130" s="115"/>
      <c r="BD130" s="116"/>
      <c r="BE130" s="116"/>
      <c r="BF130" s="116"/>
    </row>
  </sheetData>
  <mergeCells count="5">
    <mergeCell ref="A1:W1"/>
    <mergeCell ref="A2:W2"/>
    <mergeCell ref="A4:L4"/>
    <mergeCell ref="A49:BF49"/>
    <mergeCell ref="C129:F129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DD9E-A9D9-429F-ADC9-9C7F35000142}">
  <sheetPr codeName="Hoja7">
    <tabColor rgb="FFFFC000"/>
  </sheetPr>
  <dimension ref="A1:AR36"/>
  <sheetViews>
    <sheetView workbookViewId="0">
      <selection activeCell="B54" sqref="B54"/>
    </sheetView>
  </sheetViews>
  <sheetFormatPr baseColWidth="10" defaultColWidth="11.42578125" defaultRowHeight="15" x14ac:dyDescent="0.25"/>
  <cols>
    <col min="4" max="5" width="0" hidden="1" customWidth="1"/>
    <col min="7" max="7" width="24.42578125" bestFit="1" customWidth="1"/>
    <col min="10" max="10" width="13.140625" bestFit="1" customWidth="1"/>
    <col min="13" max="34" width="0" hidden="1" customWidth="1"/>
    <col min="43" max="43" width="13" bestFit="1" customWidth="1"/>
  </cols>
  <sheetData>
    <row r="1" spans="1:44" ht="15.75" customHeight="1" x14ac:dyDescent="0.25">
      <c r="A1" s="563" t="s">
        <v>698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  <c r="R1" s="563"/>
      <c r="S1" s="563"/>
      <c r="T1" s="563"/>
      <c r="U1" s="563"/>
      <c r="V1" s="563"/>
      <c r="W1" s="563"/>
      <c r="X1" s="563"/>
      <c r="Y1" s="563"/>
      <c r="Z1" s="563"/>
      <c r="AA1" s="563"/>
      <c r="AB1" s="563"/>
      <c r="AC1" s="563"/>
      <c r="AD1" s="563"/>
      <c r="AE1" s="563"/>
      <c r="AF1" s="563"/>
      <c r="AG1" s="563"/>
      <c r="AH1" s="563"/>
      <c r="AI1" s="563"/>
      <c r="AJ1" s="563"/>
      <c r="AK1" s="563"/>
      <c r="AL1" s="563"/>
      <c r="AQ1" s="236"/>
      <c r="AR1" s="52"/>
    </row>
    <row r="2" spans="1:44" ht="15.75" x14ac:dyDescent="0.25">
      <c r="A2" s="570" t="s">
        <v>888</v>
      </c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70"/>
      <c r="Q2" s="570"/>
      <c r="R2" s="570"/>
      <c r="S2" s="570"/>
      <c r="T2" s="570"/>
      <c r="U2" s="570"/>
      <c r="V2" s="570"/>
      <c r="W2" s="570"/>
      <c r="X2" s="570"/>
      <c r="Y2" s="570"/>
      <c r="Z2" s="570"/>
      <c r="AA2" s="570"/>
      <c r="AB2" s="570"/>
      <c r="AC2" s="570"/>
      <c r="AD2" s="570"/>
      <c r="AE2" s="570"/>
      <c r="AF2" s="570"/>
      <c r="AG2" s="570"/>
      <c r="AH2" s="570"/>
      <c r="AI2" s="570"/>
      <c r="AJ2" s="570"/>
      <c r="AK2" s="570"/>
      <c r="AL2" s="570"/>
      <c r="AQ2" s="236"/>
      <c r="AR2" s="52"/>
    </row>
    <row r="3" spans="1:44" x14ac:dyDescent="0.25">
      <c r="K3" s="56"/>
      <c r="AQ3" s="236"/>
      <c r="AR3" s="52"/>
    </row>
    <row r="4" spans="1:44" ht="38.25" x14ac:dyDescent="0.25">
      <c r="A4" s="571" t="s">
        <v>889</v>
      </c>
      <c r="B4" s="571"/>
      <c r="C4" s="571"/>
      <c r="D4" s="571"/>
      <c r="E4" s="571"/>
      <c r="F4" s="571"/>
      <c r="G4" s="571"/>
      <c r="H4" s="571"/>
      <c r="I4" s="571"/>
      <c r="J4" s="571"/>
      <c r="K4" s="571"/>
      <c r="L4" s="571"/>
      <c r="M4" s="120">
        <v>2020</v>
      </c>
      <c r="N4" s="120">
        <v>2020</v>
      </c>
      <c r="O4" s="120">
        <v>2020</v>
      </c>
      <c r="P4" s="120">
        <v>2020</v>
      </c>
      <c r="Q4" s="120">
        <v>2020</v>
      </c>
      <c r="R4" s="120">
        <v>2020</v>
      </c>
      <c r="S4" s="120">
        <v>2020</v>
      </c>
      <c r="T4" s="120">
        <v>2020</v>
      </c>
      <c r="U4" s="120">
        <v>2020</v>
      </c>
      <c r="V4" s="120">
        <v>2020</v>
      </c>
      <c r="W4" s="120">
        <v>2020</v>
      </c>
      <c r="X4" s="120">
        <v>2020</v>
      </c>
      <c r="Y4" s="120">
        <v>2021</v>
      </c>
      <c r="Z4" s="120">
        <v>2021</v>
      </c>
      <c r="AA4" s="120">
        <v>2021</v>
      </c>
      <c r="AB4" s="120">
        <v>2021</v>
      </c>
      <c r="AC4" s="120">
        <v>2021</v>
      </c>
      <c r="AD4" s="120">
        <v>2021</v>
      </c>
      <c r="AE4" s="120">
        <v>2021</v>
      </c>
      <c r="AF4" s="120">
        <v>2021</v>
      </c>
      <c r="AG4" s="120">
        <v>2021</v>
      </c>
      <c r="AH4" s="120">
        <v>2021</v>
      </c>
      <c r="AI4" s="120">
        <v>2021</v>
      </c>
      <c r="AJ4" s="120">
        <v>2021</v>
      </c>
      <c r="AK4" s="120">
        <v>2022</v>
      </c>
      <c r="AL4" s="121"/>
      <c r="AM4" s="237" t="s">
        <v>890</v>
      </c>
      <c r="AN4" s="237" t="s">
        <v>701</v>
      </c>
      <c r="AO4" s="237" t="s">
        <v>891</v>
      </c>
      <c r="AP4" s="238" t="s">
        <v>892</v>
      </c>
      <c r="AQ4" s="239" t="s">
        <v>739</v>
      </c>
      <c r="AR4" s="240" t="s">
        <v>740</v>
      </c>
    </row>
    <row r="5" spans="1:44" ht="51" x14ac:dyDescent="0.25">
      <c r="A5" s="124" t="s">
        <v>703</v>
      </c>
      <c r="B5" s="125" t="s">
        <v>633</v>
      </c>
      <c r="C5" s="125" t="s">
        <v>8</v>
      </c>
      <c r="D5" s="126" t="s">
        <v>656</v>
      </c>
      <c r="E5" s="241" t="s">
        <v>893</v>
      </c>
      <c r="F5" s="242" t="s">
        <v>894</v>
      </c>
      <c r="G5" s="129" t="s">
        <v>706</v>
      </c>
      <c r="H5" s="130" t="s">
        <v>895</v>
      </c>
      <c r="I5" s="130" t="s">
        <v>708</v>
      </c>
      <c r="J5" s="131" t="s">
        <v>709</v>
      </c>
      <c r="K5" s="131" t="s">
        <v>710</v>
      </c>
      <c r="L5" s="243" t="s">
        <v>711</v>
      </c>
      <c r="M5" s="244" t="s">
        <v>728</v>
      </c>
      <c r="N5" s="245" t="s">
        <v>729</v>
      </c>
      <c r="O5" s="246" t="s">
        <v>730</v>
      </c>
      <c r="P5" s="247" t="s">
        <v>731</v>
      </c>
      <c r="Q5" s="248" t="s">
        <v>732</v>
      </c>
      <c r="R5" s="249" t="s">
        <v>733</v>
      </c>
      <c r="S5" s="250" t="s">
        <v>734</v>
      </c>
      <c r="T5" s="251" t="s">
        <v>735</v>
      </c>
      <c r="U5" s="252" t="s">
        <v>724</v>
      </c>
      <c r="V5" s="253" t="s">
        <v>725</v>
      </c>
      <c r="W5" s="254" t="s">
        <v>896</v>
      </c>
      <c r="X5" s="255" t="s">
        <v>727</v>
      </c>
      <c r="Y5" s="256" t="s">
        <v>728</v>
      </c>
      <c r="Z5" s="245" t="s">
        <v>729</v>
      </c>
      <c r="AA5" s="245" t="s">
        <v>730</v>
      </c>
      <c r="AB5" s="245" t="s">
        <v>897</v>
      </c>
      <c r="AC5" s="245" t="s">
        <v>732</v>
      </c>
      <c r="AD5" s="245" t="s">
        <v>733</v>
      </c>
      <c r="AE5" s="245" t="s">
        <v>734</v>
      </c>
      <c r="AF5" s="245" t="s">
        <v>898</v>
      </c>
      <c r="AG5" s="245" t="s">
        <v>724</v>
      </c>
      <c r="AH5" s="245" t="s">
        <v>725</v>
      </c>
      <c r="AI5" s="245" t="s">
        <v>726</v>
      </c>
      <c r="AJ5" s="245" t="s">
        <v>899</v>
      </c>
      <c r="AK5" s="245" t="s">
        <v>728</v>
      </c>
      <c r="AL5" s="166" t="s">
        <v>736</v>
      </c>
      <c r="AM5" s="168"/>
      <c r="AN5" s="168"/>
      <c r="AO5" s="168"/>
      <c r="AP5" s="257"/>
      <c r="AQ5" s="258"/>
      <c r="AR5" s="240"/>
    </row>
    <row r="6" spans="1:44" ht="15.75" hidden="1" x14ac:dyDescent="0.25">
      <c r="A6" s="259">
        <v>44099</v>
      </c>
      <c r="B6" s="259">
        <v>44104</v>
      </c>
      <c r="C6" s="259">
        <v>44133</v>
      </c>
      <c r="D6" s="259"/>
      <c r="E6" s="259"/>
      <c r="F6" s="174"/>
      <c r="G6" s="175" t="s">
        <v>900</v>
      </c>
      <c r="H6" s="174">
        <v>20569124</v>
      </c>
      <c r="I6" s="174" t="s">
        <v>665</v>
      </c>
      <c r="J6" s="260">
        <f>17649+245.2</f>
        <v>17894.2</v>
      </c>
      <c r="K6" s="314" t="s">
        <v>901</v>
      </c>
      <c r="L6" s="261">
        <f t="shared" ref="L6:L30" si="0">A6+45</f>
        <v>44144</v>
      </c>
      <c r="M6" s="260"/>
      <c r="N6" s="260"/>
      <c r="O6" s="260"/>
      <c r="P6" s="260"/>
      <c r="Q6" s="260"/>
      <c r="R6" s="262"/>
      <c r="S6" s="260"/>
      <c r="T6" s="260"/>
      <c r="U6" s="260"/>
      <c r="V6" s="260"/>
      <c r="W6" s="263"/>
      <c r="X6" s="264"/>
      <c r="Y6" s="264"/>
      <c r="Z6" s="264"/>
      <c r="AA6" s="264"/>
      <c r="AB6" s="264"/>
      <c r="AC6" s="264"/>
      <c r="AD6" s="264"/>
      <c r="AE6" s="264"/>
      <c r="AF6" s="264"/>
      <c r="AG6" s="264"/>
      <c r="AH6" s="264"/>
      <c r="AI6" s="264"/>
      <c r="AJ6" s="264"/>
      <c r="AK6" s="264"/>
      <c r="AL6" s="265">
        <f>W6</f>
        <v>0</v>
      </c>
      <c r="AM6" s="266">
        <v>21.376999999999999</v>
      </c>
      <c r="AN6" s="266">
        <v>1.17275</v>
      </c>
      <c r="AO6" s="266">
        <v>24.7699</v>
      </c>
      <c r="AP6" s="267"/>
      <c r="AQ6" s="268">
        <v>445334.64</v>
      </c>
      <c r="AR6" s="269"/>
    </row>
    <row r="7" spans="1:44" ht="15.75" hidden="1" x14ac:dyDescent="0.25">
      <c r="A7" s="172">
        <v>44140</v>
      </c>
      <c r="B7" s="172">
        <v>44143</v>
      </c>
      <c r="C7" s="172">
        <v>44165</v>
      </c>
      <c r="D7" s="172"/>
      <c r="E7" s="172"/>
      <c r="F7" s="174"/>
      <c r="G7" s="175" t="s">
        <v>902</v>
      </c>
      <c r="H7" s="121">
        <v>20577433</v>
      </c>
      <c r="I7" s="121" t="s">
        <v>668</v>
      </c>
      <c r="J7" s="119">
        <v>19234.8</v>
      </c>
      <c r="K7" s="314" t="s">
        <v>901</v>
      </c>
      <c r="L7" s="177">
        <f t="shared" si="0"/>
        <v>44185</v>
      </c>
      <c r="M7" s="119"/>
      <c r="N7" s="119"/>
      <c r="O7" s="119"/>
      <c r="P7" s="119"/>
      <c r="Q7" s="119"/>
      <c r="R7" s="178"/>
      <c r="S7" s="119"/>
      <c r="T7" s="119"/>
      <c r="U7" s="119"/>
      <c r="V7" s="119"/>
      <c r="W7" s="179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1">
        <f>X7</f>
        <v>0</v>
      </c>
      <c r="AM7" s="266">
        <v>20.046700000000001</v>
      </c>
      <c r="AN7" s="182">
        <v>1.1678500000000001</v>
      </c>
      <c r="AO7" s="182">
        <f>AN7*AM7</f>
        <v>23.411538595000003</v>
      </c>
      <c r="AP7" s="270"/>
      <c r="AQ7" s="271"/>
      <c r="AR7" s="119"/>
    </row>
    <row r="8" spans="1:44" ht="15.75" hidden="1" x14ac:dyDescent="0.25">
      <c r="A8" s="172">
        <v>44194</v>
      </c>
      <c r="B8" s="172">
        <v>44200</v>
      </c>
      <c r="C8" s="172">
        <v>44221</v>
      </c>
      <c r="D8" s="172"/>
      <c r="E8" s="172"/>
      <c r="F8" s="174"/>
      <c r="G8" s="175" t="s">
        <v>903</v>
      </c>
      <c r="H8" s="121">
        <v>20586513</v>
      </c>
      <c r="I8" s="121" t="s">
        <v>668</v>
      </c>
      <c r="J8" s="119">
        <v>16632</v>
      </c>
      <c r="K8" s="314" t="s">
        <v>904</v>
      </c>
      <c r="L8" s="177">
        <f t="shared" si="0"/>
        <v>44239</v>
      </c>
      <c r="M8" s="119"/>
      <c r="N8" s="119"/>
      <c r="O8" s="119"/>
      <c r="P8" s="119"/>
      <c r="Q8" s="119"/>
      <c r="R8" s="178"/>
      <c r="S8" s="119"/>
      <c r="T8" s="119"/>
      <c r="U8" s="119"/>
      <c r="V8" s="119"/>
      <c r="W8" s="179"/>
      <c r="X8" s="180"/>
      <c r="Y8" s="180"/>
      <c r="Z8" s="180"/>
      <c r="AA8" s="180"/>
      <c r="AB8" s="180"/>
      <c r="AC8" s="180"/>
      <c r="AD8" s="180"/>
      <c r="AE8" s="180"/>
      <c r="AF8" s="180"/>
      <c r="AG8" s="180"/>
      <c r="AH8" s="180"/>
      <c r="AI8" s="180"/>
      <c r="AJ8" s="180"/>
      <c r="AK8" s="180"/>
      <c r="AL8" s="181">
        <f>X8</f>
        <v>0</v>
      </c>
      <c r="AM8" s="266">
        <v>19.7393</v>
      </c>
      <c r="AN8" s="182">
        <v>1.2234</v>
      </c>
      <c r="AO8" s="182">
        <f>AM8*AN8</f>
        <v>24.149059619999999</v>
      </c>
      <c r="AP8" s="270"/>
      <c r="AQ8" s="271"/>
      <c r="AR8" s="119"/>
    </row>
    <row r="9" spans="1:44" ht="15.75" hidden="1" x14ac:dyDescent="0.25">
      <c r="A9" s="172">
        <v>44228</v>
      </c>
      <c r="B9" s="172">
        <f>C9-20</f>
        <v>44229</v>
      </c>
      <c r="C9" s="172">
        <v>44249</v>
      </c>
      <c r="D9" s="172"/>
      <c r="E9" s="172"/>
      <c r="F9" s="174"/>
      <c r="G9" s="175" t="s">
        <v>905</v>
      </c>
      <c r="H9" s="121">
        <v>21592448</v>
      </c>
      <c r="I9" s="121" t="s">
        <v>668</v>
      </c>
      <c r="J9" s="119">
        <v>17808.599999999999</v>
      </c>
      <c r="K9" s="314"/>
      <c r="L9" s="177">
        <f t="shared" si="0"/>
        <v>44273</v>
      </c>
      <c r="M9" s="119"/>
      <c r="N9" s="119"/>
      <c r="O9" s="119"/>
      <c r="P9" s="119"/>
      <c r="Q9" s="119">
        <f>J9</f>
        <v>17808.599999999999</v>
      </c>
      <c r="R9" s="178"/>
      <c r="S9" s="119"/>
      <c r="T9" s="119"/>
      <c r="U9" s="119"/>
      <c r="V9" s="119"/>
      <c r="W9" s="179"/>
      <c r="X9" s="180"/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  <c r="AJ9" s="180"/>
      <c r="AK9" s="180"/>
      <c r="AL9" s="181">
        <f>X9</f>
        <v>0</v>
      </c>
      <c r="AM9" s="266">
        <v>20.416499999999999</v>
      </c>
      <c r="AN9" s="182">
        <v>1.2145999999999999</v>
      </c>
      <c r="AO9" s="182">
        <f>AM9*AN9</f>
        <v>24.797880899999996</v>
      </c>
      <c r="AP9" s="272"/>
      <c r="AQ9" s="271"/>
      <c r="AR9" s="119"/>
    </row>
    <row r="10" spans="1:44" ht="15.75" hidden="1" x14ac:dyDescent="0.25">
      <c r="A10" s="172">
        <v>44316</v>
      </c>
      <c r="B10" s="172">
        <f>C10-22</f>
        <v>44324</v>
      </c>
      <c r="C10" s="185">
        <v>44346</v>
      </c>
      <c r="D10" s="172"/>
      <c r="E10" s="172"/>
      <c r="F10" s="174">
        <v>308953</v>
      </c>
      <c r="G10" s="175" t="s">
        <v>906</v>
      </c>
      <c r="H10" s="121">
        <v>21609532</v>
      </c>
      <c r="I10" s="121" t="s">
        <v>668</v>
      </c>
      <c r="J10" s="119">
        <v>17344.8</v>
      </c>
      <c r="K10" s="314" t="s">
        <v>349</v>
      </c>
      <c r="L10" s="177">
        <f t="shared" si="0"/>
        <v>44361</v>
      </c>
      <c r="M10" s="119"/>
      <c r="N10" s="119"/>
      <c r="O10" s="119"/>
      <c r="P10" s="119"/>
      <c r="Q10" s="119"/>
      <c r="R10" s="178"/>
      <c r="S10" s="119"/>
      <c r="T10" s="119"/>
      <c r="U10" s="119"/>
      <c r="V10" s="119"/>
      <c r="W10" s="179"/>
      <c r="X10" s="180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1">
        <f>AD10</f>
        <v>0</v>
      </c>
      <c r="AM10" s="273">
        <v>20.049499999999998</v>
      </c>
      <c r="AN10" s="188">
        <v>1.2040500000000001</v>
      </c>
      <c r="AO10" s="188">
        <f>AN10*AM10</f>
        <v>24.140600474999999</v>
      </c>
      <c r="AP10" s="272"/>
      <c r="AQ10" s="274"/>
      <c r="AR10" s="275"/>
    </row>
    <row r="11" spans="1:44" ht="15.75" hidden="1" x14ac:dyDescent="0.25">
      <c r="A11" s="172">
        <v>44306</v>
      </c>
      <c r="B11" s="172">
        <v>44310</v>
      </c>
      <c r="C11" s="185">
        <v>44332</v>
      </c>
      <c r="D11" s="119"/>
      <c r="E11" s="172"/>
      <c r="F11" s="174">
        <v>315007</v>
      </c>
      <c r="G11" s="175" t="s">
        <v>907</v>
      </c>
      <c r="H11" s="121">
        <v>21607276</v>
      </c>
      <c r="I11" s="121" t="s">
        <v>668</v>
      </c>
      <c r="J11" s="119">
        <v>21276</v>
      </c>
      <c r="K11" s="314" t="s">
        <v>908</v>
      </c>
      <c r="L11" s="177">
        <f t="shared" si="0"/>
        <v>44351</v>
      </c>
      <c r="M11" s="119"/>
      <c r="N11" s="119"/>
      <c r="O11" s="119"/>
      <c r="P11" s="119"/>
      <c r="Q11" s="119"/>
      <c r="R11" s="178"/>
      <c r="S11" s="119"/>
      <c r="T11" s="119"/>
      <c r="U11" s="119"/>
      <c r="V11" s="119"/>
      <c r="W11" s="179"/>
      <c r="X11" s="180"/>
      <c r="Y11" s="180"/>
      <c r="Z11" s="180"/>
      <c r="AA11" s="180"/>
      <c r="AB11" s="180"/>
      <c r="AC11" s="180"/>
      <c r="AD11" s="180"/>
      <c r="AE11" s="180"/>
      <c r="AF11" s="180"/>
      <c r="AG11" s="180"/>
      <c r="AH11" s="180"/>
      <c r="AI11" s="180"/>
      <c r="AJ11" s="180"/>
      <c r="AK11" s="180"/>
      <c r="AL11" s="181">
        <f>AD11</f>
        <v>0</v>
      </c>
      <c r="AM11" s="276"/>
      <c r="AN11" s="193"/>
      <c r="AO11" s="193"/>
      <c r="AP11" s="272"/>
      <c r="AQ11" s="274"/>
      <c r="AR11" s="275"/>
    </row>
    <row r="12" spans="1:44" ht="15.75" hidden="1" x14ac:dyDescent="0.25">
      <c r="A12" s="172">
        <v>44432</v>
      </c>
      <c r="B12" s="172">
        <v>44426</v>
      </c>
      <c r="C12" s="185">
        <v>44458</v>
      </c>
      <c r="D12" s="172"/>
      <c r="E12" s="172"/>
      <c r="F12" s="174">
        <v>382734</v>
      </c>
      <c r="G12" s="175" t="s">
        <v>909</v>
      </c>
      <c r="H12" s="121">
        <v>21635163</v>
      </c>
      <c r="I12" s="121" t="s">
        <v>668</v>
      </c>
      <c r="J12" s="119">
        <v>21207.599999999999</v>
      </c>
      <c r="K12" s="314"/>
      <c r="L12" s="177">
        <f t="shared" si="0"/>
        <v>44477</v>
      </c>
      <c r="M12" s="119"/>
      <c r="N12" s="119"/>
      <c r="O12" s="119"/>
      <c r="P12" s="119"/>
      <c r="Q12" s="119"/>
      <c r="R12" s="178"/>
      <c r="S12" s="119"/>
      <c r="T12" s="119"/>
      <c r="U12" s="119"/>
      <c r="V12" s="119"/>
      <c r="W12" s="179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1">
        <f>AH12</f>
        <v>0</v>
      </c>
      <c r="AM12" s="276"/>
      <c r="AN12" s="193"/>
      <c r="AO12" s="193"/>
      <c r="AP12" s="272"/>
      <c r="AQ12" s="274"/>
      <c r="AR12" s="275"/>
    </row>
    <row r="13" spans="1:44" ht="15.75" hidden="1" x14ac:dyDescent="0.25">
      <c r="A13" s="172">
        <v>44440</v>
      </c>
      <c r="B13" s="172">
        <v>44443</v>
      </c>
      <c r="C13" s="185">
        <v>44460</v>
      </c>
      <c r="D13" s="172"/>
      <c r="E13" s="172"/>
      <c r="F13" s="174">
        <v>390236</v>
      </c>
      <c r="G13" s="175" t="s">
        <v>910</v>
      </c>
      <c r="H13" s="121">
        <v>21638905</v>
      </c>
      <c r="I13" s="121" t="s">
        <v>665</v>
      </c>
      <c r="J13" s="119">
        <v>21391.200000000001</v>
      </c>
      <c r="K13" s="314"/>
      <c r="L13" s="177">
        <f t="shared" si="0"/>
        <v>44485</v>
      </c>
      <c r="M13" s="119"/>
      <c r="N13" s="119"/>
      <c r="O13" s="119"/>
      <c r="P13" s="119"/>
      <c r="Q13" s="119"/>
      <c r="R13" s="178"/>
      <c r="S13" s="119"/>
      <c r="T13" s="119"/>
      <c r="U13" s="119"/>
      <c r="V13" s="119"/>
      <c r="W13" s="179"/>
      <c r="X13" s="180"/>
      <c r="Y13" s="180"/>
      <c r="Z13" s="180"/>
      <c r="AA13" s="180"/>
      <c r="AB13" s="180"/>
      <c r="AC13" s="180"/>
      <c r="AD13" s="180"/>
      <c r="AE13" s="180"/>
      <c r="AF13" s="180"/>
      <c r="AG13" s="180"/>
      <c r="AH13" s="180"/>
      <c r="AI13" s="180"/>
      <c r="AJ13" s="180"/>
      <c r="AK13" s="180"/>
      <c r="AL13" s="181">
        <f>AH13</f>
        <v>0</v>
      </c>
      <c r="AM13" s="276"/>
      <c r="AN13" s="193"/>
      <c r="AO13" s="193"/>
      <c r="AP13" s="272"/>
      <c r="AQ13" s="274"/>
      <c r="AR13" s="275"/>
    </row>
    <row r="14" spans="1:44" ht="15.75" hidden="1" x14ac:dyDescent="0.25">
      <c r="A14" s="172">
        <v>44490</v>
      </c>
      <c r="B14" s="172">
        <v>44492</v>
      </c>
      <c r="C14" s="185">
        <v>44514</v>
      </c>
      <c r="D14" s="172"/>
      <c r="E14" s="172"/>
      <c r="F14" s="174"/>
      <c r="G14" s="175" t="s">
        <v>911</v>
      </c>
      <c r="H14" s="121">
        <v>216488602</v>
      </c>
      <c r="I14" s="121" t="s">
        <v>668</v>
      </c>
      <c r="J14" s="119">
        <v>21225.599999999999</v>
      </c>
      <c r="K14" s="314"/>
      <c r="L14" s="177">
        <f>A14+45</f>
        <v>44535</v>
      </c>
      <c r="M14" s="119"/>
      <c r="N14" s="119"/>
      <c r="O14" s="119"/>
      <c r="P14" s="119"/>
      <c r="Q14" s="119"/>
      <c r="R14" s="178"/>
      <c r="S14" s="119"/>
      <c r="T14" s="119"/>
      <c r="U14" s="119"/>
      <c r="V14" s="119"/>
      <c r="W14" s="179"/>
      <c r="X14" s="180"/>
      <c r="Y14" s="180"/>
      <c r="Z14" s="180"/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1">
        <f>AJ14</f>
        <v>0</v>
      </c>
      <c r="AM14" s="276"/>
      <c r="AN14" s="193"/>
      <c r="AO14" s="193"/>
      <c r="AP14" s="272"/>
      <c r="AQ14" s="274"/>
      <c r="AR14" s="275"/>
    </row>
    <row r="15" spans="1:44" ht="15.75" hidden="1" x14ac:dyDescent="0.25">
      <c r="A15" s="172">
        <v>44476</v>
      </c>
      <c r="B15" s="172">
        <v>44478</v>
      </c>
      <c r="C15" s="185">
        <v>44495</v>
      </c>
      <c r="D15" s="172"/>
      <c r="E15" s="172"/>
      <c r="F15" s="174"/>
      <c r="G15" s="175" t="s">
        <v>912</v>
      </c>
      <c r="H15" s="121">
        <v>21645554</v>
      </c>
      <c r="I15" s="121" t="s">
        <v>665</v>
      </c>
      <c r="J15" s="119">
        <v>21513.599999999999</v>
      </c>
      <c r="K15" s="314" t="s">
        <v>913</v>
      </c>
      <c r="L15" s="177">
        <f t="shared" si="0"/>
        <v>44521</v>
      </c>
      <c r="M15" s="119"/>
      <c r="N15" s="119"/>
      <c r="O15" s="119"/>
      <c r="P15" s="119"/>
      <c r="Q15" s="119"/>
      <c r="R15" s="178"/>
      <c r="S15" s="119"/>
      <c r="T15" s="119"/>
      <c r="U15" s="119"/>
      <c r="V15" s="119"/>
      <c r="W15" s="179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0"/>
      <c r="AK15" s="180"/>
      <c r="AL15" s="181">
        <f>AI15</f>
        <v>0</v>
      </c>
      <c r="AM15" s="276"/>
      <c r="AN15" s="193"/>
      <c r="AO15" s="193"/>
      <c r="AP15" s="272"/>
      <c r="AQ15" s="274"/>
      <c r="AR15" s="275"/>
    </row>
    <row r="16" spans="1:44" ht="15.75" hidden="1" x14ac:dyDescent="0.25">
      <c r="A16" s="172">
        <v>44497</v>
      </c>
      <c r="B16" s="172">
        <v>44499</v>
      </c>
      <c r="C16" s="185">
        <v>44516</v>
      </c>
      <c r="D16" s="172"/>
      <c r="E16" s="172"/>
      <c r="F16" s="174"/>
      <c r="G16" s="175" t="s">
        <v>914</v>
      </c>
      <c r="H16" s="121">
        <v>21650243</v>
      </c>
      <c r="I16" s="121" t="s">
        <v>665</v>
      </c>
      <c r="J16" s="119">
        <v>22690.799999999999</v>
      </c>
      <c r="K16" s="314" t="s">
        <v>913</v>
      </c>
      <c r="L16" s="177">
        <f t="shared" si="0"/>
        <v>44542</v>
      </c>
      <c r="M16" s="119"/>
      <c r="N16" s="119"/>
      <c r="O16" s="119"/>
      <c r="P16" s="119"/>
      <c r="Q16" s="119"/>
      <c r="R16" s="178"/>
      <c r="S16" s="119"/>
      <c r="T16" s="119"/>
      <c r="U16" s="119"/>
      <c r="V16" s="119"/>
      <c r="W16" s="179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>
        <v>0</v>
      </c>
      <c r="AK16" s="180"/>
      <c r="AL16" s="181">
        <f>AJ16</f>
        <v>0</v>
      </c>
      <c r="AM16" s="276"/>
      <c r="AN16" s="193"/>
      <c r="AO16" s="193"/>
      <c r="AP16" s="272"/>
      <c r="AQ16" s="274"/>
      <c r="AR16" s="275"/>
    </row>
    <row r="17" spans="1:44" ht="15.75" hidden="1" x14ac:dyDescent="0.25">
      <c r="A17" s="172">
        <v>44588</v>
      </c>
      <c r="B17" s="172">
        <v>44620</v>
      </c>
      <c r="C17" s="185">
        <v>44632</v>
      </c>
      <c r="D17" s="172"/>
      <c r="E17" s="172"/>
      <c r="F17" s="174"/>
      <c r="G17" s="175" t="s">
        <v>915</v>
      </c>
      <c r="H17" s="121">
        <v>22669196</v>
      </c>
      <c r="I17" s="121" t="s">
        <v>668</v>
      </c>
      <c r="J17" s="119">
        <v>22796.799999999999</v>
      </c>
      <c r="K17" s="314" t="s">
        <v>904</v>
      </c>
      <c r="L17" s="177">
        <f t="shared" si="0"/>
        <v>44633</v>
      </c>
      <c r="M17" s="119"/>
      <c r="N17" s="119"/>
      <c r="O17" s="119"/>
      <c r="P17" s="119"/>
      <c r="Q17" s="119"/>
      <c r="R17" s="178"/>
      <c r="S17" s="119"/>
      <c r="T17" s="119"/>
      <c r="U17" s="119"/>
      <c r="V17" s="119"/>
      <c r="W17" s="179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0"/>
      <c r="AK17" s="180">
        <f>J17</f>
        <v>22796.799999999999</v>
      </c>
      <c r="AL17" s="181">
        <f>AK17</f>
        <v>22796.799999999999</v>
      </c>
      <c r="AM17" s="276"/>
      <c r="AN17" s="193"/>
      <c r="AO17" s="193"/>
      <c r="AP17" s="272"/>
      <c r="AQ17" s="274"/>
      <c r="AR17" s="275"/>
    </row>
    <row r="18" spans="1:44" ht="15.75" hidden="1" x14ac:dyDescent="0.25">
      <c r="A18" s="172">
        <v>44603</v>
      </c>
      <c r="B18" s="172">
        <v>44612</v>
      </c>
      <c r="C18" s="185">
        <v>44632</v>
      </c>
      <c r="D18" s="172"/>
      <c r="E18" s="172"/>
      <c r="F18" s="174"/>
      <c r="G18" s="175" t="s">
        <v>916</v>
      </c>
      <c r="H18" s="121">
        <v>22672671</v>
      </c>
      <c r="I18" s="121" t="s">
        <v>668</v>
      </c>
      <c r="J18" s="119">
        <v>22627.599999999999</v>
      </c>
      <c r="K18" s="314" t="s">
        <v>369</v>
      </c>
      <c r="L18" s="177">
        <f t="shared" si="0"/>
        <v>44648</v>
      </c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5"/>
      <c r="AH18" s="225"/>
      <c r="AI18" s="225"/>
      <c r="AJ18" s="225"/>
      <c r="AK18" s="225"/>
      <c r="AL18" s="181"/>
      <c r="AM18" s="276"/>
      <c r="AN18" s="193"/>
      <c r="AO18" s="193"/>
      <c r="AP18" s="272"/>
      <c r="AQ18" s="274"/>
      <c r="AR18" s="275"/>
    </row>
    <row r="19" spans="1:44" ht="15.75" hidden="1" x14ac:dyDescent="0.25">
      <c r="A19" s="172">
        <v>44624</v>
      </c>
      <c r="B19" s="172">
        <v>44627</v>
      </c>
      <c r="C19" s="185">
        <v>44648</v>
      </c>
      <c r="D19" s="172"/>
      <c r="E19" s="172"/>
      <c r="F19" s="174"/>
      <c r="G19" s="175" t="s">
        <v>917</v>
      </c>
      <c r="H19" s="121">
        <v>22677663</v>
      </c>
      <c r="I19" s="121" t="s">
        <v>749</v>
      </c>
      <c r="J19" s="119">
        <v>28478.6</v>
      </c>
      <c r="K19" s="314" t="s">
        <v>176</v>
      </c>
      <c r="L19" s="177">
        <f t="shared" si="0"/>
        <v>44669</v>
      </c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5"/>
      <c r="X19" s="225"/>
      <c r="Y19" s="225"/>
      <c r="Z19" s="225"/>
      <c r="AA19" s="225"/>
      <c r="AB19" s="225"/>
      <c r="AC19" s="225"/>
      <c r="AD19" s="225"/>
      <c r="AE19" s="225"/>
      <c r="AF19" s="225"/>
      <c r="AG19" s="225"/>
      <c r="AH19" s="225"/>
      <c r="AI19" s="225"/>
      <c r="AJ19" s="225"/>
      <c r="AK19" s="225"/>
      <c r="AL19" s="181"/>
      <c r="AM19" s="276"/>
      <c r="AN19" s="193"/>
      <c r="AO19" s="193"/>
      <c r="AP19" s="272"/>
      <c r="AQ19" s="274"/>
      <c r="AR19" s="275"/>
    </row>
    <row r="20" spans="1:44" ht="15.75" hidden="1" x14ac:dyDescent="0.25">
      <c r="A20" s="172">
        <v>44657</v>
      </c>
      <c r="B20" s="172">
        <v>44655</v>
      </c>
      <c r="C20" s="185">
        <v>44681</v>
      </c>
      <c r="D20" s="172"/>
      <c r="E20" s="172"/>
      <c r="F20" s="174">
        <v>497593</v>
      </c>
      <c r="G20" s="175" t="s">
        <v>918</v>
      </c>
      <c r="H20" s="121">
        <v>22684712</v>
      </c>
      <c r="I20" s="121" t="s">
        <v>668</v>
      </c>
      <c r="J20" s="119">
        <v>26683</v>
      </c>
      <c r="K20" s="314" t="s">
        <v>369</v>
      </c>
      <c r="L20" s="177">
        <f t="shared" si="0"/>
        <v>44702</v>
      </c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5"/>
      <c r="X20" s="225"/>
      <c r="Y20" s="225"/>
      <c r="Z20" s="225"/>
      <c r="AA20" s="225"/>
      <c r="AB20" s="225"/>
      <c r="AC20" s="225"/>
      <c r="AD20" s="225"/>
      <c r="AE20" s="225"/>
      <c r="AF20" s="225"/>
      <c r="AG20" s="225"/>
      <c r="AH20" s="225"/>
      <c r="AI20" s="225"/>
      <c r="AJ20" s="225"/>
      <c r="AK20" s="225"/>
      <c r="AL20" s="181"/>
      <c r="AM20" s="276"/>
      <c r="AN20" s="193"/>
      <c r="AO20" s="193"/>
      <c r="AP20" s="272"/>
      <c r="AQ20" s="274"/>
      <c r="AR20" s="275"/>
    </row>
    <row r="21" spans="1:44" ht="15.75" hidden="1" x14ac:dyDescent="0.25">
      <c r="A21" s="172">
        <v>44679</v>
      </c>
      <c r="B21" s="172">
        <v>44681</v>
      </c>
      <c r="C21" s="185">
        <v>44704</v>
      </c>
      <c r="D21" s="172"/>
      <c r="E21" s="172"/>
      <c r="F21" s="174"/>
      <c r="G21" s="175" t="s">
        <v>919</v>
      </c>
      <c r="H21" s="121">
        <v>22689326</v>
      </c>
      <c r="I21" s="121" t="s">
        <v>668</v>
      </c>
      <c r="J21" s="119">
        <v>27093.4</v>
      </c>
      <c r="K21" s="314" t="s">
        <v>377</v>
      </c>
      <c r="L21" s="177">
        <f t="shared" si="0"/>
        <v>44724</v>
      </c>
      <c r="M21" s="224"/>
      <c r="N21" s="224"/>
      <c r="O21" s="224"/>
      <c r="P21" s="224"/>
      <c r="Q21" s="224"/>
      <c r="R21" s="224"/>
      <c r="S21" s="224"/>
      <c r="T21" s="224"/>
      <c r="U21" s="224"/>
      <c r="V21" s="224"/>
      <c r="W21" s="225"/>
      <c r="X21" s="225"/>
      <c r="Y21" s="225"/>
      <c r="Z21" s="225"/>
      <c r="AA21" s="225"/>
      <c r="AB21" s="225"/>
      <c r="AC21" s="225"/>
      <c r="AD21" s="225"/>
      <c r="AE21" s="225"/>
      <c r="AF21" s="225"/>
      <c r="AG21" s="225"/>
      <c r="AH21" s="225"/>
      <c r="AI21" s="225"/>
      <c r="AJ21" s="225"/>
      <c r="AK21" s="225"/>
      <c r="AL21" s="181"/>
      <c r="AM21" s="276"/>
      <c r="AN21" s="193"/>
      <c r="AO21" s="193"/>
      <c r="AP21" s="272"/>
      <c r="AQ21" s="274"/>
      <c r="AR21" s="275"/>
    </row>
    <row r="22" spans="1:44" ht="15.75" hidden="1" x14ac:dyDescent="0.25">
      <c r="A22" s="172">
        <v>44685</v>
      </c>
      <c r="B22" s="172">
        <v>44688</v>
      </c>
      <c r="C22" s="185">
        <v>44711</v>
      </c>
      <c r="D22" s="172"/>
      <c r="E22" s="172"/>
      <c r="F22" s="174"/>
      <c r="G22" s="175" t="s">
        <v>920</v>
      </c>
      <c r="H22" s="121">
        <v>22689325</v>
      </c>
      <c r="I22" s="121" t="s">
        <v>668</v>
      </c>
      <c r="J22" s="119">
        <v>29528.2</v>
      </c>
      <c r="K22" s="314" t="s">
        <v>369</v>
      </c>
      <c r="L22" s="177">
        <f t="shared" si="0"/>
        <v>44730</v>
      </c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5"/>
      <c r="X22" s="225"/>
      <c r="Y22" s="225"/>
      <c r="Z22" s="225"/>
      <c r="AA22" s="225"/>
      <c r="AB22" s="225"/>
      <c r="AC22" s="225"/>
      <c r="AD22" s="225"/>
      <c r="AE22" s="225"/>
      <c r="AF22" s="225"/>
      <c r="AG22" s="225"/>
      <c r="AH22" s="225"/>
      <c r="AI22" s="225"/>
      <c r="AJ22" s="225"/>
      <c r="AK22" s="225"/>
      <c r="AL22" s="181"/>
      <c r="AM22" s="276"/>
      <c r="AN22" s="193"/>
      <c r="AO22" s="193"/>
      <c r="AP22" s="272"/>
      <c r="AQ22" s="274"/>
      <c r="AR22" s="275"/>
    </row>
    <row r="23" spans="1:44" ht="15.75" hidden="1" x14ac:dyDescent="0.25">
      <c r="A23" s="172">
        <v>44699</v>
      </c>
      <c r="B23" s="172">
        <v>44702</v>
      </c>
      <c r="C23" s="185">
        <v>44723</v>
      </c>
      <c r="D23" s="172"/>
      <c r="E23" s="172"/>
      <c r="F23" s="174"/>
      <c r="G23" s="175" t="s">
        <v>921</v>
      </c>
      <c r="H23" s="121">
        <v>22693735</v>
      </c>
      <c r="I23" s="121" t="s">
        <v>668</v>
      </c>
      <c r="J23" s="119">
        <v>29294.2</v>
      </c>
      <c r="K23" s="314" t="s">
        <v>377</v>
      </c>
      <c r="L23" s="177">
        <f t="shared" si="0"/>
        <v>44744</v>
      </c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5"/>
      <c r="X23" s="225"/>
      <c r="Y23" s="225"/>
      <c r="Z23" s="225"/>
      <c r="AA23" s="225"/>
      <c r="AB23" s="225"/>
      <c r="AC23" s="225"/>
      <c r="AD23" s="225"/>
      <c r="AE23" s="225"/>
      <c r="AF23" s="225"/>
      <c r="AG23" s="225"/>
      <c r="AH23" s="225"/>
      <c r="AI23" s="225"/>
      <c r="AJ23" s="225"/>
      <c r="AK23" s="225"/>
      <c r="AL23" s="181"/>
      <c r="AM23" s="276"/>
      <c r="AN23" s="193"/>
      <c r="AO23" s="193"/>
      <c r="AP23" s="272"/>
      <c r="AQ23" s="274"/>
      <c r="AR23" s="275"/>
    </row>
    <row r="24" spans="1:44" ht="15.75" hidden="1" x14ac:dyDescent="0.25">
      <c r="A24" s="172">
        <v>44699</v>
      </c>
      <c r="B24" s="172">
        <v>44702</v>
      </c>
      <c r="C24" s="185">
        <v>44723</v>
      </c>
      <c r="D24" s="172"/>
      <c r="E24" s="172"/>
      <c r="F24" s="174"/>
      <c r="G24" s="175" t="s">
        <v>922</v>
      </c>
      <c r="H24" s="121">
        <v>22693479</v>
      </c>
      <c r="I24" s="121" t="s">
        <v>668</v>
      </c>
      <c r="J24" s="119">
        <v>29294.2</v>
      </c>
      <c r="K24" s="314" t="s">
        <v>377</v>
      </c>
      <c r="L24" s="177">
        <f t="shared" si="0"/>
        <v>44744</v>
      </c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5"/>
      <c r="X24" s="225"/>
      <c r="Y24" s="225"/>
      <c r="Z24" s="225"/>
      <c r="AA24" s="225"/>
      <c r="AB24" s="225"/>
      <c r="AC24" s="225"/>
      <c r="AD24" s="225"/>
      <c r="AE24" s="225"/>
      <c r="AF24" s="225"/>
      <c r="AG24" s="225"/>
      <c r="AH24" s="225"/>
      <c r="AI24" s="225"/>
      <c r="AJ24" s="225"/>
      <c r="AK24" s="225"/>
      <c r="AL24" s="181"/>
      <c r="AM24" s="276"/>
      <c r="AN24" s="193"/>
      <c r="AO24" s="193"/>
      <c r="AP24" s="272"/>
      <c r="AQ24" s="274"/>
      <c r="AR24" s="275"/>
    </row>
    <row r="25" spans="1:44" ht="15.75" hidden="1" x14ac:dyDescent="0.25">
      <c r="A25" s="172">
        <v>44698</v>
      </c>
      <c r="B25" s="172">
        <v>44702</v>
      </c>
      <c r="C25" s="185">
        <v>44723</v>
      </c>
      <c r="D25" s="172"/>
      <c r="E25" s="172"/>
      <c r="F25" s="174"/>
      <c r="G25" s="175" t="s">
        <v>923</v>
      </c>
      <c r="H25" s="121">
        <v>22693463</v>
      </c>
      <c r="I25" s="121" t="s">
        <v>668</v>
      </c>
      <c r="J25" s="119">
        <v>22075.200000000001</v>
      </c>
      <c r="K25" s="314" t="s">
        <v>369</v>
      </c>
      <c r="L25" s="177">
        <f t="shared" si="0"/>
        <v>44743</v>
      </c>
      <c r="M25" s="224"/>
      <c r="N25" s="224"/>
      <c r="O25" s="224"/>
      <c r="P25" s="224"/>
      <c r="Q25" s="224"/>
      <c r="R25" s="224"/>
      <c r="S25" s="224"/>
      <c r="T25" s="224"/>
      <c r="U25" s="224"/>
      <c r="V25" s="224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181"/>
      <c r="AM25" s="276"/>
      <c r="AN25" s="193"/>
      <c r="AO25" s="193"/>
      <c r="AP25" s="272"/>
      <c r="AQ25" s="274"/>
      <c r="AR25" s="275"/>
    </row>
    <row r="26" spans="1:44" ht="15.75" x14ac:dyDescent="0.25">
      <c r="A26" s="172">
        <v>44761</v>
      </c>
      <c r="B26" s="172">
        <v>44762</v>
      </c>
      <c r="C26" s="185">
        <v>44787</v>
      </c>
      <c r="D26" s="172"/>
      <c r="E26" s="172"/>
      <c r="F26" s="174">
        <v>563074</v>
      </c>
      <c r="G26" s="175" t="s">
        <v>924</v>
      </c>
      <c r="H26" s="121">
        <v>22706969</v>
      </c>
      <c r="I26" s="121" t="s">
        <v>668</v>
      </c>
      <c r="J26" s="119">
        <v>31762</v>
      </c>
      <c r="K26" s="314" t="s">
        <v>369</v>
      </c>
      <c r="L26" s="177">
        <f t="shared" si="0"/>
        <v>44806</v>
      </c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5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AH26" s="225"/>
      <c r="AI26" s="225"/>
      <c r="AJ26" s="225"/>
      <c r="AK26" s="225"/>
      <c r="AL26" s="181"/>
      <c r="AM26" s="276"/>
      <c r="AN26" s="193"/>
      <c r="AO26" s="193"/>
      <c r="AP26" s="272"/>
      <c r="AQ26" s="274"/>
      <c r="AR26" s="275"/>
    </row>
    <row r="27" spans="1:44" ht="15.75" x14ac:dyDescent="0.25">
      <c r="A27" s="172">
        <v>44770</v>
      </c>
      <c r="B27" s="172">
        <v>44772</v>
      </c>
      <c r="C27" s="185">
        <v>44793</v>
      </c>
      <c r="D27" s="172"/>
      <c r="E27" s="172"/>
      <c r="F27" s="174"/>
      <c r="G27" s="175" t="s">
        <v>925</v>
      </c>
      <c r="H27" s="121">
        <v>22709720</v>
      </c>
      <c r="I27" s="121" t="s">
        <v>668</v>
      </c>
      <c r="J27" s="119">
        <v>33438.6</v>
      </c>
      <c r="K27" s="314" t="s">
        <v>431</v>
      </c>
      <c r="L27" s="177">
        <f t="shared" si="0"/>
        <v>44815</v>
      </c>
      <c r="M27" s="224"/>
      <c r="N27" s="224"/>
      <c r="O27" s="224"/>
      <c r="P27" s="224"/>
      <c r="Q27" s="224"/>
      <c r="R27" s="224"/>
      <c r="S27" s="224"/>
      <c r="T27" s="224"/>
      <c r="U27" s="224"/>
      <c r="V27" s="224"/>
      <c r="W27" s="225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AH27" s="225"/>
      <c r="AI27" s="225"/>
      <c r="AJ27" s="225"/>
      <c r="AK27" s="225"/>
      <c r="AL27" s="181"/>
      <c r="AM27" s="276"/>
      <c r="AN27" s="193"/>
      <c r="AO27" s="193"/>
      <c r="AP27" s="272"/>
      <c r="AQ27" s="274"/>
      <c r="AR27" s="275"/>
    </row>
    <row r="28" spans="1:44" ht="15.75" x14ac:dyDescent="0.25">
      <c r="A28" s="172">
        <v>44818</v>
      </c>
      <c r="B28" s="172"/>
      <c r="C28" s="185">
        <v>44849</v>
      </c>
      <c r="D28" s="172"/>
      <c r="E28" s="172"/>
      <c r="F28" s="174">
        <v>582709</v>
      </c>
      <c r="G28" s="175" t="s">
        <v>926</v>
      </c>
      <c r="H28" s="121">
        <v>22719751</v>
      </c>
      <c r="I28" s="121" t="s">
        <v>668</v>
      </c>
      <c r="J28" s="119">
        <v>33964.800000000003</v>
      </c>
      <c r="K28" s="314" t="s">
        <v>377</v>
      </c>
      <c r="L28" s="177">
        <f t="shared" si="0"/>
        <v>44863</v>
      </c>
      <c r="M28" s="224"/>
      <c r="N28" s="224"/>
      <c r="O28" s="224"/>
      <c r="P28" s="224"/>
      <c r="Q28" s="224"/>
      <c r="R28" s="224"/>
      <c r="S28" s="224"/>
      <c r="T28" s="224"/>
      <c r="U28" s="224"/>
      <c r="V28" s="224"/>
      <c r="W28" s="225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AH28" s="225"/>
      <c r="AI28" s="225"/>
      <c r="AJ28" s="225"/>
      <c r="AK28" s="225"/>
      <c r="AL28" s="181"/>
      <c r="AM28" s="276"/>
      <c r="AN28" s="193"/>
      <c r="AO28" s="193"/>
      <c r="AP28" s="272"/>
      <c r="AQ28" s="274"/>
      <c r="AR28" s="275"/>
    </row>
    <row r="29" spans="1:44" ht="15.75" x14ac:dyDescent="0.25">
      <c r="A29" s="172">
        <v>44818</v>
      </c>
      <c r="B29" s="172"/>
      <c r="C29" s="185">
        <v>44849</v>
      </c>
      <c r="D29" s="172"/>
      <c r="E29" s="172"/>
      <c r="F29" s="174">
        <v>582719</v>
      </c>
      <c r="G29" s="175" t="s">
        <v>927</v>
      </c>
      <c r="H29" s="121">
        <v>22719752</v>
      </c>
      <c r="I29" s="121" t="s">
        <v>668</v>
      </c>
      <c r="J29" s="119">
        <v>35275.199999999997</v>
      </c>
      <c r="K29" s="314" t="s">
        <v>928</v>
      </c>
      <c r="L29" s="177">
        <f t="shared" si="0"/>
        <v>44863</v>
      </c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5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AH29" s="225"/>
      <c r="AI29" s="225"/>
      <c r="AJ29" s="225"/>
      <c r="AK29" s="225"/>
      <c r="AL29" s="181"/>
      <c r="AM29" s="276"/>
      <c r="AN29" s="193"/>
      <c r="AO29" s="193"/>
      <c r="AP29" s="272"/>
      <c r="AQ29" s="274"/>
      <c r="AR29" s="275"/>
    </row>
    <row r="30" spans="1:44" ht="15.75" x14ac:dyDescent="0.25">
      <c r="A30" s="172">
        <v>44818</v>
      </c>
      <c r="B30" s="172"/>
      <c r="C30" s="185">
        <v>44849</v>
      </c>
      <c r="D30" s="172"/>
      <c r="E30" s="172"/>
      <c r="F30" s="174">
        <v>582721</v>
      </c>
      <c r="G30" s="175" t="s">
        <v>929</v>
      </c>
      <c r="H30" s="121">
        <v>22719753</v>
      </c>
      <c r="I30" s="121" t="s">
        <v>668</v>
      </c>
      <c r="J30" s="119">
        <v>35174.400000000001</v>
      </c>
      <c r="K30" s="314" t="s">
        <v>369</v>
      </c>
      <c r="L30" s="177">
        <f t="shared" si="0"/>
        <v>44863</v>
      </c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99"/>
      <c r="X30" s="199"/>
      <c r="Y30" s="199"/>
      <c r="Z30" s="199"/>
      <c r="AA30" s="199"/>
      <c r="AB30" s="199"/>
      <c r="AC30" s="199"/>
      <c r="AD30" s="199"/>
      <c r="AE30" s="199"/>
      <c r="AF30" s="199"/>
      <c r="AG30" s="199"/>
      <c r="AH30" s="199"/>
      <c r="AI30" s="199"/>
      <c r="AJ30" s="199"/>
      <c r="AK30" s="199"/>
      <c r="AL30" s="181"/>
      <c r="AM30" s="276"/>
      <c r="AN30" s="193"/>
      <c r="AO30" s="193"/>
      <c r="AP30" s="272"/>
      <c r="AQ30" s="119"/>
      <c r="AR30" s="119"/>
    </row>
    <row r="31" spans="1:44" ht="15.75" x14ac:dyDescent="0.25">
      <c r="A31" s="172"/>
      <c r="B31" s="172"/>
      <c r="C31" s="185"/>
      <c r="D31" s="172"/>
      <c r="E31" s="172"/>
      <c r="F31" s="174"/>
      <c r="G31" s="175"/>
      <c r="H31" s="121"/>
      <c r="I31" s="121"/>
      <c r="J31" s="119"/>
      <c r="K31" s="314"/>
      <c r="L31" s="177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81"/>
      <c r="AM31" s="276"/>
      <c r="AN31" s="193"/>
      <c r="AO31" s="193"/>
      <c r="AP31" s="272"/>
      <c r="AQ31" s="119"/>
      <c r="AR31" s="119"/>
    </row>
    <row r="32" spans="1:44" ht="15.75" x14ac:dyDescent="0.25">
      <c r="A32" s="172"/>
      <c r="B32" s="172"/>
      <c r="C32" s="185"/>
      <c r="D32" s="172"/>
      <c r="E32" s="172"/>
      <c r="F32" s="174"/>
      <c r="G32" s="175"/>
      <c r="H32" s="121"/>
      <c r="I32" s="121"/>
      <c r="J32" s="119"/>
      <c r="K32" s="314"/>
      <c r="L32" s="177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99"/>
      <c r="X32" s="199"/>
      <c r="Y32" s="199"/>
      <c r="Z32" s="199"/>
      <c r="AA32" s="199"/>
      <c r="AB32" s="199"/>
      <c r="AC32" s="199"/>
      <c r="AD32" s="199"/>
      <c r="AE32" s="199"/>
      <c r="AF32" s="199"/>
      <c r="AG32" s="199"/>
      <c r="AH32" s="199"/>
      <c r="AI32" s="199"/>
      <c r="AJ32" s="199"/>
      <c r="AK32" s="199"/>
      <c r="AL32" s="181"/>
      <c r="AM32" s="276"/>
      <c r="AN32" s="193"/>
      <c r="AO32" s="193"/>
      <c r="AP32" s="272"/>
      <c r="AQ32" s="119"/>
      <c r="AR32" s="119"/>
    </row>
    <row r="33" spans="1:44" ht="15.75" x14ac:dyDescent="0.25">
      <c r="A33" s="172"/>
      <c r="B33" s="172"/>
      <c r="C33" s="185"/>
      <c r="D33" s="172"/>
      <c r="E33" s="172"/>
      <c r="F33" s="174"/>
      <c r="G33" s="175"/>
      <c r="H33" s="121"/>
      <c r="I33" s="121"/>
      <c r="J33" s="119"/>
      <c r="K33" s="314"/>
      <c r="L33" s="177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199"/>
      <c r="AJ33" s="199"/>
      <c r="AK33" s="199"/>
      <c r="AL33" s="181"/>
      <c r="AM33" s="276"/>
      <c r="AN33" s="193"/>
      <c r="AO33" s="193"/>
      <c r="AP33" s="272"/>
      <c r="AQ33" s="119"/>
      <c r="AR33" s="119"/>
    </row>
    <row r="34" spans="1:44" ht="15.75" x14ac:dyDescent="0.25">
      <c r="A34" s="172"/>
      <c r="B34" s="172"/>
      <c r="C34" s="185"/>
      <c r="D34" s="172"/>
      <c r="E34" s="172"/>
      <c r="F34" s="174"/>
      <c r="G34" s="175"/>
      <c r="H34" s="121"/>
      <c r="I34" s="121"/>
      <c r="J34" s="119"/>
      <c r="K34" s="314"/>
      <c r="L34" s="177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99"/>
      <c r="X34" s="199"/>
      <c r="Y34" s="199"/>
      <c r="Z34" s="199"/>
      <c r="AA34" s="199"/>
      <c r="AB34" s="199"/>
      <c r="AC34" s="199"/>
      <c r="AD34" s="199"/>
      <c r="AE34" s="199"/>
      <c r="AF34" s="199"/>
      <c r="AG34" s="199"/>
      <c r="AH34" s="199"/>
      <c r="AI34" s="199"/>
      <c r="AJ34" s="199"/>
      <c r="AK34" s="199"/>
      <c r="AL34" s="181"/>
      <c r="AM34" s="276"/>
      <c r="AN34" s="193"/>
      <c r="AO34" s="193"/>
      <c r="AP34" s="272"/>
      <c r="AQ34" s="119"/>
      <c r="AR34" s="119"/>
    </row>
    <row r="35" spans="1:44" ht="15.75" x14ac:dyDescent="0.25">
      <c r="A35" s="172"/>
      <c r="B35" s="172"/>
      <c r="C35" s="185"/>
      <c r="D35" s="172"/>
      <c r="E35" s="172"/>
      <c r="F35" s="174"/>
      <c r="G35" s="175"/>
      <c r="H35" s="121"/>
      <c r="I35" s="121"/>
      <c r="J35" s="119"/>
      <c r="K35" s="314"/>
      <c r="L35" s="177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199"/>
      <c r="AJ35" s="199"/>
      <c r="AK35" s="199"/>
      <c r="AL35" s="181"/>
      <c r="AM35" s="276"/>
      <c r="AN35" s="193"/>
      <c r="AO35" s="193"/>
      <c r="AP35" s="272"/>
      <c r="AQ35" s="119"/>
      <c r="AR35" s="119"/>
    </row>
    <row r="36" spans="1:44" ht="15.75" x14ac:dyDescent="0.25">
      <c r="A36" s="227"/>
      <c r="B36" s="227"/>
      <c r="C36" s="572" t="s">
        <v>738</v>
      </c>
      <c r="D36" s="572"/>
      <c r="E36" s="572"/>
      <c r="F36" s="572"/>
      <c r="G36" s="227"/>
      <c r="H36" s="227"/>
      <c r="I36" s="227"/>
      <c r="J36" s="228">
        <f>SUM(J6:J30)</f>
        <v>625705.4</v>
      </c>
      <c r="K36" s="277"/>
      <c r="L36" s="229"/>
      <c r="M36" s="230"/>
      <c r="N36" s="230">
        <f>SUM(N6:N30)</f>
        <v>0</v>
      </c>
      <c r="O36" s="230">
        <f>SUM(O6:O30)</f>
        <v>0</v>
      </c>
      <c r="P36" s="230">
        <f t="shared" ref="P36:AA36" si="1">SUM(P6:P30)</f>
        <v>0</v>
      </c>
      <c r="Q36" s="230">
        <f t="shared" si="1"/>
        <v>17808.599999999999</v>
      </c>
      <c r="R36" s="230">
        <f t="shared" si="1"/>
        <v>0</v>
      </c>
      <c r="S36" s="230">
        <f t="shared" si="1"/>
        <v>0</v>
      </c>
      <c r="T36" s="230">
        <f t="shared" si="1"/>
        <v>0</v>
      </c>
      <c r="U36" s="230">
        <f t="shared" si="1"/>
        <v>0</v>
      </c>
      <c r="V36" s="230">
        <f t="shared" si="1"/>
        <v>0</v>
      </c>
      <c r="W36" s="278">
        <f t="shared" si="1"/>
        <v>0</v>
      </c>
      <c r="X36" s="278">
        <f t="shared" si="1"/>
        <v>0</v>
      </c>
      <c r="Y36" s="278">
        <f t="shared" si="1"/>
        <v>0</v>
      </c>
      <c r="Z36" s="278">
        <f t="shared" si="1"/>
        <v>0</v>
      </c>
      <c r="AA36" s="278">
        <f t="shared" si="1"/>
        <v>0</v>
      </c>
      <c r="AB36" s="278"/>
      <c r="AC36" s="278"/>
      <c r="AD36" s="278"/>
      <c r="AE36" s="278"/>
      <c r="AF36" s="278"/>
      <c r="AG36" s="278"/>
      <c r="AH36" s="278"/>
      <c r="AI36" s="278"/>
      <c r="AJ36" s="278"/>
      <c r="AK36" s="278"/>
      <c r="AL36" s="233">
        <f>SUM(AL6:AL30)</f>
        <v>22796.799999999999</v>
      </c>
      <c r="AM36" s="276"/>
      <c r="AN36" s="193"/>
      <c r="AO36" s="193"/>
      <c r="AP36" s="272"/>
      <c r="AQ36" s="274"/>
      <c r="AR36" s="275"/>
    </row>
  </sheetData>
  <mergeCells count="4">
    <mergeCell ref="A2:AL2"/>
    <mergeCell ref="A4:L4"/>
    <mergeCell ref="C36:F36"/>
    <mergeCell ref="A1:AL1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3687-54E2-41D5-8668-A5A52B6AE54E}">
  <sheetPr codeName="Hoja8"/>
  <dimension ref="A1:L25"/>
  <sheetViews>
    <sheetView workbookViewId="0">
      <selection activeCell="F36" sqref="F36"/>
    </sheetView>
  </sheetViews>
  <sheetFormatPr baseColWidth="10" defaultColWidth="10.7109375" defaultRowHeight="15" x14ac:dyDescent="0.25"/>
  <cols>
    <col min="1" max="1" width="11.42578125" style="2"/>
    <col min="2" max="2" width="54.85546875" style="2" bestFit="1" customWidth="1"/>
    <col min="3" max="3" width="10.7109375" style="2" customWidth="1"/>
    <col min="4" max="4" width="12.28515625" style="2" customWidth="1"/>
    <col min="5" max="5" width="15.5703125" style="2" customWidth="1"/>
    <col min="6" max="6" width="16.140625" style="2" customWidth="1"/>
    <col min="7" max="7" width="11.42578125" style="2" customWidth="1"/>
    <col min="8" max="8" width="13.7109375" style="2" customWidth="1"/>
    <col min="9" max="9" width="14.42578125" style="2" customWidth="1"/>
    <col min="10" max="12" width="11.42578125" style="2"/>
  </cols>
  <sheetData>
    <row r="1" spans="1:11" ht="20.25" x14ac:dyDescent="0.25">
      <c r="A1" s="573" t="s">
        <v>930</v>
      </c>
      <c r="B1" s="574"/>
      <c r="C1" s="1"/>
    </row>
    <row r="2" spans="1:11" x14ac:dyDescent="0.25">
      <c r="A2" s="575" t="s">
        <v>931</v>
      </c>
      <c r="B2" s="576"/>
      <c r="C2" s="3"/>
    </row>
    <row r="3" spans="1:11" ht="14.25" customHeight="1" thickBot="1" x14ac:dyDescent="0.3">
      <c r="E3" s="25"/>
      <c r="G3" s="25"/>
      <c r="I3" s="25"/>
      <c r="J3" s="25"/>
    </row>
    <row r="4" spans="1:11" ht="18" customHeight="1" thickBot="1" x14ac:dyDescent="0.3">
      <c r="A4" s="5"/>
      <c r="B4" s="6"/>
      <c r="C4" s="577" t="s">
        <v>932</v>
      </c>
      <c r="D4" s="582" t="s">
        <v>933</v>
      </c>
      <c r="E4" s="587" t="s">
        <v>934</v>
      </c>
      <c r="F4" s="584" t="s">
        <v>935</v>
      </c>
      <c r="G4" s="586" t="s">
        <v>936</v>
      </c>
      <c r="H4" s="579" t="s">
        <v>933</v>
      </c>
      <c r="I4" s="581" t="s">
        <v>937</v>
      </c>
      <c r="J4" s="579" t="s">
        <v>933</v>
      </c>
      <c r="K4" s="581" t="s">
        <v>937</v>
      </c>
    </row>
    <row r="5" spans="1:11" ht="15.75" thickBot="1" x14ac:dyDescent="0.3">
      <c r="A5" s="7" t="s">
        <v>938</v>
      </c>
      <c r="B5" s="8" t="s">
        <v>939</v>
      </c>
      <c r="C5" s="578"/>
      <c r="D5" s="583"/>
      <c r="E5" s="583"/>
      <c r="F5" s="585"/>
      <c r="G5" s="585"/>
      <c r="H5" s="580"/>
      <c r="I5" s="580"/>
      <c r="J5" s="580"/>
      <c r="K5" s="580"/>
    </row>
    <row r="6" spans="1:11" ht="15.75" thickBot="1" x14ac:dyDescent="0.3">
      <c r="A6" s="9">
        <v>802142</v>
      </c>
      <c r="B6" s="10" t="s">
        <v>940</v>
      </c>
      <c r="C6" s="11">
        <v>120</v>
      </c>
      <c r="D6" s="11"/>
      <c r="E6" s="11">
        <f t="shared" ref="E6:E13" si="0">+D6*C6</f>
        <v>0</v>
      </c>
      <c r="F6" s="11"/>
      <c r="G6" s="11">
        <f t="shared" ref="G6:G13" si="1">+C6*F6</f>
        <v>0</v>
      </c>
      <c r="H6" s="11"/>
      <c r="I6" s="11">
        <f t="shared" ref="I6:I13" si="2">+C6*H6</f>
        <v>0</v>
      </c>
      <c r="J6" s="11"/>
      <c r="K6" s="11">
        <f>+C6*J6</f>
        <v>0</v>
      </c>
    </row>
    <row r="7" spans="1:11" ht="15.75" thickBot="1" x14ac:dyDescent="0.3">
      <c r="A7" s="9">
        <v>804104</v>
      </c>
      <c r="B7" s="10" t="s">
        <v>941</v>
      </c>
      <c r="C7" s="12">
        <v>108</v>
      </c>
      <c r="D7" s="12"/>
      <c r="E7" s="11">
        <f t="shared" si="0"/>
        <v>0</v>
      </c>
      <c r="F7" s="12"/>
      <c r="G7" s="11">
        <f t="shared" si="1"/>
        <v>0</v>
      </c>
      <c r="H7" s="12"/>
      <c r="I7" s="11">
        <f t="shared" si="2"/>
        <v>0</v>
      </c>
      <c r="J7" s="12"/>
      <c r="K7" s="11">
        <f t="shared" ref="K7:K13" si="3">+C7*J7</f>
        <v>0</v>
      </c>
    </row>
    <row r="8" spans="1:11" ht="15.75" thickBot="1" x14ac:dyDescent="0.3">
      <c r="A8" s="9">
        <v>805567</v>
      </c>
      <c r="B8" s="10" t="s">
        <v>942</v>
      </c>
      <c r="C8" s="12">
        <v>108</v>
      </c>
      <c r="D8" s="12"/>
      <c r="E8" s="11">
        <f t="shared" si="0"/>
        <v>0</v>
      </c>
      <c r="F8" s="12"/>
      <c r="G8" s="11">
        <f t="shared" si="1"/>
        <v>0</v>
      </c>
      <c r="H8" s="12"/>
      <c r="I8" s="11">
        <f t="shared" si="2"/>
        <v>0</v>
      </c>
      <c r="J8" s="12"/>
      <c r="K8" s="11">
        <f t="shared" si="3"/>
        <v>0</v>
      </c>
    </row>
    <row r="9" spans="1:11" ht="15.75" thickBot="1" x14ac:dyDescent="0.3">
      <c r="A9" s="9">
        <v>806671</v>
      </c>
      <c r="B9" s="10" t="s">
        <v>943</v>
      </c>
      <c r="C9" s="12">
        <v>120</v>
      </c>
      <c r="D9" s="12"/>
      <c r="E9" s="11">
        <f t="shared" si="0"/>
        <v>0</v>
      </c>
      <c r="F9" s="12"/>
      <c r="G9" s="11">
        <f t="shared" si="1"/>
        <v>0</v>
      </c>
      <c r="H9" s="12"/>
      <c r="I9" s="11">
        <f t="shared" si="2"/>
        <v>0</v>
      </c>
      <c r="J9" s="12"/>
      <c r="K9" s="11">
        <f t="shared" si="3"/>
        <v>0</v>
      </c>
    </row>
    <row r="10" spans="1:11" ht="15.75" thickBot="1" x14ac:dyDescent="0.3">
      <c r="A10" s="9">
        <v>806685</v>
      </c>
      <c r="B10" s="10" t="s">
        <v>944</v>
      </c>
      <c r="C10" s="12">
        <v>96</v>
      </c>
      <c r="D10" s="12"/>
      <c r="E10" s="11">
        <f t="shared" si="0"/>
        <v>0</v>
      </c>
      <c r="F10" s="12"/>
      <c r="G10" s="11">
        <f t="shared" si="1"/>
        <v>0</v>
      </c>
      <c r="H10" s="12"/>
      <c r="I10" s="11">
        <f t="shared" si="2"/>
        <v>0</v>
      </c>
      <c r="J10" s="12"/>
      <c r="K10" s="11">
        <f t="shared" si="3"/>
        <v>0</v>
      </c>
    </row>
    <row r="11" spans="1:11" ht="15.75" thickBot="1" x14ac:dyDescent="0.3">
      <c r="A11" s="9">
        <v>806686</v>
      </c>
      <c r="B11" s="10" t="s">
        <v>945</v>
      </c>
      <c r="C11" s="12">
        <v>96</v>
      </c>
      <c r="D11" s="12"/>
      <c r="E11" s="11">
        <f t="shared" si="0"/>
        <v>0</v>
      </c>
      <c r="F11" s="12"/>
      <c r="G11" s="11">
        <f t="shared" si="1"/>
        <v>0</v>
      </c>
      <c r="H11" s="12"/>
      <c r="I11" s="11">
        <f t="shared" si="2"/>
        <v>0</v>
      </c>
      <c r="J11" s="12"/>
      <c r="K11" s="11">
        <f t="shared" si="3"/>
        <v>0</v>
      </c>
    </row>
    <row r="12" spans="1:11" ht="15.75" thickBot="1" x14ac:dyDescent="0.3">
      <c r="A12" s="9">
        <v>806982</v>
      </c>
      <c r="B12" s="10" t="s">
        <v>946</v>
      </c>
      <c r="C12" s="13">
        <v>120</v>
      </c>
      <c r="D12" s="13"/>
      <c r="E12" s="11">
        <f t="shared" si="0"/>
        <v>0</v>
      </c>
      <c r="F12" s="13"/>
      <c r="G12" s="11">
        <f t="shared" si="1"/>
        <v>0</v>
      </c>
      <c r="H12" s="13"/>
      <c r="I12" s="11">
        <f t="shared" si="2"/>
        <v>0</v>
      </c>
      <c r="J12" s="13"/>
      <c r="K12" s="11">
        <f t="shared" si="3"/>
        <v>0</v>
      </c>
    </row>
    <row r="13" spans="1:11" ht="15.75" thickBot="1" x14ac:dyDescent="0.3">
      <c r="A13" s="9">
        <v>807329</v>
      </c>
      <c r="B13" s="17" t="s">
        <v>947</v>
      </c>
      <c r="C13" s="14">
        <v>120</v>
      </c>
      <c r="D13" s="13"/>
      <c r="E13" s="11">
        <f t="shared" si="0"/>
        <v>0</v>
      </c>
      <c r="F13" s="13">
        <v>0</v>
      </c>
      <c r="G13" s="11">
        <f t="shared" si="1"/>
        <v>0</v>
      </c>
      <c r="H13" s="13"/>
      <c r="I13" s="11">
        <f t="shared" si="2"/>
        <v>0</v>
      </c>
      <c r="J13" s="13">
        <v>0</v>
      </c>
      <c r="K13" s="11">
        <f t="shared" si="3"/>
        <v>0</v>
      </c>
    </row>
    <row r="14" spans="1:11" ht="16.5" thickBot="1" x14ac:dyDescent="0.3">
      <c r="A14" s="15"/>
      <c r="C14" s="16"/>
      <c r="D14" s="20">
        <f t="shared" ref="D14:K14" si="4">SUM(D6:D13)</f>
        <v>0</v>
      </c>
      <c r="E14" s="21">
        <f t="shared" si="4"/>
        <v>0</v>
      </c>
      <c r="F14" s="18">
        <f t="shared" si="4"/>
        <v>0</v>
      </c>
      <c r="G14" s="19">
        <f t="shared" si="4"/>
        <v>0</v>
      </c>
      <c r="H14" s="22">
        <f t="shared" si="4"/>
        <v>0</v>
      </c>
      <c r="I14" s="23">
        <f t="shared" si="4"/>
        <v>0</v>
      </c>
      <c r="J14" s="22">
        <f t="shared" si="4"/>
        <v>0</v>
      </c>
      <c r="K14" s="23">
        <f t="shared" si="4"/>
        <v>0</v>
      </c>
    </row>
    <row r="20" spans="4:10" ht="15.75" thickBot="1" x14ac:dyDescent="0.3"/>
    <row r="21" spans="4:10" ht="19.5" thickBot="1" x14ac:dyDescent="0.35">
      <c r="D21" s="26" t="s">
        <v>0</v>
      </c>
      <c r="E21" s="27" t="s">
        <v>948</v>
      </c>
      <c r="F21" s="27" t="s">
        <v>949</v>
      </c>
      <c r="G21" s="27" t="s">
        <v>9</v>
      </c>
      <c r="H21" s="28" t="s">
        <v>950</v>
      </c>
      <c r="I21"/>
      <c r="J21"/>
    </row>
    <row r="22" spans="4:10" ht="18.75" x14ac:dyDescent="0.3">
      <c r="D22" s="29" t="s">
        <v>48</v>
      </c>
      <c r="E22" s="46">
        <v>44464</v>
      </c>
      <c r="F22" s="30">
        <v>44486</v>
      </c>
      <c r="G22" s="49" t="s">
        <v>49</v>
      </c>
      <c r="H22" s="31" t="s">
        <v>50</v>
      </c>
      <c r="I22" s="52" t="s">
        <v>51</v>
      </c>
      <c r="J22" s="51" t="s">
        <v>47</v>
      </c>
    </row>
    <row r="23" spans="4:10" ht="18.75" x14ac:dyDescent="0.3">
      <c r="D23" s="42" t="s">
        <v>48</v>
      </c>
      <c r="E23" s="43">
        <v>44486</v>
      </c>
      <c r="F23" s="43">
        <v>44507</v>
      </c>
      <c r="G23" s="44" t="s">
        <v>59</v>
      </c>
      <c r="H23" s="45" t="s">
        <v>60</v>
      </c>
      <c r="I23" s="52" t="s">
        <v>51</v>
      </c>
      <c r="J23" s="51" t="s">
        <v>47</v>
      </c>
    </row>
    <row r="24" spans="4:10" ht="18.75" x14ac:dyDescent="0.3">
      <c r="D24" s="42" t="s">
        <v>48</v>
      </c>
      <c r="E24" s="43">
        <v>44538</v>
      </c>
      <c r="F24" s="43">
        <v>44565</v>
      </c>
      <c r="G24" s="44" t="s">
        <v>65</v>
      </c>
      <c r="H24" s="45" t="s">
        <v>66</v>
      </c>
      <c r="I24" s="52" t="s">
        <v>51</v>
      </c>
      <c r="J24" s="51" t="s">
        <v>83</v>
      </c>
    </row>
    <row r="25" spans="4:10" ht="18.75" x14ac:dyDescent="0.3">
      <c r="D25" s="42" t="s">
        <v>48</v>
      </c>
      <c r="E25" s="43">
        <v>44542</v>
      </c>
      <c r="F25" s="43">
        <v>44563</v>
      </c>
      <c r="G25" s="44" t="s">
        <v>69</v>
      </c>
      <c r="H25" s="45" t="s">
        <v>70</v>
      </c>
      <c r="I25" s="52" t="s">
        <v>51</v>
      </c>
      <c r="J25"/>
    </row>
  </sheetData>
  <mergeCells count="11">
    <mergeCell ref="A1:B1"/>
    <mergeCell ref="A2:B2"/>
    <mergeCell ref="C4:C5"/>
    <mergeCell ref="J4:J5"/>
    <mergeCell ref="K4:K5"/>
    <mergeCell ref="D4:D5"/>
    <mergeCell ref="F4:F5"/>
    <mergeCell ref="H4:H5"/>
    <mergeCell ref="G4:G5"/>
    <mergeCell ref="I4:I5"/>
    <mergeCell ref="E4:E5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9048-2E78-4459-81EA-BFA1E6692015}">
  <sheetPr codeName="Hoja9"/>
  <dimension ref="B2:L19"/>
  <sheetViews>
    <sheetView workbookViewId="0">
      <selection activeCell="E7" sqref="E7:J9"/>
    </sheetView>
  </sheetViews>
  <sheetFormatPr baseColWidth="10" defaultColWidth="11.42578125" defaultRowHeight="15" x14ac:dyDescent="0.25"/>
  <cols>
    <col min="1" max="2" width="11.42578125" style="2"/>
    <col min="3" max="3" width="54.85546875" style="2" bestFit="1" customWidth="1"/>
    <col min="4" max="4" width="11.42578125" style="2"/>
    <col min="5" max="5" width="14.7109375" style="2" customWidth="1"/>
    <col min="6" max="6" width="14.5703125" style="2" customWidth="1"/>
    <col min="7" max="7" width="11.42578125" style="2" customWidth="1"/>
    <col min="8" max="8" width="13.85546875" style="2" customWidth="1"/>
    <col min="9" max="16384" width="11.42578125" style="2"/>
  </cols>
  <sheetData>
    <row r="2" spans="2:12" ht="20.25" x14ac:dyDescent="0.25">
      <c r="B2" s="573" t="s">
        <v>930</v>
      </c>
      <c r="C2" s="574"/>
      <c r="D2" s="1"/>
    </row>
    <row r="3" spans="2:12" x14ac:dyDescent="0.25">
      <c r="B3" s="575" t="s">
        <v>951</v>
      </c>
      <c r="C3" s="576"/>
      <c r="D3" s="3"/>
    </row>
    <row r="4" spans="2:12" ht="16.5" thickBot="1" x14ac:dyDescent="0.3">
      <c r="E4" s="4"/>
    </row>
    <row r="5" spans="2:12" ht="15.75" thickBot="1" x14ac:dyDescent="0.3">
      <c r="B5" s="5"/>
      <c r="C5" s="6"/>
      <c r="D5" s="577" t="s">
        <v>932</v>
      </c>
      <c r="E5" s="584" t="s">
        <v>952</v>
      </c>
      <c r="F5" s="586" t="s">
        <v>953</v>
      </c>
      <c r="G5" s="582" t="s">
        <v>933</v>
      </c>
      <c r="H5" s="587" t="s">
        <v>954</v>
      </c>
      <c r="I5" s="584" t="s">
        <v>935</v>
      </c>
      <c r="J5" s="586" t="s">
        <v>955</v>
      </c>
      <c r="K5" s="579" t="s">
        <v>933</v>
      </c>
      <c r="L5" s="581"/>
    </row>
    <row r="6" spans="2:12" ht="20.25" customHeight="1" thickBot="1" x14ac:dyDescent="0.3">
      <c r="B6" s="7" t="s">
        <v>938</v>
      </c>
      <c r="C6" s="8" t="s">
        <v>939</v>
      </c>
      <c r="D6" s="578"/>
      <c r="E6" s="585"/>
      <c r="F6" s="585"/>
      <c r="G6" s="583"/>
      <c r="H6" s="583"/>
      <c r="I6" s="585"/>
      <c r="J6" s="585"/>
      <c r="K6" s="580"/>
      <c r="L6" s="580"/>
    </row>
    <row r="7" spans="2:12" ht="15.75" thickBot="1" x14ac:dyDescent="0.3">
      <c r="B7" s="9">
        <v>806685</v>
      </c>
      <c r="C7" s="10" t="s">
        <v>944</v>
      </c>
      <c r="D7" s="11">
        <v>108</v>
      </c>
      <c r="E7" s="11"/>
      <c r="F7" s="11"/>
      <c r="G7" s="11"/>
      <c r="H7" s="11"/>
      <c r="I7" s="11"/>
      <c r="J7" s="11"/>
      <c r="K7" s="11"/>
      <c r="L7" s="11">
        <f>+D7*K7</f>
        <v>0</v>
      </c>
    </row>
    <row r="8" spans="2:12" ht="15.75" thickBot="1" x14ac:dyDescent="0.3">
      <c r="B8" s="9">
        <v>806939</v>
      </c>
      <c r="C8" s="10" t="s">
        <v>956</v>
      </c>
      <c r="D8" s="12">
        <v>108</v>
      </c>
      <c r="E8" s="11"/>
      <c r="F8" s="11"/>
      <c r="G8" s="12"/>
      <c r="H8" s="11"/>
      <c r="I8" s="12"/>
      <c r="J8" s="11"/>
      <c r="K8" s="12"/>
      <c r="L8" s="11">
        <f>+D8*K8</f>
        <v>0</v>
      </c>
    </row>
    <row r="9" spans="2:12" ht="15.75" thickBot="1" x14ac:dyDescent="0.3">
      <c r="B9" s="9">
        <v>804661</v>
      </c>
      <c r="C9" s="10" t="s">
        <v>957</v>
      </c>
      <c r="D9" s="12">
        <v>120</v>
      </c>
      <c r="E9" s="11"/>
      <c r="F9" s="11"/>
      <c r="G9" s="12"/>
      <c r="H9" s="11"/>
      <c r="I9" s="12"/>
      <c r="J9" s="11"/>
      <c r="K9" s="12"/>
      <c r="L9" s="11"/>
    </row>
    <row r="10" spans="2:12" ht="16.5" thickBot="1" x14ac:dyDescent="0.3">
      <c r="B10" s="15"/>
      <c r="D10" s="16"/>
      <c r="E10" s="18">
        <f t="shared" ref="E10:J10" si="0">SUM(E7:E9)</f>
        <v>0</v>
      </c>
      <c r="F10" s="19">
        <f>SUM(F7:F9)</f>
        <v>0</v>
      </c>
      <c r="G10" s="20">
        <f t="shared" si="0"/>
        <v>0</v>
      </c>
      <c r="H10" s="21">
        <f t="shared" si="0"/>
        <v>0</v>
      </c>
      <c r="I10" s="18">
        <f t="shared" si="0"/>
        <v>0</v>
      </c>
      <c r="J10" s="19">
        <f t="shared" si="0"/>
        <v>0</v>
      </c>
      <c r="K10" s="22">
        <f>SUM(K7:K8)</f>
        <v>0</v>
      </c>
      <c r="L10" s="23">
        <f>SUM(L7:L8)</f>
        <v>0</v>
      </c>
    </row>
    <row r="14" spans="2:12" ht="15.75" thickBot="1" x14ac:dyDescent="0.3"/>
    <row r="15" spans="2:12" ht="19.5" thickBot="1" x14ac:dyDescent="0.35">
      <c r="D15" s="26" t="s">
        <v>0</v>
      </c>
      <c r="E15" s="27" t="s">
        <v>948</v>
      </c>
      <c r="F15" s="27" t="s">
        <v>949</v>
      </c>
      <c r="G15" s="27" t="s">
        <v>9</v>
      </c>
      <c r="H15" s="28" t="s">
        <v>950</v>
      </c>
      <c r="I15"/>
      <c r="J15"/>
    </row>
    <row r="16" spans="2:12" ht="18.75" x14ac:dyDescent="0.3">
      <c r="D16" s="32" t="s">
        <v>28</v>
      </c>
      <c r="E16" s="33">
        <v>44475</v>
      </c>
      <c r="F16" s="33">
        <v>44494</v>
      </c>
      <c r="G16" s="34" t="s">
        <v>44</v>
      </c>
      <c r="H16" s="35" t="s">
        <v>45</v>
      </c>
      <c r="I16" s="52" t="s">
        <v>46</v>
      </c>
      <c r="J16" s="51" t="s">
        <v>47</v>
      </c>
    </row>
    <row r="17" spans="4:10" ht="18.75" x14ac:dyDescent="0.3">
      <c r="D17" s="32" t="s">
        <v>28</v>
      </c>
      <c r="E17" s="33">
        <v>44498</v>
      </c>
      <c r="F17" s="36">
        <v>44518</v>
      </c>
      <c r="G17" s="37" t="s">
        <v>61</v>
      </c>
      <c r="H17" s="38" t="s">
        <v>62</v>
      </c>
      <c r="I17" s="52" t="s">
        <v>46</v>
      </c>
      <c r="J17" s="51" t="s">
        <v>83</v>
      </c>
    </row>
    <row r="18" spans="4:10" ht="18.75" x14ac:dyDescent="0.3">
      <c r="D18" s="39" t="s">
        <v>28</v>
      </c>
      <c r="E18" s="33">
        <v>44523</v>
      </c>
      <c r="F18" s="36">
        <v>44543</v>
      </c>
      <c r="G18" s="37" t="s">
        <v>67</v>
      </c>
      <c r="H18" s="38" t="s">
        <v>68</v>
      </c>
      <c r="I18" s="52" t="s">
        <v>46</v>
      </c>
      <c r="J18"/>
    </row>
    <row r="19" spans="4:10" ht="19.5" thickBot="1" x14ac:dyDescent="0.35">
      <c r="D19" s="54" t="s">
        <v>28</v>
      </c>
      <c r="E19" s="55">
        <v>44482</v>
      </c>
      <c r="F19" s="53">
        <v>44508</v>
      </c>
      <c r="G19" s="40" t="s">
        <v>73</v>
      </c>
      <c r="H19" s="41" t="s">
        <v>74</v>
      </c>
      <c r="I19" s="52" t="s">
        <v>46</v>
      </c>
      <c r="J19" s="51" t="s">
        <v>83</v>
      </c>
    </row>
  </sheetData>
  <mergeCells count="11">
    <mergeCell ref="K5:K6"/>
    <mergeCell ref="B2:C2"/>
    <mergeCell ref="B3:C3"/>
    <mergeCell ref="L5:L6"/>
    <mergeCell ref="E5:E6"/>
    <mergeCell ref="F5:F6"/>
    <mergeCell ref="G5:G6"/>
    <mergeCell ref="H5:H6"/>
    <mergeCell ref="I5:I6"/>
    <mergeCell ref="J5:J6"/>
    <mergeCell ref="D5:D6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5E6D-5F5A-4CAC-AB86-688566584FE3}">
  <sheetPr codeName="Hoja10"/>
  <dimension ref="B2:L21"/>
  <sheetViews>
    <sheetView workbookViewId="0">
      <selection activeCell="M26" sqref="A1:M26"/>
    </sheetView>
  </sheetViews>
  <sheetFormatPr baseColWidth="10" defaultColWidth="11.42578125" defaultRowHeight="15" x14ac:dyDescent="0.25"/>
  <cols>
    <col min="1" max="2" width="11.42578125" style="2"/>
    <col min="3" max="3" width="54.85546875" style="2" bestFit="1" customWidth="1"/>
    <col min="4" max="4" width="11.42578125" style="2"/>
    <col min="5" max="5" width="11.42578125" style="2" customWidth="1"/>
    <col min="6" max="6" width="15.42578125" style="2" customWidth="1"/>
    <col min="7" max="7" width="15.85546875" style="2" customWidth="1"/>
    <col min="8" max="8" width="11.42578125" style="2" customWidth="1"/>
    <col min="9" max="9" width="13.7109375" style="2" customWidth="1"/>
    <col min="10" max="10" width="11.42578125" style="2" customWidth="1"/>
    <col min="11" max="16384" width="11.42578125" style="2"/>
  </cols>
  <sheetData>
    <row r="2" spans="2:12" ht="20.25" x14ac:dyDescent="0.25">
      <c r="B2" s="573" t="s">
        <v>930</v>
      </c>
      <c r="C2" s="574"/>
      <c r="D2" s="1"/>
    </row>
    <row r="3" spans="2:12" x14ac:dyDescent="0.25">
      <c r="B3" s="575" t="s">
        <v>951</v>
      </c>
      <c r="C3" s="576"/>
      <c r="D3" s="3"/>
    </row>
    <row r="4" spans="2:12" ht="16.5" thickBot="1" x14ac:dyDescent="0.3">
      <c r="E4" s="4"/>
    </row>
    <row r="5" spans="2:12" ht="15.75" thickBot="1" x14ac:dyDescent="0.3">
      <c r="B5" s="5"/>
      <c r="C5" s="6"/>
      <c r="D5" s="577" t="s">
        <v>932</v>
      </c>
      <c r="E5" s="584" t="s">
        <v>952</v>
      </c>
      <c r="F5" s="586" t="s">
        <v>958</v>
      </c>
      <c r="G5" s="582" t="s">
        <v>933</v>
      </c>
      <c r="H5" s="587" t="s">
        <v>959</v>
      </c>
      <c r="I5" s="584" t="s">
        <v>935</v>
      </c>
      <c r="J5" s="586" t="s">
        <v>960</v>
      </c>
      <c r="K5" s="579" t="s">
        <v>933</v>
      </c>
      <c r="L5" s="581" t="s">
        <v>961</v>
      </c>
    </row>
    <row r="6" spans="2:12" ht="20.25" customHeight="1" thickBot="1" x14ac:dyDescent="0.3">
      <c r="B6" s="7" t="s">
        <v>938</v>
      </c>
      <c r="C6" s="8" t="s">
        <v>939</v>
      </c>
      <c r="D6" s="578"/>
      <c r="E6" s="585"/>
      <c r="F6" s="585"/>
      <c r="G6" s="583"/>
      <c r="H6" s="583"/>
      <c r="I6" s="585"/>
      <c r="J6" s="585"/>
      <c r="K6" s="580"/>
      <c r="L6" s="580"/>
    </row>
    <row r="7" spans="2:12" ht="15.75" thickBot="1" x14ac:dyDescent="0.3">
      <c r="B7" s="9">
        <v>807769</v>
      </c>
      <c r="C7" s="10" t="s">
        <v>962</v>
      </c>
      <c r="D7" s="11">
        <v>120</v>
      </c>
      <c r="E7" s="11">
        <v>17</v>
      </c>
      <c r="F7" s="11"/>
      <c r="G7" s="11"/>
      <c r="H7" s="11"/>
      <c r="I7" s="11"/>
      <c r="J7" s="11"/>
      <c r="K7" s="11"/>
      <c r="L7" s="11"/>
    </row>
    <row r="8" spans="2:12" ht="15.75" thickBot="1" x14ac:dyDescent="0.3">
      <c r="B8" s="9">
        <v>807329</v>
      </c>
      <c r="C8" s="24" t="s">
        <v>947</v>
      </c>
      <c r="D8" s="12">
        <v>120</v>
      </c>
      <c r="E8" s="11">
        <v>4</v>
      </c>
      <c r="F8" s="11"/>
      <c r="G8" s="11"/>
      <c r="H8" s="11"/>
      <c r="I8" s="11"/>
      <c r="J8" s="11"/>
      <c r="K8" s="12"/>
      <c r="L8" s="11"/>
    </row>
    <row r="9" spans="2:12" ht="15.75" thickBot="1" x14ac:dyDescent="0.3">
      <c r="B9" s="9">
        <v>805411</v>
      </c>
      <c r="C9" s="10" t="s">
        <v>963</v>
      </c>
      <c r="D9" s="12">
        <v>108</v>
      </c>
      <c r="E9" s="11"/>
      <c r="F9" s="11"/>
      <c r="G9" s="11"/>
      <c r="H9" s="11"/>
      <c r="I9" s="11"/>
      <c r="J9" s="11"/>
      <c r="K9" s="12"/>
      <c r="L9" s="11"/>
    </row>
    <row r="10" spans="2:12" ht="16.5" thickBot="1" x14ac:dyDescent="0.3">
      <c r="B10" s="15"/>
      <c r="D10" s="16"/>
      <c r="E10" s="18">
        <f t="shared" ref="E10:J10" si="0">SUM(E7:E9)</f>
        <v>21</v>
      </c>
      <c r="F10" s="19">
        <f t="shared" si="0"/>
        <v>0</v>
      </c>
      <c r="G10" s="20">
        <f t="shared" si="0"/>
        <v>0</v>
      </c>
      <c r="H10" s="21">
        <f t="shared" si="0"/>
        <v>0</v>
      </c>
      <c r="I10" s="18">
        <f t="shared" si="0"/>
        <v>0</v>
      </c>
      <c r="J10" s="19">
        <f t="shared" si="0"/>
        <v>0</v>
      </c>
      <c r="K10" s="22">
        <f>SUM(K7:K9)</f>
        <v>0</v>
      </c>
      <c r="L10" s="23">
        <f>SUM(L7:L9)</f>
        <v>0</v>
      </c>
    </row>
    <row r="15" spans="2:12" ht="15.75" thickBot="1" x14ac:dyDescent="0.3"/>
    <row r="16" spans="2:12" ht="19.5" thickBot="1" x14ac:dyDescent="0.35">
      <c r="E16" s="26" t="s">
        <v>0</v>
      </c>
      <c r="F16" s="27" t="s">
        <v>948</v>
      </c>
      <c r="G16" s="27" t="s">
        <v>949</v>
      </c>
      <c r="H16" s="27" t="s">
        <v>9</v>
      </c>
      <c r="I16" s="28" t="s">
        <v>950</v>
      </c>
      <c r="J16"/>
      <c r="K16"/>
    </row>
    <row r="17" spans="5:11" ht="18.75" x14ac:dyDescent="0.3">
      <c r="E17" s="47" t="s">
        <v>28</v>
      </c>
      <c r="F17" s="48">
        <v>44475</v>
      </c>
      <c r="G17" s="48">
        <v>44492</v>
      </c>
      <c r="H17" s="49" t="s">
        <v>52</v>
      </c>
      <c r="I17" s="50" t="s">
        <v>53</v>
      </c>
      <c r="J17" s="52" t="s">
        <v>54</v>
      </c>
      <c r="K17" s="51" t="s">
        <v>55</v>
      </c>
    </row>
    <row r="18" spans="5:11" ht="18.75" x14ac:dyDescent="0.3">
      <c r="E18" s="47" t="s">
        <v>28</v>
      </c>
      <c r="F18" s="48">
        <v>44475</v>
      </c>
      <c r="G18" s="48">
        <v>44508</v>
      </c>
      <c r="H18" s="49" t="s">
        <v>52</v>
      </c>
      <c r="I18" s="50" t="s">
        <v>56</v>
      </c>
      <c r="J18" s="52" t="s">
        <v>54</v>
      </c>
      <c r="K18" s="51" t="s">
        <v>83</v>
      </c>
    </row>
    <row r="19" spans="5:11" ht="18.75" x14ac:dyDescent="0.3">
      <c r="E19" s="32" t="s">
        <v>28</v>
      </c>
      <c r="F19" s="33">
        <v>44494</v>
      </c>
      <c r="G19" s="36">
        <v>44514</v>
      </c>
      <c r="H19" s="37" t="s">
        <v>57</v>
      </c>
      <c r="I19" s="38" t="s">
        <v>58</v>
      </c>
      <c r="J19" s="52" t="s">
        <v>54</v>
      </c>
      <c r="K19" s="51" t="s">
        <v>83</v>
      </c>
    </row>
    <row r="20" spans="5:11" ht="18.75" x14ac:dyDescent="0.3">
      <c r="E20" s="32" t="s">
        <v>28</v>
      </c>
      <c r="F20" s="33">
        <v>44513</v>
      </c>
      <c r="G20" s="36">
        <v>44533</v>
      </c>
      <c r="H20" s="37" t="s">
        <v>63</v>
      </c>
      <c r="I20" s="38" t="s">
        <v>64</v>
      </c>
      <c r="J20" s="52" t="s">
        <v>54</v>
      </c>
      <c r="K20"/>
    </row>
    <row r="21" spans="5:11" ht="18.75" x14ac:dyDescent="0.3">
      <c r="E21" s="32" t="s">
        <v>28</v>
      </c>
      <c r="F21" s="33">
        <v>44548</v>
      </c>
      <c r="G21" s="36">
        <v>44568</v>
      </c>
      <c r="H21" s="37" t="s">
        <v>71</v>
      </c>
      <c r="I21" s="38" t="s">
        <v>72</v>
      </c>
      <c r="J21" s="52" t="s">
        <v>54</v>
      </c>
      <c r="K21"/>
    </row>
  </sheetData>
  <mergeCells count="11">
    <mergeCell ref="G5:G6"/>
    <mergeCell ref="B2:C2"/>
    <mergeCell ref="B3:C3"/>
    <mergeCell ref="D5:D6"/>
    <mergeCell ref="E5:E6"/>
    <mergeCell ref="F5:F6"/>
    <mergeCell ref="H5:H6"/>
    <mergeCell ref="I5:I6"/>
    <mergeCell ref="J5:J6"/>
    <mergeCell ref="K5:K6"/>
    <mergeCell ref="L5:L6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7E02-3552-41DA-817D-DE5E1FCFB7B3}">
  <sheetPr codeName="Hoja11"/>
  <dimension ref="C3:M12"/>
  <sheetViews>
    <sheetView workbookViewId="0">
      <selection activeCell="F17" sqref="F17"/>
    </sheetView>
  </sheetViews>
  <sheetFormatPr baseColWidth="10" defaultColWidth="11.42578125" defaultRowHeight="15" x14ac:dyDescent="0.25"/>
  <cols>
    <col min="1" max="1" width="11.42578125" style="2" customWidth="1"/>
    <col min="2" max="2" width="2.7109375" style="2" customWidth="1"/>
    <col min="3" max="3" width="11.42578125" style="2"/>
    <col min="4" max="4" width="54.85546875" style="2" bestFit="1" customWidth="1"/>
    <col min="5" max="16384" width="11.42578125" style="2"/>
  </cols>
  <sheetData>
    <row r="3" spans="3:13" ht="20.25" x14ac:dyDescent="0.25">
      <c r="C3" s="573" t="s">
        <v>930</v>
      </c>
      <c r="D3" s="574"/>
      <c r="E3" s="1"/>
    </row>
    <row r="4" spans="3:13" x14ac:dyDescent="0.25">
      <c r="C4" s="575" t="s">
        <v>964</v>
      </c>
      <c r="D4" s="576"/>
      <c r="E4" s="3"/>
    </row>
    <row r="5" spans="3:13" ht="16.5" thickBot="1" x14ac:dyDescent="0.3">
      <c r="F5" s="4"/>
    </row>
    <row r="6" spans="3:13" ht="15.75" thickBot="1" x14ac:dyDescent="0.3">
      <c r="C6" s="5"/>
      <c r="D6" s="6"/>
      <c r="E6" s="577" t="s">
        <v>932</v>
      </c>
      <c r="F6" s="584" t="s">
        <v>952</v>
      </c>
      <c r="G6" s="586" t="s">
        <v>965</v>
      </c>
      <c r="H6" s="582" t="s">
        <v>933</v>
      </c>
      <c r="I6" s="587" t="s">
        <v>966</v>
      </c>
      <c r="J6" s="584" t="s">
        <v>935</v>
      </c>
      <c r="K6" s="586" t="s">
        <v>967</v>
      </c>
      <c r="L6" s="579" t="s">
        <v>933</v>
      </c>
      <c r="M6" s="581" t="s">
        <v>968</v>
      </c>
    </row>
    <row r="7" spans="3:13" ht="15.75" thickBot="1" x14ac:dyDescent="0.3">
      <c r="C7" s="7" t="s">
        <v>938</v>
      </c>
      <c r="D7" s="8" t="s">
        <v>939</v>
      </c>
      <c r="E7" s="578"/>
      <c r="F7" s="585"/>
      <c r="G7" s="585"/>
      <c r="H7" s="583"/>
      <c r="I7" s="583"/>
      <c r="J7" s="585"/>
      <c r="K7" s="585"/>
      <c r="L7" s="580"/>
      <c r="M7" s="580"/>
    </row>
    <row r="8" spans="3:13" ht="15.75" thickBot="1" x14ac:dyDescent="0.3">
      <c r="C8" s="9">
        <v>807679</v>
      </c>
      <c r="D8" s="10" t="s">
        <v>969</v>
      </c>
      <c r="E8" s="11">
        <v>120</v>
      </c>
      <c r="F8" s="11">
        <v>3</v>
      </c>
      <c r="G8" s="11">
        <f>+$E$8*F8</f>
        <v>360</v>
      </c>
      <c r="H8" s="11">
        <v>3</v>
      </c>
      <c r="I8" s="11">
        <f>+$E$8*H8</f>
        <v>360</v>
      </c>
      <c r="J8" s="11">
        <v>3</v>
      </c>
      <c r="K8" s="11">
        <f>+$E$8*J8</f>
        <v>360</v>
      </c>
      <c r="L8" s="11">
        <v>3</v>
      </c>
      <c r="M8" s="11">
        <f>+$E$8*L8</f>
        <v>360</v>
      </c>
    </row>
    <row r="9" spans="3:13" ht="15.75" thickBot="1" x14ac:dyDescent="0.3">
      <c r="C9" s="9">
        <v>807769</v>
      </c>
      <c r="D9" s="10" t="s">
        <v>962</v>
      </c>
      <c r="E9" s="11">
        <v>120</v>
      </c>
      <c r="F9" s="11">
        <v>5</v>
      </c>
      <c r="G9" s="11">
        <f t="shared" ref="G9:I11" si="0">+$E$8*F9</f>
        <v>600</v>
      </c>
      <c r="H9" s="11">
        <v>5</v>
      </c>
      <c r="I9" s="11">
        <f t="shared" si="0"/>
        <v>600</v>
      </c>
      <c r="J9" s="11">
        <v>5</v>
      </c>
      <c r="K9" s="11">
        <f>+$E$8*J9</f>
        <v>600</v>
      </c>
      <c r="L9" s="11">
        <v>5</v>
      </c>
      <c r="M9" s="11">
        <f>+$E$8*L9</f>
        <v>600</v>
      </c>
    </row>
    <row r="10" spans="3:13" ht="15.75" thickBot="1" x14ac:dyDescent="0.3">
      <c r="C10" s="9">
        <v>807329</v>
      </c>
      <c r="D10" s="10" t="s">
        <v>947</v>
      </c>
      <c r="E10" s="11">
        <v>120</v>
      </c>
      <c r="F10" s="11">
        <v>12</v>
      </c>
      <c r="G10" s="11">
        <f t="shared" si="0"/>
        <v>1440</v>
      </c>
      <c r="H10" s="11">
        <v>12</v>
      </c>
      <c r="I10" s="11">
        <f t="shared" si="0"/>
        <v>1440</v>
      </c>
      <c r="J10" s="11">
        <v>12</v>
      </c>
      <c r="K10" s="11">
        <f>+$E$8*J10</f>
        <v>1440</v>
      </c>
      <c r="L10" s="11">
        <v>12</v>
      </c>
      <c r="M10" s="11">
        <f>+$E$8*L10</f>
        <v>1440</v>
      </c>
    </row>
    <row r="11" spans="3:13" ht="15.75" thickBot="1" x14ac:dyDescent="0.3">
      <c r="C11" s="9">
        <v>805168</v>
      </c>
      <c r="D11" s="10" t="s">
        <v>970</v>
      </c>
      <c r="E11" s="11">
        <v>120</v>
      </c>
      <c r="F11" s="11">
        <v>1</v>
      </c>
      <c r="G11" s="11">
        <f t="shared" si="0"/>
        <v>120</v>
      </c>
      <c r="H11" s="11">
        <v>1</v>
      </c>
      <c r="I11" s="11">
        <f t="shared" si="0"/>
        <v>120</v>
      </c>
      <c r="J11" s="11">
        <v>1</v>
      </c>
      <c r="K11" s="11">
        <f>+$E$8*J11</f>
        <v>120</v>
      </c>
      <c r="L11" s="11">
        <v>1</v>
      </c>
      <c r="M11" s="11">
        <f>+$E$8*L11</f>
        <v>120</v>
      </c>
    </row>
    <row r="12" spans="3:13" ht="16.5" thickBot="1" x14ac:dyDescent="0.3">
      <c r="C12" s="15"/>
      <c r="E12" s="16"/>
      <c r="F12" s="18">
        <f t="shared" ref="F12:M12" si="1">SUM(F8:F11)</f>
        <v>21</v>
      </c>
      <c r="G12" s="19">
        <f t="shared" si="1"/>
        <v>2520</v>
      </c>
      <c r="H12" s="20">
        <f t="shared" si="1"/>
        <v>21</v>
      </c>
      <c r="I12" s="21">
        <f t="shared" si="1"/>
        <v>2520</v>
      </c>
      <c r="J12" s="18">
        <f t="shared" si="1"/>
        <v>21</v>
      </c>
      <c r="K12" s="19">
        <f t="shared" si="1"/>
        <v>2520</v>
      </c>
      <c r="L12" s="22">
        <f t="shared" si="1"/>
        <v>21</v>
      </c>
      <c r="M12" s="23">
        <f t="shared" si="1"/>
        <v>2520</v>
      </c>
    </row>
  </sheetData>
  <mergeCells count="11">
    <mergeCell ref="C3:D3"/>
    <mergeCell ref="C4:D4"/>
    <mergeCell ref="E6:E7"/>
    <mergeCell ref="F6:F7"/>
    <mergeCell ref="M6:M7"/>
    <mergeCell ref="G6:G7"/>
    <mergeCell ref="H6:H7"/>
    <mergeCell ref="I6:I7"/>
    <mergeCell ref="J6:J7"/>
    <mergeCell ref="K6:K7"/>
    <mergeCell ref="L6:L7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76BD-D5BC-4BFC-AFF2-3C1FCAA5C4E1}">
  <sheetPr codeName="Hoja12"/>
  <dimension ref="B1:F4"/>
  <sheetViews>
    <sheetView workbookViewId="0">
      <selection activeCell="B1" sqref="B1:F4"/>
    </sheetView>
  </sheetViews>
  <sheetFormatPr baseColWidth="10" defaultColWidth="11.42578125" defaultRowHeight="15" x14ac:dyDescent="0.25"/>
  <cols>
    <col min="2" max="2" width="18.42578125" bestFit="1" customWidth="1"/>
    <col min="4" max="4" width="12.85546875" customWidth="1"/>
    <col min="5" max="5" width="19.42578125" customWidth="1"/>
    <col min="6" max="6" width="21.7109375" customWidth="1"/>
  </cols>
  <sheetData>
    <row r="1" spans="2:6" ht="45" x14ac:dyDescent="0.25">
      <c r="B1" s="284" t="s">
        <v>971</v>
      </c>
      <c r="C1" s="285" t="s">
        <v>972</v>
      </c>
      <c r="D1" s="285" t="s">
        <v>973</v>
      </c>
      <c r="E1" s="294" t="s">
        <v>974</v>
      </c>
      <c r="F1" s="286" t="s">
        <v>975</v>
      </c>
    </row>
    <row r="2" spans="2:6" x14ac:dyDescent="0.25">
      <c r="B2" s="287" t="s">
        <v>976</v>
      </c>
      <c r="C2" s="281">
        <v>92864149</v>
      </c>
      <c r="D2" s="282">
        <v>26167.200000000001</v>
      </c>
      <c r="E2" s="283">
        <v>44730</v>
      </c>
      <c r="F2" s="292">
        <f>+E2+30</f>
        <v>44760</v>
      </c>
    </row>
    <row r="3" spans="2:6" x14ac:dyDescent="0.25">
      <c r="B3" s="287" t="s">
        <v>977</v>
      </c>
      <c r="C3" s="281">
        <v>92845157</v>
      </c>
      <c r="D3" s="282">
        <v>32938.199999999997</v>
      </c>
      <c r="E3" s="283">
        <v>44731</v>
      </c>
      <c r="F3" s="292">
        <f>+E3+30</f>
        <v>44761</v>
      </c>
    </row>
    <row r="4" spans="2:6" ht="15.75" thickBot="1" x14ac:dyDescent="0.3">
      <c r="B4" s="288" t="s">
        <v>978</v>
      </c>
      <c r="C4" s="289">
        <v>92855909</v>
      </c>
      <c r="D4" s="290">
        <v>31602.84</v>
      </c>
      <c r="E4" s="291">
        <v>44754</v>
      </c>
      <c r="F4" s="293">
        <v>44785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Cont Dir</vt:lpstr>
      <vt:lpstr>Cont. Completos</vt:lpstr>
      <vt:lpstr>Contenedores</vt:lpstr>
      <vt:lpstr>Buscador</vt:lpstr>
      <vt:lpstr>Aviko Control</vt:lpstr>
      <vt:lpstr>Wernisng Control</vt:lpstr>
      <vt:lpstr>ETA REAL</vt:lpstr>
      <vt:lpstr>CUENTAS X PAGAR AVIKO</vt:lpstr>
      <vt:lpstr>CUENTAS X PAGAR WERNSING</vt:lpstr>
      <vt:lpstr>Cancun.</vt:lpstr>
      <vt:lpstr>3TD.</vt:lpstr>
      <vt:lpstr>3B</vt:lpstr>
      <vt:lpstr>Mazatlan.</vt:lpstr>
      <vt:lpstr>Hoja2</vt:lpstr>
      <vt:lpstr>Contenedores!Área_de_impresión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Cristobal Fox Quezada</dc:creator>
  <cp:keywords/>
  <dc:description/>
  <cp:lastModifiedBy>Angeles Samano | OXDA</cp:lastModifiedBy>
  <cp:revision/>
  <dcterms:created xsi:type="dcterms:W3CDTF">2021-06-12T22:49:08Z</dcterms:created>
  <dcterms:modified xsi:type="dcterms:W3CDTF">2026-06-15T22:58:25Z</dcterms:modified>
  <cp:category/>
  <cp:contentStatus/>
</cp:coreProperties>
</file>